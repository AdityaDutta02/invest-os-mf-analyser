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final upload\"/>
    </mc:Choice>
  </mc:AlternateContent>
  <xr:revisionPtr revIDLastSave="0" documentId="8_{E239BB08-DA9E-4C33-B6DE-B7651DB59C20}" xr6:coauthVersionLast="36" xr6:coauthVersionMax="36" xr10:uidLastSave="{00000000-0000-0000-0000-000000000000}"/>
  <bookViews>
    <workbookView xWindow="0" yWindow="0" windowWidth="20490" windowHeight="7125" xr2:uid="{2C72D804-2627-4509-9E2F-08BD542B132D}"/>
  </bookViews>
  <sheets>
    <sheet name="MANNF" sheetId="1" r:id="rId1"/>
  </sheets>
  <definedNames>
    <definedName name="JR_PAGE_ANCHOR_0_39">MANNF!$A$1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70" i="1" l="1"/>
  <c r="F70" i="1"/>
</calcChain>
</file>

<file path=xl/sharedStrings.xml><?xml version="1.0" encoding="utf-8"?>
<sst xmlns="http://schemas.openxmlformats.org/spreadsheetml/2006/main" count="236" uniqueCount="202">
  <si>
    <t>Mirae Asset Nifty Next 50 ETF (MANXT50)</t>
  </si>
  <si>
    <t>(Exchange Traded Fund (ETF) - An open ended scheme replicating/tracking Nifty Next 50 Total Return Index)</t>
  </si>
  <si>
    <r>
      <rPr>
        <b/>
        <sz val="10"/>
        <color rgb="FF000000"/>
        <rFont val="Arial"/>
        <family val="2"/>
      </rPr>
      <t>NSE Symbol:</t>
    </r>
    <r>
      <rPr>
        <sz val="10"/>
        <color rgb="FF000000"/>
        <rFont val="Arial"/>
        <family val="2"/>
      </rPr>
      <t xml:space="preserve"> NEXT50  </t>
    </r>
    <r>
      <rPr>
        <b/>
        <sz val="10"/>
        <color rgb="FF000000"/>
        <rFont val="Arial"/>
        <family val="2"/>
      </rPr>
      <t>BSE Scrip Code:</t>
    </r>
    <r>
      <rPr>
        <sz val="10"/>
        <color rgb="FF000000"/>
        <rFont val="Arial"/>
        <family val="2"/>
      </rPr>
      <t xml:space="preserve"> 542922</t>
    </r>
  </si>
  <si>
    <t>Mirae Asset Nifty Next 50 ETF (MANXT50ETF)</t>
  </si>
  <si>
    <t>Monthly Portfolio Statement as on October 31,2024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</si>
  <si>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</si>
  <si>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</si>
  <si>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</si>
  <si>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</si>
  <si>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</si>
  <si>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</si>
  <si>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</si>
  <si>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</si>
  <si>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</si>
  <si>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HALT02</t>
  </si>
  <si>
    <t>Hindustan Aeronautics Limited</t>
  </si>
  <si>
    <t>INE066F01020</t>
  </si>
  <si>
    <t>Aerospace &amp; Defense</t>
  </si>
  <si>
    <t>SESA02</t>
  </si>
  <si>
    <t>Vedanta Limited</t>
  </si>
  <si>
    <t>INE205A01025</t>
  </si>
  <si>
    <t>Diversified Metals</t>
  </si>
  <si>
    <t>DIVI02</t>
  </si>
  <si>
    <t>Divi's Laboratories Limited</t>
  </si>
  <si>
    <t>INE361B01024</t>
  </si>
  <si>
    <t>Pharmaceuticals &amp; Biotechnology</t>
  </si>
  <si>
    <t>TPOW02</t>
  </si>
  <si>
    <t>Tata Power Company Limited</t>
  </si>
  <si>
    <t>INE245A01021</t>
  </si>
  <si>
    <t>Power</t>
  </si>
  <si>
    <t>INAV01</t>
  </si>
  <si>
    <t>InterGlobe Aviation Limited</t>
  </si>
  <si>
    <t>INE646L01027</t>
  </si>
  <si>
    <t>Transport Services</t>
  </si>
  <si>
    <t>PFCL01</t>
  </si>
  <si>
    <t>Power Finance Corporation Limited</t>
  </si>
  <si>
    <t>INE134E01011</t>
  </si>
  <si>
    <t>Finance</t>
  </si>
  <si>
    <t>RELC01</t>
  </si>
  <si>
    <t>REC Limited</t>
  </si>
  <si>
    <t>INE020B01018</t>
  </si>
  <si>
    <t>SIEM02</t>
  </si>
  <si>
    <t>Siemens Limited</t>
  </si>
  <si>
    <t>INE003A01024</t>
  </si>
  <si>
    <t>Electrical Equipment</t>
  </si>
  <si>
    <t>SAEL02</t>
  </si>
  <si>
    <t>TVS Motor Company Limited</t>
  </si>
  <si>
    <t>INE494B01023</t>
  </si>
  <si>
    <t>Automobiles</t>
  </si>
  <si>
    <t>IEIN01</t>
  </si>
  <si>
    <t>Info Edge (India) Limited</t>
  </si>
  <si>
    <t>INE663F01024</t>
  </si>
  <si>
    <t>Retailing</t>
  </si>
  <si>
    <t>GAIL01</t>
  </si>
  <si>
    <t>GAIL (India) Limited</t>
  </si>
  <si>
    <t>INE129A01019</t>
  </si>
  <si>
    <t>Gas</t>
  </si>
  <si>
    <t>IOIC01</t>
  </si>
  <si>
    <t>Indian Oil Corporation Limited</t>
  </si>
  <si>
    <t>INE242A01010</t>
  </si>
  <si>
    <t>Petroleum Products</t>
  </si>
  <si>
    <t>CHOL02</t>
  </si>
  <si>
    <t>Cholamandalam Investment and Finance Company Ltd</t>
  </si>
  <si>
    <t>INE121A01024</t>
  </si>
  <si>
    <t>LTIL01</t>
  </si>
  <si>
    <t>LTIMindtree Limited</t>
  </si>
  <si>
    <t>INE214T01019</t>
  </si>
  <si>
    <t>IT - Software</t>
  </si>
  <si>
    <t>DLFL01</t>
  </si>
  <si>
    <t>DLF Limited</t>
  </si>
  <si>
    <t>INE271C01023</t>
  </si>
  <si>
    <t>Realty</t>
  </si>
  <si>
    <t>MOSU03</t>
  </si>
  <si>
    <t>Samvardhana Motherson International Limited</t>
  </si>
  <si>
    <t>INE775A01035</t>
  </si>
  <si>
    <t>Auto Components</t>
  </si>
  <si>
    <t>GCPL02</t>
  </si>
  <si>
    <t>Godrej Consumer Products Limited</t>
  </si>
  <si>
    <t>INE102D01028</t>
  </si>
  <si>
    <t>Personal Products</t>
  </si>
  <si>
    <t>PIDI02</t>
  </si>
  <si>
    <t>Pidilite Industries Limited</t>
  </si>
  <si>
    <t>INE318A01026</t>
  </si>
  <si>
    <t>Chemicals &amp; Petrochemicals</t>
  </si>
  <si>
    <t>BKBA02</t>
  </si>
  <si>
    <t>Bank of Baroda</t>
  </si>
  <si>
    <t>INE028A01039</t>
  </si>
  <si>
    <t>Banks</t>
  </si>
  <si>
    <t>ILOM01</t>
  </si>
  <si>
    <t>ICICI Lombard General Insurance Company Limited</t>
  </si>
  <si>
    <t>INE765G01017</t>
  </si>
  <si>
    <t>Insurance</t>
  </si>
  <si>
    <t>MCSP02</t>
  </si>
  <si>
    <t>United Spirits Limited</t>
  </si>
  <si>
    <t>INE854D01024</t>
  </si>
  <si>
    <t>Beverages</t>
  </si>
  <si>
    <t>HAIL03</t>
  </si>
  <si>
    <t>Havells India Limited</t>
  </si>
  <si>
    <t>INE176B01034</t>
  </si>
  <si>
    <t>Consumer Durables</t>
  </si>
  <si>
    <t>ASEA02</t>
  </si>
  <si>
    <t>ABB India Limited</t>
  </si>
  <si>
    <t>INE117A01022</t>
  </si>
  <si>
    <t>ZMPL01</t>
  </si>
  <si>
    <t>Zomato Limited</t>
  </si>
  <si>
    <t>INE758T01015</t>
  </si>
  <si>
    <t>GUAM02</t>
  </si>
  <si>
    <t>Ambuja Cements Limited</t>
  </si>
  <si>
    <t>INE079A01024</t>
  </si>
  <si>
    <t>Cement &amp; Cement Products</t>
  </si>
  <si>
    <t>JSPL03</t>
  </si>
  <si>
    <t>Jindal Steel &amp; Power Limited</t>
  </si>
  <si>
    <t>INE749A01030</t>
  </si>
  <si>
    <t>Ferrous Metals</t>
  </si>
  <si>
    <t>CANB02</t>
  </si>
  <si>
    <t>Canara Bank</t>
  </si>
  <si>
    <t>INE476A01022</t>
  </si>
  <si>
    <t>SHCE01</t>
  </si>
  <si>
    <t>Shree Cement Limited</t>
  </si>
  <si>
    <t>INE070A01015</t>
  </si>
  <si>
    <t>DABU02</t>
  </si>
  <si>
    <t>Dabur India Limited</t>
  </si>
  <si>
    <t>INE016A01026</t>
  </si>
  <si>
    <t>BHAH02</t>
  </si>
  <si>
    <t>Bharat Heavy Electricals Limited</t>
  </si>
  <si>
    <t>INE257A01026</t>
  </si>
  <si>
    <t>MOTI02</t>
  </si>
  <si>
    <t>Bosch Limited</t>
  </si>
  <si>
    <t>INE323A01026</t>
  </si>
  <si>
    <t>TOPH02</t>
  </si>
  <si>
    <t>Torrent Pharmaceuticals Limited</t>
  </si>
  <si>
    <t>INE685A01028</t>
  </si>
  <si>
    <t>PUBA02</t>
  </si>
  <si>
    <t>Punjab National Bank</t>
  </si>
  <si>
    <t>INE160A01022</t>
  </si>
  <si>
    <t>IPLI01</t>
  </si>
  <si>
    <t>ICICI Prudential Life Insurance Company Limited</t>
  </si>
  <si>
    <t>INE726G01019</t>
  </si>
  <si>
    <t>CHEL02</t>
  </si>
  <si>
    <t>Zydus Lifesciences Limited</t>
  </si>
  <si>
    <t>INE010B01027</t>
  </si>
  <si>
    <t>IRCT02</t>
  </si>
  <si>
    <t>Indian Railway Catering And Tourism Corporation Limited</t>
  </si>
  <si>
    <t>INE335Y01020</t>
  </si>
  <si>
    <t>Leisure Services</t>
  </si>
  <si>
    <t>RELS01</t>
  </si>
  <si>
    <t>Jio Financial Services Limited</t>
  </si>
  <si>
    <t>INE758E01017</t>
  </si>
  <si>
    <t>VNBL03</t>
  </si>
  <si>
    <t>Varun Beverages Limited</t>
  </si>
  <si>
    <t>INE200M01039</t>
  </si>
  <si>
    <t>AVSP01</t>
  </si>
  <si>
    <t>Avenue Supermarts Limited</t>
  </si>
  <si>
    <t>INE192R01011</t>
  </si>
  <si>
    <t>AGEL01</t>
  </si>
  <si>
    <t>Adani Green Energy Limited</t>
  </si>
  <si>
    <t>INE364U01010</t>
  </si>
  <si>
    <t>ADAP01</t>
  </si>
  <si>
    <t>Adani Power Limited</t>
  </si>
  <si>
    <t>INE814H01011</t>
  </si>
  <si>
    <t>BAJA01</t>
  </si>
  <si>
    <t>Bajaj Holdings &amp; Investment Limited</t>
  </si>
  <si>
    <t>INE118A01012</t>
  </si>
  <si>
    <t>JSWE01</t>
  </si>
  <si>
    <t>JSW Energy Limited</t>
  </si>
  <si>
    <t>INE121E01018</t>
  </si>
  <si>
    <t>ADTL01</t>
  </si>
  <si>
    <t>Adani Energy Solutions Limited</t>
  </si>
  <si>
    <t>INE931S01010</t>
  </si>
  <si>
    <t>MACR01</t>
  </si>
  <si>
    <t>Macrotech Developers Limited</t>
  </si>
  <si>
    <t>INE670K01029</t>
  </si>
  <si>
    <t>IRLY01</t>
  </si>
  <si>
    <t>Indian Railway Finance Corporation Limited</t>
  </si>
  <si>
    <t>INE053F01010</t>
  </si>
  <si>
    <t>NHPC01</t>
  </si>
  <si>
    <t>NHPC Limited</t>
  </si>
  <si>
    <t>INE848E01016</t>
  </si>
  <si>
    <t>UNBI01</t>
  </si>
  <si>
    <t>Union Bank of India</t>
  </si>
  <si>
    <t>INE692A01016</t>
  </si>
  <si>
    <t>LICO01</t>
  </si>
  <si>
    <t>Life Insurance Corporation Of India</t>
  </si>
  <si>
    <t>INE0J1Y01017</t>
  </si>
  <si>
    <t>ADGL01</t>
  </si>
  <si>
    <t>Adani Total Gas Limited</t>
  </si>
  <si>
    <t>INE399L01023</t>
  </si>
  <si>
    <t>Sub Total</t>
  </si>
  <si>
    <t>(b) Unlisted</t>
  </si>
  <si>
    <t>NIL</t>
  </si>
  <si>
    <t>Total</t>
  </si>
  <si>
    <t>TREPS / Reverse Repo</t>
  </si>
  <si>
    <t>TRP_041124</t>
  </si>
  <si>
    <t>TREPS</t>
  </si>
  <si>
    <t>Net Receivables / (Payables)</t>
  </si>
  <si>
    <t>GRAND TOTAL</t>
  </si>
  <si>
    <t xml:space="preserve"> </t>
  </si>
  <si>
    <t>#  Unlisted Security</t>
  </si>
  <si>
    <t xml:space="preserve">$  Less Than 0.01% of Net Asset Value </t>
  </si>
  <si>
    <t>Sr. No</t>
  </si>
  <si>
    <t>Name of security lent</t>
  </si>
  <si>
    <t>Quantity of lending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</si>
</sst>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%"/>
    <numFmt numFmtId="165" formatCode="#,##0;\(#,##0\)"/>
  </numFmts>
  <fonts count="13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9" fontId="11" fillId="0" borderId="0" applyFont="0" applyFill="0" applyBorder="0" applyAlignment="0" applyProtection="0"/>
  </cellStyleXfs>
  <cellXfs count="58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4" fontId="0" fillId="0" borderId="0" xfId="0" applyNumberForma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7" fillId="0" borderId="0" xfId="0" applyFont="1" applyAlignment="1">
      <alignment horizontal="left" vertical="center" wrapText="1"/>
    </xf>
    <xf numFmtId="4" fontId="3" fillId="0" borderId="0" xfId="0" applyNumberFormat="1" applyFont="1" applyAlignment="1">
      <alignment wrapText="1"/>
    </xf>
    <xf numFmtId="10" fontId="3" fillId="0" borderId="0" xfId="0" applyNumberFormat="1" applyFont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7" fillId="0" borderId="0" xfId="0" applyFont="1" applyAlignment="1">
      <alignment horizontal="center" vertical="top" wrapText="1"/>
    </xf>
    <xf numFmtId="10" fontId="0" fillId="0" borderId="0" xfId="0" applyNumberFormat="1"/>
    <xf numFmtId="0" fontId="8" fillId="0" borderId="0" xfId="0" applyFont="1" applyAlignment="1">
      <alignment horizontal="left" vertical="top" wrapText="1"/>
    </xf>
    <xf numFmtId="0" fontId="7" fillId="0" borderId="9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9" fillId="0" borderId="15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3" fontId="4" fillId="0" borderId="13" xfId="0" applyNumberFormat="1" applyFont="1" applyBorder="1" applyAlignment="1">
      <alignment horizontal="right" vertical="top" wrapText="1"/>
    </xf>
    <xf numFmtId="4" fontId="4" fillId="0" borderId="13" xfId="0" applyNumberFormat="1" applyFont="1" applyBorder="1" applyAlignment="1">
      <alignment horizontal="right" vertical="top" wrapText="1"/>
    </xf>
    <xf numFmtId="164" fontId="4" fillId="0" borderId="13" xfId="0" applyNumberFormat="1" applyFont="1" applyBorder="1" applyAlignment="1">
      <alignment horizontal="right" vertical="top" wrapText="1"/>
    </xf>
    <xf numFmtId="164" fontId="9" fillId="0" borderId="15" xfId="0" applyNumberFormat="1" applyFont="1" applyBorder="1" applyAlignment="1">
      <alignment horizontal="right" vertical="top" wrapText="1"/>
    </xf>
    <xf numFmtId="4" fontId="7" fillId="0" borderId="16" xfId="0" applyNumberFormat="1" applyFont="1" applyBorder="1" applyAlignment="1">
      <alignment horizontal="right" vertical="top" wrapText="1"/>
    </xf>
    <xf numFmtId="164" fontId="7" fillId="0" borderId="17" xfId="0" applyNumberFormat="1" applyFont="1" applyBorder="1" applyAlignment="1">
      <alignment horizontal="right" vertical="top" wrapText="1"/>
    </xf>
    <xf numFmtId="0" fontId="7" fillId="0" borderId="18" xfId="0" applyFont="1" applyBorder="1" applyAlignment="1">
      <alignment horizontal="right" vertical="top" wrapText="1"/>
    </xf>
    <xf numFmtId="0" fontId="7" fillId="0" borderId="19" xfId="0" applyFont="1" applyBorder="1" applyAlignment="1">
      <alignment horizontal="left" vertical="top" wrapText="1"/>
    </xf>
    <xf numFmtId="0" fontId="4" fillId="0" borderId="17" xfId="0" applyFont="1" applyBorder="1" applyAlignment="1">
      <alignment horizontal="left" vertical="top" wrapText="1"/>
    </xf>
    <xf numFmtId="0" fontId="7" fillId="0" borderId="17" xfId="0" applyFont="1" applyBorder="1" applyAlignment="1">
      <alignment horizontal="right" vertical="top" wrapText="1"/>
    </xf>
    <xf numFmtId="0" fontId="4" fillId="0" borderId="16" xfId="0" applyFont="1" applyBorder="1" applyAlignment="1">
      <alignment horizontal="left" vertical="top" wrapText="1"/>
    </xf>
    <xf numFmtId="10" fontId="9" fillId="0" borderId="15" xfId="1" applyNumberFormat="1" applyFont="1" applyBorder="1" applyAlignment="1">
      <alignment horizontal="right" vertical="top" wrapText="1"/>
    </xf>
    <xf numFmtId="0" fontId="7" fillId="0" borderId="20" xfId="0" applyFont="1" applyBorder="1" applyAlignment="1">
      <alignment horizontal="left" vertical="top" wrapText="1"/>
    </xf>
    <xf numFmtId="0" fontId="4" fillId="0" borderId="21" xfId="0" applyFont="1" applyBorder="1" applyAlignment="1">
      <alignment horizontal="left" vertical="top" wrapText="1"/>
    </xf>
    <xf numFmtId="4" fontId="7" fillId="0" borderId="21" xfId="0" applyNumberFormat="1" applyFont="1" applyBorder="1" applyAlignment="1">
      <alignment horizontal="right" vertical="top" wrapText="1"/>
    </xf>
    <xf numFmtId="164" fontId="7" fillId="0" borderId="22" xfId="0" applyNumberFormat="1" applyFont="1" applyBorder="1" applyAlignment="1">
      <alignment horizontal="right" vertical="top" wrapText="1"/>
    </xf>
    <xf numFmtId="0" fontId="7" fillId="0" borderId="23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12" fillId="0" borderId="17" xfId="0" applyFont="1" applyBorder="1" applyAlignment="1">
      <alignment vertical="center" wrapText="1"/>
    </xf>
    <xf numFmtId="0" fontId="0" fillId="0" borderId="17" xfId="0" applyBorder="1" applyAlignment="1">
      <alignment horizontal="center" vertical="center"/>
    </xf>
    <xf numFmtId="0" fontId="0" fillId="0" borderId="17" xfId="0" applyBorder="1"/>
    <xf numFmtId="165" fontId="0" fillId="0" borderId="17" xfId="0" applyNumberForma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FFDC6801-D41A-4D6F-B909-B5D51FF1C0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81</xdr:row>
      <xdr:rowOff>0</xdr:rowOff>
    </xdr:from>
    <xdr:ext cx="6191250" cy="1381125"/>
    <xdr:pic>
      <xdr:nvPicPr>
        <xdr:cNvPr id="3" name="Picture 2">
          <a:extLst>
            <a:ext uri="{FF2B5EF4-FFF2-40B4-BE49-F238E27FC236}">
              <a16:creationId xmlns:a16="http://schemas.microsoft.com/office/drawing/2014/main" id="{935FDA63-3694-4CD6-B959-D3A7B9CB53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13477875"/>
          <a:ext cx="6191250" cy="138112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302B7-B680-49A5-B84F-AC251308B143}">
  <sheetPr codeName="Sheet39">
    <outlinePr summaryBelow="0"/>
  </sheetPr>
  <dimension ref="A1:P764"/>
  <sheetViews>
    <sheetView tabSelected="1" workbookViewId="0"/>
  </sheetViews>
  <sheetFormatPr defaultRowHeight="15"/>
  <cols>
    <col min="1" max="1" width="3.28515625" customWidth="1"/>
    <col min="2" max="2" width="50" customWidth="1"/>
    <col min="3" max="3" width="41.7109375" customWidth="1"/>
    <col min="4" max="4" width="33.28515625" customWidth="1"/>
    <col min="5" max="8" width="16.7109375" customWidth="1"/>
    <col min="9" max="9" width="9.140625" style="24" customWidth="1"/>
    <col min="11" max="11" width="9.140625" style="6" customWidth="1"/>
    <col min="18" max="18" width="12.42578125" customWidth="1"/>
  </cols>
  <sheetData>
    <row r="1" spans="1:16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16">
      <c r="A2" s="7"/>
      <c r="B2" s="8"/>
      <c r="C2" s="9"/>
      <c r="D2" s="9"/>
      <c r="E2" s="9"/>
      <c r="F2" s="9"/>
      <c r="G2" s="9"/>
      <c r="H2" s="10"/>
      <c r="I2" s="5"/>
    </row>
    <row r="3" spans="1:16">
      <c r="A3" s="11"/>
      <c r="B3" s="12" t="s">
        <v>1</v>
      </c>
      <c r="C3" s="13"/>
      <c r="D3" s="13"/>
      <c r="E3" s="13"/>
      <c r="F3" s="13"/>
      <c r="G3" s="13"/>
      <c r="H3" s="14"/>
      <c r="I3" s="5"/>
    </row>
    <row r="4" spans="1:16">
      <c r="A4" s="11"/>
      <c r="B4" s="12"/>
      <c r="C4" s="13"/>
      <c r="D4" s="13"/>
      <c r="E4" s="13"/>
      <c r="F4" s="13"/>
      <c r="G4" s="13"/>
      <c r="H4" s="14"/>
      <c r="I4" s="5"/>
    </row>
    <row r="5" spans="1:16" ht="15.75" thickBot="1">
      <c r="A5" s="7"/>
      <c r="B5" s="15" t="s">
        <v>2</v>
      </c>
      <c r="C5" s="16"/>
      <c r="D5" s="16"/>
      <c r="E5" s="16"/>
      <c r="F5" s="16"/>
      <c r="G5" s="16"/>
      <c r="H5" s="17"/>
      <c r="I5" s="5"/>
    </row>
    <row r="6" spans="1:16">
      <c r="A6" s="7"/>
      <c r="B6" s="18" t="s">
        <v>3</v>
      </c>
      <c r="C6" s="7"/>
      <c r="D6" s="7"/>
      <c r="E6" s="7"/>
      <c r="F6" s="19"/>
      <c r="G6" s="20"/>
      <c r="H6" s="7"/>
      <c r="I6" s="21"/>
    </row>
    <row r="7" spans="1:16" ht="12.95" customHeight="1">
      <c r="A7" s="22"/>
      <c r="B7" s="23"/>
      <c r="C7" s="22"/>
      <c r="D7" s="22"/>
      <c r="E7" s="22"/>
      <c r="F7" s="22"/>
      <c r="G7" s="22"/>
      <c r="H7" s="22"/>
    </row>
    <row r="8" spans="1:16" ht="12.95" customHeight="1" thickBot="1">
      <c r="A8" s="11"/>
      <c r="B8" s="25" t="s">
        <v>4</v>
      </c>
      <c r="C8" s="22"/>
      <c r="D8" s="22"/>
      <c r="E8" s="22"/>
      <c r="F8" s="22"/>
      <c r="G8" s="22"/>
      <c r="H8" s="22"/>
    </row>
    <row r="9" spans="1:16" ht="27.95" customHeight="1">
      <c r="A9" s="22"/>
      <c r="B9" s="26" t="s">
        <v>5</v>
      </c>
      <c r="C9" s="27" t="s">
        <v>6</v>
      </c>
      <c r="D9" s="28" t="s">
        <v>7</v>
      </c>
      <c r="E9" s="28" t="s">
        <v>8</v>
      </c>
      <c r="F9" s="28" t="s">
        <v>9</v>
      </c>
      <c r="G9" s="28" t="s">
        <v>10</v>
      </c>
      <c r="H9" s="29" t="s">
        <v>11</v>
      </c>
      <c r="P9" s="24"/>
    </row>
    <row r="10" spans="1:16" ht="12.95" customHeight="1">
      <c r="A10" s="22"/>
      <c r="B10" s="30" t="s">
        <v>12</v>
      </c>
      <c r="C10" s="31"/>
      <c r="D10" s="31"/>
      <c r="E10" s="31"/>
      <c r="F10" s="31"/>
      <c r="G10" s="32"/>
      <c r="H10" s="33"/>
      <c r="L10" s="6"/>
    </row>
    <row r="11" spans="1:16" ht="12.95" customHeight="1">
      <c r="A11" s="22"/>
      <c r="B11" s="30" t="s">
        <v>13</v>
      </c>
      <c r="C11" s="31"/>
      <c r="D11" s="31"/>
      <c r="E11" s="31"/>
      <c r="F11" s="31"/>
      <c r="G11" s="32"/>
      <c r="H11" s="33"/>
      <c r="L11" s="6"/>
      <c r="P11" s="24"/>
    </row>
    <row r="12" spans="1:16" ht="12.95" customHeight="1">
      <c r="A12" s="34" t="s">
        <v>14</v>
      </c>
      <c r="B12" s="35" t="s">
        <v>15</v>
      </c>
      <c r="C12" s="31" t="s">
        <v>16</v>
      </c>
      <c r="D12" s="31" t="s">
        <v>17</v>
      </c>
      <c r="E12" s="36">
        <v>37850</v>
      </c>
      <c r="F12" s="37">
        <v>1607.3759500000001</v>
      </c>
      <c r="G12" s="38">
        <v>4.3293288443718998E-2</v>
      </c>
      <c r="H12" s="39"/>
      <c r="L12" s="6"/>
      <c r="P12" s="24"/>
    </row>
    <row r="13" spans="1:16" ht="12.95" customHeight="1">
      <c r="A13" s="34" t="s">
        <v>18</v>
      </c>
      <c r="B13" s="35" t="s">
        <v>19</v>
      </c>
      <c r="C13" s="31" t="s">
        <v>20</v>
      </c>
      <c r="D13" s="31" t="s">
        <v>21</v>
      </c>
      <c r="E13" s="36">
        <v>337790</v>
      </c>
      <c r="F13" s="37">
        <v>1567.5144949999999</v>
      </c>
      <c r="G13" s="38">
        <v>4.2219654444715003E-2</v>
      </c>
      <c r="H13" s="39"/>
      <c r="L13" s="6"/>
      <c r="P13" s="24"/>
    </row>
    <row r="14" spans="1:16" ht="12.95" customHeight="1">
      <c r="A14" s="34" t="s">
        <v>22</v>
      </c>
      <c r="B14" s="35" t="s">
        <v>23</v>
      </c>
      <c r="C14" s="31" t="s">
        <v>24</v>
      </c>
      <c r="D14" s="31" t="s">
        <v>25</v>
      </c>
      <c r="E14" s="36">
        <v>25298</v>
      </c>
      <c r="F14" s="37">
        <v>1489.963657</v>
      </c>
      <c r="G14" s="38">
        <v>4.0130889337469999E-2</v>
      </c>
      <c r="H14" s="39"/>
      <c r="L14" s="6"/>
      <c r="P14" s="24"/>
    </row>
    <row r="15" spans="1:16" ht="12.95" customHeight="1">
      <c r="A15" s="34" t="s">
        <v>26</v>
      </c>
      <c r="B15" s="35" t="s">
        <v>27</v>
      </c>
      <c r="C15" s="31" t="s">
        <v>28</v>
      </c>
      <c r="D15" s="31" t="s">
        <v>29</v>
      </c>
      <c r="E15" s="36">
        <v>336411</v>
      </c>
      <c r="F15" s="37">
        <v>1480.3766055000001</v>
      </c>
      <c r="G15" s="38">
        <v>3.9872670352723003E-2</v>
      </c>
      <c r="H15" s="39"/>
      <c r="L15" s="6"/>
      <c r="P15" s="24"/>
    </row>
    <row r="16" spans="1:16" ht="12.95" customHeight="1">
      <c r="A16" s="34" t="s">
        <v>30</v>
      </c>
      <c r="B16" s="35" t="s">
        <v>31</v>
      </c>
      <c r="C16" s="31" t="s">
        <v>32</v>
      </c>
      <c r="D16" s="31" t="s">
        <v>33</v>
      </c>
      <c r="E16" s="36">
        <v>34454</v>
      </c>
      <c r="F16" s="37">
        <v>1396.2483500000001</v>
      </c>
      <c r="G16" s="38">
        <v>3.7606748163438002E-2</v>
      </c>
      <c r="H16" s="39"/>
      <c r="L16" s="6"/>
      <c r="P16" s="24"/>
    </row>
    <row r="17" spans="1:16" ht="12.95" customHeight="1">
      <c r="A17" s="34" t="s">
        <v>34</v>
      </c>
      <c r="B17" s="35" t="s">
        <v>35</v>
      </c>
      <c r="C17" s="31" t="s">
        <v>36</v>
      </c>
      <c r="D17" s="31" t="s">
        <v>37</v>
      </c>
      <c r="E17" s="36">
        <v>289764</v>
      </c>
      <c r="F17" s="37">
        <v>1318.2813180000001</v>
      </c>
      <c r="G17" s="38">
        <v>3.5506773228840001E-2</v>
      </c>
      <c r="H17" s="39"/>
      <c r="L17" s="6"/>
      <c r="P17" s="24"/>
    </row>
    <row r="18" spans="1:16" ht="12.95" customHeight="1">
      <c r="A18" s="34" t="s">
        <v>38</v>
      </c>
      <c r="B18" s="35" t="s">
        <v>39</v>
      </c>
      <c r="C18" s="31" t="s">
        <v>40</v>
      </c>
      <c r="D18" s="31" t="s">
        <v>37</v>
      </c>
      <c r="E18" s="36">
        <v>248573</v>
      </c>
      <c r="F18" s="37">
        <v>1299.042498</v>
      </c>
      <c r="G18" s="38">
        <v>3.4988592162626002E-2</v>
      </c>
      <c r="H18" s="39"/>
      <c r="L18" s="6"/>
      <c r="P18" s="24"/>
    </row>
    <row r="19" spans="1:16" ht="12.95" customHeight="1">
      <c r="A19" s="34" t="s">
        <v>41</v>
      </c>
      <c r="B19" s="35" t="s">
        <v>42</v>
      </c>
      <c r="C19" s="31" t="s">
        <v>43</v>
      </c>
      <c r="D19" s="31" t="s">
        <v>44</v>
      </c>
      <c r="E19" s="36">
        <v>17597</v>
      </c>
      <c r="F19" s="37">
        <v>1227.6195110000001</v>
      </c>
      <c r="G19" s="38">
        <v>3.3064875450489001E-2</v>
      </c>
      <c r="H19" s="39"/>
      <c r="L19" s="6"/>
      <c r="P19" s="24"/>
    </row>
    <row r="20" spans="1:16" ht="12.95" customHeight="1">
      <c r="A20" s="34" t="s">
        <v>45</v>
      </c>
      <c r="B20" s="35" t="s">
        <v>46</v>
      </c>
      <c r="C20" s="31" t="s">
        <v>47</v>
      </c>
      <c r="D20" s="31" t="s">
        <v>48</v>
      </c>
      <c r="E20" s="36">
        <v>46810</v>
      </c>
      <c r="F20" s="37">
        <v>1167.30097</v>
      </c>
      <c r="G20" s="38">
        <v>3.1440247438593E-2</v>
      </c>
      <c r="H20" s="39"/>
      <c r="L20" s="6"/>
      <c r="P20" s="24"/>
    </row>
    <row r="21" spans="1:16" ht="12.95" customHeight="1">
      <c r="A21" s="34" t="s">
        <v>49</v>
      </c>
      <c r="B21" s="35" t="s">
        <v>50</v>
      </c>
      <c r="C21" s="31" t="s">
        <v>51</v>
      </c>
      <c r="D21" s="31" t="s">
        <v>52</v>
      </c>
      <c r="E21" s="36">
        <v>15536</v>
      </c>
      <c r="F21" s="37">
        <v>1156.0259920000001</v>
      </c>
      <c r="G21" s="38">
        <v>3.1136565605633999E-2</v>
      </c>
      <c r="H21" s="39"/>
      <c r="L21" s="6"/>
      <c r="P21" s="24"/>
    </row>
    <row r="22" spans="1:16" ht="12.95" customHeight="1">
      <c r="A22" s="34" t="s">
        <v>53</v>
      </c>
      <c r="B22" s="35" t="s">
        <v>54</v>
      </c>
      <c r="C22" s="31" t="s">
        <v>55</v>
      </c>
      <c r="D22" s="31" t="s">
        <v>56</v>
      </c>
      <c r="E22" s="36">
        <v>538198</v>
      </c>
      <c r="F22" s="37">
        <v>1076.3421802</v>
      </c>
      <c r="G22" s="38">
        <v>2.8990350684008001E-2</v>
      </c>
      <c r="H22" s="39"/>
      <c r="L22" s="6"/>
      <c r="P22" s="24"/>
    </row>
    <row r="23" spans="1:16" ht="12.95" customHeight="1">
      <c r="A23" s="34" t="s">
        <v>57</v>
      </c>
      <c r="B23" s="35" t="s">
        <v>58</v>
      </c>
      <c r="C23" s="31" t="s">
        <v>59</v>
      </c>
      <c r="D23" s="31" t="s">
        <v>60</v>
      </c>
      <c r="E23" s="36">
        <v>746565</v>
      </c>
      <c r="F23" s="37">
        <v>1064.7510030000001</v>
      </c>
      <c r="G23" s="38">
        <v>2.8678152297611999E-2</v>
      </c>
      <c r="H23" s="39"/>
      <c r="L23" s="6"/>
      <c r="P23" s="24"/>
    </row>
    <row r="24" spans="1:16" ht="12.95" customHeight="1">
      <c r="A24" s="34" t="s">
        <v>61</v>
      </c>
      <c r="B24" s="35" t="s">
        <v>62</v>
      </c>
      <c r="C24" s="31" t="s">
        <v>63</v>
      </c>
      <c r="D24" s="31" t="s">
        <v>37</v>
      </c>
      <c r="E24" s="36">
        <v>83058</v>
      </c>
      <c r="F24" s="37">
        <v>1057.1206950000001</v>
      </c>
      <c r="G24" s="38">
        <v>2.8472636515720001E-2</v>
      </c>
      <c r="H24" s="39"/>
      <c r="L24" s="6"/>
      <c r="P24" s="24"/>
    </row>
    <row r="25" spans="1:16" ht="12.95" customHeight="1">
      <c r="A25" s="34" t="s">
        <v>64</v>
      </c>
      <c r="B25" s="35" t="s">
        <v>65</v>
      </c>
      <c r="C25" s="31" t="s">
        <v>66</v>
      </c>
      <c r="D25" s="31" t="s">
        <v>67</v>
      </c>
      <c r="E25" s="36">
        <v>18418</v>
      </c>
      <c r="F25" s="37">
        <v>1051.824353</v>
      </c>
      <c r="G25" s="38">
        <v>2.8329984100208001E-2</v>
      </c>
      <c r="H25" s="39"/>
      <c r="L25" s="6"/>
      <c r="P25" s="24"/>
    </row>
    <row r="26" spans="1:16" ht="12.95" customHeight="1">
      <c r="A26" s="34" t="s">
        <v>68</v>
      </c>
      <c r="B26" s="35" t="s">
        <v>69</v>
      </c>
      <c r="C26" s="31" t="s">
        <v>70</v>
      </c>
      <c r="D26" s="31" t="s">
        <v>71</v>
      </c>
      <c r="E26" s="36">
        <v>127701</v>
      </c>
      <c r="F26" s="37">
        <v>1046.9566485</v>
      </c>
      <c r="G26" s="38">
        <v>2.8198876667018001E-2</v>
      </c>
      <c r="H26" s="39"/>
      <c r="L26" s="6"/>
      <c r="P26" s="24"/>
    </row>
    <row r="27" spans="1:16" ht="12.95" customHeight="1">
      <c r="A27" s="34" t="s">
        <v>72</v>
      </c>
      <c r="B27" s="35" t="s">
        <v>73</v>
      </c>
      <c r="C27" s="31" t="s">
        <v>74</v>
      </c>
      <c r="D27" s="31" t="s">
        <v>75</v>
      </c>
      <c r="E27" s="36">
        <v>556142</v>
      </c>
      <c r="F27" s="37">
        <v>1006.338949</v>
      </c>
      <c r="G27" s="38">
        <v>2.7104873872977001E-2</v>
      </c>
      <c r="H27" s="39"/>
      <c r="L27" s="6"/>
      <c r="P27" s="24"/>
    </row>
    <row r="28" spans="1:16" ht="12.95" customHeight="1">
      <c r="A28" s="34" t="s">
        <v>76</v>
      </c>
      <c r="B28" s="35" t="s">
        <v>77</v>
      </c>
      <c r="C28" s="31" t="s">
        <v>78</v>
      </c>
      <c r="D28" s="31" t="s">
        <v>79</v>
      </c>
      <c r="E28" s="36">
        <v>74995</v>
      </c>
      <c r="F28" s="37">
        <v>962.29834249999999</v>
      </c>
      <c r="G28" s="38">
        <v>2.5918678023498998E-2</v>
      </c>
      <c r="H28" s="39"/>
      <c r="L28" s="6"/>
      <c r="P28" s="24"/>
    </row>
    <row r="29" spans="1:16" ht="12.95" customHeight="1">
      <c r="A29" s="34" t="s">
        <v>80</v>
      </c>
      <c r="B29" s="35" t="s">
        <v>81</v>
      </c>
      <c r="C29" s="31" t="s">
        <v>82</v>
      </c>
      <c r="D29" s="31" t="s">
        <v>83</v>
      </c>
      <c r="E29" s="36">
        <v>30481</v>
      </c>
      <c r="F29" s="37">
        <v>958.88653850000003</v>
      </c>
      <c r="G29" s="38">
        <v>2.5826784017815001E-2</v>
      </c>
      <c r="H29" s="39"/>
      <c r="L29" s="6"/>
      <c r="P29" s="24"/>
    </row>
    <row r="30" spans="1:16" ht="12.95" customHeight="1">
      <c r="A30" s="34" t="s">
        <v>84</v>
      </c>
      <c r="B30" s="35" t="s">
        <v>85</v>
      </c>
      <c r="C30" s="31" t="s">
        <v>86</v>
      </c>
      <c r="D30" s="31" t="s">
        <v>87</v>
      </c>
      <c r="E30" s="36">
        <v>371230</v>
      </c>
      <c r="F30" s="37">
        <v>931.63880800000004</v>
      </c>
      <c r="G30" s="38">
        <v>2.5092889837070999E-2</v>
      </c>
      <c r="H30" s="39"/>
      <c r="L30" s="6"/>
      <c r="P30" s="24"/>
    </row>
    <row r="31" spans="1:16" ht="12.95" customHeight="1">
      <c r="A31" s="34" t="s">
        <v>88</v>
      </c>
      <c r="B31" s="35" t="s">
        <v>89</v>
      </c>
      <c r="C31" s="31" t="s">
        <v>90</v>
      </c>
      <c r="D31" s="31" t="s">
        <v>91</v>
      </c>
      <c r="E31" s="36">
        <v>47402</v>
      </c>
      <c r="F31" s="37">
        <v>908.86224700000002</v>
      </c>
      <c r="G31" s="38">
        <v>2.4479422760418E-2</v>
      </c>
      <c r="H31" s="39"/>
      <c r="L31" s="6"/>
      <c r="P31" s="24"/>
    </row>
    <row r="32" spans="1:16" ht="12.95" customHeight="1">
      <c r="A32" s="34" t="s">
        <v>92</v>
      </c>
      <c r="B32" s="35" t="s">
        <v>93</v>
      </c>
      <c r="C32" s="31" t="s">
        <v>94</v>
      </c>
      <c r="D32" s="31" t="s">
        <v>95</v>
      </c>
      <c r="E32" s="36">
        <v>58774</v>
      </c>
      <c r="F32" s="37">
        <v>851.69403399999999</v>
      </c>
      <c r="G32" s="38">
        <v>2.2939646123085002E-2</v>
      </c>
      <c r="H32" s="39"/>
      <c r="L32" s="6"/>
      <c r="P32" s="24"/>
    </row>
    <row r="33" spans="1:16" ht="12.95" customHeight="1">
      <c r="A33" s="34" t="s">
        <v>96</v>
      </c>
      <c r="B33" s="35" t="s">
        <v>97</v>
      </c>
      <c r="C33" s="31" t="s">
        <v>98</v>
      </c>
      <c r="D33" s="31" t="s">
        <v>99</v>
      </c>
      <c r="E33" s="36">
        <v>50391</v>
      </c>
      <c r="F33" s="37">
        <v>825.60614399999997</v>
      </c>
      <c r="G33" s="38">
        <v>2.2236991248438E-2</v>
      </c>
      <c r="H33" s="39"/>
      <c r="L33" s="6"/>
      <c r="P33" s="24"/>
    </row>
    <row r="34" spans="1:16" ht="12.95" customHeight="1">
      <c r="A34" s="34" t="s">
        <v>100</v>
      </c>
      <c r="B34" s="35" t="s">
        <v>101</v>
      </c>
      <c r="C34" s="31" t="s">
        <v>102</v>
      </c>
      <c r="D34" s="31" t="s">
        <v>44</v>
      </c>
      <c r="E34" s="36">
        <v>10436</v>
      </c>
      <c r="F34" s="37">
        <v>775.337402</v>
      </c>
      <c r="G34" s="38">
        <v>2.0883045927114999E-2</v>
      </c>
      <c r="H34" s="39"/>
      <c r="L34" s="6"/>
      <c r="P34" s="24"/>
    </row>
    <row r="35" spans="1:16" ht="12.95" customHeight="1">
      <c r="A35" s="34" t="s">
        <v>103</v>
      </c>
      <c r="B35" s="35" t="s">
        <v>104</v>
      </c>
      <c r="C35" s="31" t="s">
        <v>105</v>
      </c>
      <c r="D35" s="31" t="s">
        <v>52</v>
      </c>
      <c r="E35" s="36">
        <v>290346</v>
      </c>
      <c r="F35" s="37">
        <v>701.91145500000005</v>
      </c>
      <c r="G35" s="38">
        <v>1.8905381210454E-2</v>
      </c>
      <c r="H35" s="39"/>
      <c r="L35" s="6"/>
      <c r="P35" s="24"/>
    </row>
    <row r="36" spans="1:16" ht="12.95" customHeight="1">
      <c r="A36" s="34" t="s">
        <v>106</v>
      </c>
      <c r="B36" s="35" t="s">
        <v>107</v>
      </c>
      <c r="C36" s="31" t="s">
        <v>108</v>
      </c>
      <c r="D36" s="31" t="s">
        <v>109</v>
      </c>
      <c r="E36" s="36">
        <v>120170</v>
      </c>
      <c r="F36" s="37">
        <v>697.64693499999998</v>
      </c>
      <c r="G36" s="38">
        <v>1.8790520032871998E-2</v>
      </c>
      <c r="H36" s="39"/>
      <c r="L36" s="6"/>
      <c r="P36" s="24"/>
    </row>
    <row r="37" spans="1:16" ht="12.95" customHeight="1">
      <c r="A37" s="34" t="s">
        <v>110</v>
      </c>
      <c r="B37" s="35" t="s">
        <v>111</v>
      </c>
      <c r="C37" s="31" t="s">
        <v>112</v>
      </c>
      <c r="D37" s="31" t="s">
        <v>113</v>
      </c>
      <c r="E37" s="36">
        <v>75604</v>
      </c>
      <c r="F37" s="37">
        <v>695.93481999999995</v>
      </c>
      <c r="G37" s="38">
        <v>1.8744405688220001E-2</v>
      </c>
      <c r="H37" s="39"/>
      <c r="L37" s="6"/>
      <c r="P37" s="24"/>
    </row>
    <row r="38" spans="1:16" ht="12.95" customHeight="1">
      <c r="A38" s="34" t="s">
        <v>114</v>
      </c>
      <c r="B38" s="35" t="s">
        <v>115</v>
      </c>
      <c r="C38" s="31" t="s">
        <v>116</v>
      </c>
      <c r="D38" s="31" t="s">
        <v>87</v>
      </c>
      <c r="E38" s="36">
        <v>670919</v>
      </c>
      <c r="F38" s="37">
        <v>688.69835350000005</v>
      </c>
      <c r="G38" s="38">
        <v>1.8549497688322002E-2</v>
      </c>
      <c r="H38" s="39"/>
      <c r="L38" s="6"/>
      <c r="P38" s="24"/>
    </row>
    <row r="39" spans="1:16" ht="12.95" customHeight="1">
      <c r="A39" s="34" t="s">
        <v>117</v>
      </c>
      <c r="B39" s="35" t="s">
        <v>118</v>
      </c>
      <c r="C39" s="31" t="s">
        <v>119</v>
      </c>
      <c r="D39" s="31" t="s">
        <v>109</v>
      </c>
      <c r="E39" s="36">
        <v>2679</v>
      </c>
      <c r="F39" s="37">
        <v>671.68289849999996</v>
      </c>
      <c r="G39" s="38">
        <v>1.8091201045701E-2</v>
      </c>
      <c r="H39" s="39"/>
      <c r="L39" s="6"/>
      <c r="P39" s="24"/>
    </row>
    <row r="40" spans="1:16" ht="12.95" customHeight="1">
      <c r="A40" s="34" t="s">
        <v>120</v>
      </c>
      <c r="B40" s="35" t="s">
        <v>121</v>
      </c>
      <c r="C40" s="31" t="s">
        <v>122</v>
      </c>
      <c r="D40" s="31" t="s">
        <v>79</v>
      </c>
      <c r="E40" s="36">
        <v>117549</v>
      </c>
      <c r="F40" s="37">
        <v>634.76459999999997</v>
      </c>
      <c r="G40" s="38">
        <v>1.7096838435128998E-2</v>
      </c>
      <c r="H40" s="39"/>
      <c r="L40" s="6"/>
      <c r="P40" s="24"/>
    </row>
    <row r="41" spans="1:16" ht="12.95" customHeight="1">
      <c r="A41" s="34" t="s">
        <v>123</v>
      </c>
      <c r="B41" s="35" t="s">
        <v>124</v>
      </c>
      <c r="C41" s="31" t="s">
        <v>125</v>
      </c>
      <c r="D41" s="31" t="s">
        <v>44</v>
      </c>
      <c r="E41" s="36">
        <v>255796</v>
      </c>
      <c r="F41" s="37">
        <v>611.35244</v>
      </c>
      <c r="G41" s="38">
        <v>1.6466252046195E-2</v>
      </c>
      <c r="H41" s="39"/>
      <c r="L41" s="6"/>
      <c r="P41" s="24"/>
    </row>
    <row r="42" spans="1:16" ht="12.95" customHeight="1">
      <c r="A42" s="34" t="s">
        <v>126</v>
      </c>
      <c r="B42" s="35" t="s">
        <v>127</v>
      </c>
      <c r="C42" s="31" t="s">
        <v>128</v>
      </c>
      <c r="D42" s="31" t="s">
        <v>75</v>
      </c>
      <c r="E42" s="36">
        <v>1726</v>
      </c>
      <c r="F42" s="37">
        <v>606.19881599999997</v>
      </c>
      <c r="G42" s="38">
        <v>1.6327443617238001E-2</v>
      </c>
      <c r="H42" s="39"/>
      <c r="L42" s="6"/>
      <c r="P42" s="24"/>
    </row>
    <row r="43" spans="1:16" ht="12.95" customHeight="1">
      <c r="A43" s="34" t="s">
        <v>129</v>
      </c>
      <c r="B43" s="35" t="s">
        <v>130</v>
      </c>
      <c r="C43" s="31" t="s">
        <v>131</v>
      </c>
      <c r="D43" s="31" t="s">
        <v>25</v>
      </c>
      <c r="E43" s="36">
        <v>18398</v>
      </c>
      <c r="F43" s="37">
        <v>589.22354700000005</v>
      </c>
      <c r="G43" s="38">
        <v>1.5870229349954999E-2</v>
      </c>
      <c r="H43" s="39"/>
      <c r="L43" s="6"/>
      <c r="P43" s="24"/>
    </row>
    <row r="44" spans="1:16" ht="12.95" customHeight="1">
      <c r="A44" s="34" t="s">
        <v>132</v>
      </c>
      <c r="B44" s="35" t="s">
        <v>133</v>
      </c>
      <c r="C44" s="31" t="s">
        <v>134</v>
      </c>
      <c r="D44" s="31" t="s">
        <v>87</v>
      </c>
      <c r="E44" s="36">
        <v>589993</v>
      </c>
      <c r="F44" s="37">
        <v>577.60314700000004</v>
      </c>
      <c r="G44" s="38">
        <v>1.5557243872581001E-2</v>
      </c>
      <c r="H44" s="39"/>
      <c r="L44" s="6"/>
      <c r="P44" s="24"/>
    </row>
    <row r="45" spans="1:16" ht="12.95" customHeight="1">
      <c r="A45" s="34" t="s">
        <v>135</v>
      </c>
      <c r="B45" s="35" t="s">
        <v>136</v>
      </c>
      <c r="C45" s="31" t="s">
        <v>137</v>
      </c>
      <c r="D45" s="31" t="s">
        <v>91</v>
      </c>
      <c r="E45" s="36">
        <v>77298</v>
      </c>
      <c r="F45" s="37">
        <v>572.77818000000002</v>
      </c>
      <c r="G45" s="38">
        <v>1.5427287537186999E-2</v>
      </c>
      <c r="H45" s="39"/>
      <c r="L45" s="6"/>
      <c r="P45" s="24"/>
    </row>
    <row r="46" spans="1:16" ht="12.95" customHeight="1">
      <c r="A46" s="34" t="s">
        <v>138</v>
      </c>
      <c r="B46" s="35" t="s">
        <v>139</v>
      </c>
      <c r="C46" s="31" t="s">
        <v>140</v>
      </c>
      <c r="D46" s="31" t="s">
        <v>25</v>
      </c>
      <c r="E46" s="36">
        <v>49808</v>
      </c>
      <c r="F46" s="37">
        <v>498.70260000000002</v>
      </c>
      <c r="G46" s="38">
        <v>1.3432125514527E-2</v>
      </c>
      <c r="H46" s="39"/>
      <c r="L46" s="6"/>
      <c r="P46" s="24"/>
    </row>
    <row r="47" spans="1:16" ht="12.95" customHeight="1">
      <c r="A47" s="34" t="s">
        <v>141</v>
      </c>
      <c r="B47" s="35" t="s">
        <v>142</v>
      </c>
      <c r="C47" s="31" t="s">
        <v>143</v>
      </c>
      <c r="D47" s="31" t="s">
        <v>144</v>
      </c>
      <c r="E47" s="36">
        <v>60031</v>
      </c>
      <c r="F47" s="37">
        <v>493.034603</v>
      </c>
      <c r="G47" s="38">
        <v>1.3279462891313E-2</v>
      </c>
      <c r="H47" s="39"/>
      <c r="L47" s="6"/>
      <c r="P47" s="24"/>
    </row>
    <row r="48" spans="1:16" ht="12.95" customHeight="1">
      <c r="A48" s="34" t="s">
        <v>145</v>
      </c>
      <c r="B48" s="35" t="s">
        <v>146</v>
      </c>
      <c r="C48" s="31" t="s">
        <v>147</v>
      </c>
      <c r="D48" s="31" t="s">
        <v>37</v>
      </c>
      <c r="E48" s="36">
        <v>152906</v>
      </c>
      <c r="F48" s="37">
        <v>492.81603799999999</v>
      </c>
      <c r="G48" s="38">
        <v>1.3273576031062001E-2</v>
      </c>
      <c r="H48" s="39"/>
      <c r="L48" s="6"/>
      <c r="P48" s="24"/>
    </row>
    <row r="49" spans="1:16" ht="12.95" customHeight="1">
      <c r="A49" s="34" t="s">
        <v>148</v>
      </c>
      <c r="B49" s="35" t="s">
        <v>149</v>
      </c>
      <c r="C49" s="31" t="s">
        <v>150</v>
      </c>
      <c r="D49" s="31" t="s">
        <v>95</v>
      </c>
      <c r="E49" s="36">
        <v>56239</v>
      </c>
      <c r="F49" s="37">
        <v>336.16862250000003</v>
      </c>
      <c r="G49" s="38">
        <v>9.0544126528833008E-3</v>
      </c>
      <c r="H49" s="39"/>
      <c r="L49" s="6"/>
      <c r="P49" s="24"/>
    </row>
    <row r="50" spans="1:16" ht="12.95" customHeight="1">
      <c r="A50" s="34" t="s">
        <v>151</v>
      </c>
      <c r="B50" s="35" t="s">
        <v>152</v>
      </c>
      <c r="C50" s="31" t="s">
        <v>153</v>
      </c>
      <c r="D50" s="31" t="s">
        <v>52</v>
      </c>
      <c r="E50" s="36">
        <v>6892</v>
      </c>
      <c r="F50" s="37">
        <v>270.90384399999999</v>
      </c>
      <c r="G50" s="38">
        <v>7.296561989001E-3</v>
      </c>
      <c r="H50" s="39"/>
      <c r="L50" s="6"/>
      <c r="P50" s="24"/>
    </row>
    <row r="51" spans="1:16" ht="12.95" customHeight="1">
      <c r="A51" s="34" t="s">
        <v>154</v>
      </c>
      <c r="B51" s="35" t="s">
        <v>155</v>
      </c>
      <c r="C51" s="31" t="s">
        <v>156</v>
      </c>
      <c r="D51" s="31" t="s">
        <v>29</v>
      </c>
      <c r="E51" s="36">
        <v>16797</v>
      </c>
      <c r="F51" s="37">
        <v>268.46645100000001</v>
      </c>
      <c r="G51" s="38">
        <v>7.2309129053502999E-3</v>
      </c>
      <c r="H51" s="39"/>
      <c r="L51" s="6"/>
      <c r="P51" s="24"/>
    </row>
    <row r="52" spans="1:16" ht="12.95" customHeight="1">
      <c r="A52" s="34" t="s">
        <v>157</v>
      </c>
      <c r="B52" s="35" t="s">
        <v>158</v>
      </c>
      <c r="C52" s="31" t="s">
        <v>159</v>
      </c>
      <c r="D52" s="31" t="s">
        <v>29</v>
      </c>
      <c r="E52" s="36">
        <v>40700</v>
      </c>
      <c r="F52" s="37">
        <v>241.22890000000001</v>
      </c>
      <c r="G52" s="38">
        <v>6.4972929006814999E-3</v>
      </c>
      <c r="H52" s="39"/>
      <c r="L52" s="6"/>
      <c r="P52" s="24"/>
    </row>
    <row r="53" spans="1:16" ht="12.95" customHeight="1">
      <c r="A53" s="34" t="s">
        <v>160</v>
      </c>
      <c r="B53" s="35" t="s">
        <v>161</v>
      </c>
      <c r="C53" s="31" t="s">
        <v>162</v>
      </c>
      <c r="D53" s="31" t="s">
        <v>37</v>
      </c>
      <c r="E53" s="36">
        <v>2016</v>
      </c>
      <c r="F53" s="37">
        <v>206.62992</v>
      </c>
      <c r="G53" s="38">
        <v>5.5653991386786002E-3</v>
      </c>
      <c r="H53" s="39"/>
      <c r="L53" s="6"/>
      <c r="P53" s="24"/>
    </row>
    <row r="54" spans="1:16" ht="12.95" customHeight="1">
      <c r="A54" s="34" t="s">
        <v>163</v>
      </c>
      <c r="B54" s="35" t="s">
        <v>164</v>
      </c>
      <c r="C54" s="31" t="s">
        <v>165</v>
      </c>
      <c r="D54" s="31" t="s">
        <v>29</v>
      </c>
      <c r="E54" s="36">
        <v>24848</v>
      </c>
      <c r="F54" s="37">
        <v>168.75519199999999</v>
      </c>
      <c r="G54" s="38">
        <v>4.5452759223075997E-3</v>
      </c>
      <c r="H54" s="39"/>
      <c r="L54" s="6"/>
      <c r="P54" s="24"/>
    </row>
    <row r="55" spans="1:16" ht="12.95" customHeight="1">
      <c r="A55" s="34" t="s">
        <v>166</v>
      </c>
      <c r="B55" s="35" t="s">
        <v>167</v>
      </c>
      <c r="C55" s="31" t="s">
        <v>168</v>
      </c>
      <c r="D55" s="31" t="s">
        <v>29</v>
      </c>
      <c r="E55" s="36">
        <v>17047</v>
      </c>
      <c r="F55" s="37">
        <v>166.412814</v>
      </c>
      <c r="G55" s="38">
        <v>4.4821859859436996E-3</v>
      </c>
      <c r="H55" s="39"/>
      <c r="L55" s="6"/>
      <c r="P55" s="24"/>
    </row>
    <row r="56" spans="1:16" ht="12.95" customHeight="1">
      <c r="A56" s="34" t="s">
        <v>169</v>
      </c>
      <c r="B56" s="35" t="s">
        <v>170</v>
      </c>
      <c r="C56" s="31" t="s">
        <v>171</v>
      </c>
      <c r="D56" s="31" t="s">
        <v>71</v>
      </c>
      <c r="E56" s="36">
        <v>12948</v>
      </c>
      <c r="F56" s="37">
        <v>156.18525</v>
      </c>
      <c r="G56" s="38">
        <v>4.2067153480206997E-3</v>
      </c>
      <c r="H56" s="39"/>
      <c r="L56" s="6"/>
      <c r="P56" s="24"/>
    </row>
    <row r="57" spans="1:16" ht="12.95" customHeight="1">
      <c r="A57" s="34" t="s">
        <v>172</v>
      </c>
      <c r="B57" s="35" t="s">
        <v>173</v>
      </c>
      <c r="C57" s="31" t="s">
        <v>174</v>
      </c>
      <c r="D57" s="31" t="s">
        <v>37</v>
      </c>
      <c r="E57" s="36">
        <v>83182</v>
      </c>
      <c r="F57" s="37">
        <v>129.73064719999999</v>
      </c>
      <c r="G57" s="38">
        <v>3.4941833795758999E-3</v>
      </c>
      <c r="H57" s="39"/>
      <c r="L57" s="6"/>
      <c r="P57" s="24"/>
    </row>
    <row r="58" spans="1:16" ht="12.95" customHeight="1">
      <c r="A58" s="34" t="s">
        <v>175</v>
      </c>
      <c r="B58" s="35" t="s">
        <v>176</v>
      </c>
      <c r="C58" s="31" t="s">
        <v>177</v>
      </c>
      <c r="D58" s="31" t="s">
        <v>29</v>
      </c>
      <c r="E58" s="36">
        <v>146615</v>
      </c>
      <c r="F58" s="37">
        <v>121.10399</v>
      </c>
      <c r="G58" s="38">
        <v>3.2618317891065E-3</v>
      </c>
      <c r="H58" s="39"/>
      <c r="L58" s="6"/>
      <c r="P58" s="24"/>
    </row>
    <row r="59" spans="1:16" ht="12.95" customHeight="1">
      <c r="A59" s="34" t="s">
        <v>178</v>
      </c>
      <c r="B59" s="35" t="s">
        <v>179</v>
      </c>
      <c r="C59" s="31" t="s">
        <v>180</v>
      </c>
      <c r="D59" s="31" t="s">
        <v>87</v>
      </c>
      <c r="E59" s="36">
        <v>89944</v>
      </c>
      <c r="F59" s="37">
        <v>105.38738480000001</v>
      </c>
      <c r="G59" s="38">
        <v>2.8385185484923999E-3</v>
      </c>
      <c r="H59" s="39"/>
      <c r="L59" s="6"/>
      <c r="P59" s="24"/>
    </row>
    <row r="60" spans="1:16" ht="12.95" customHeight="1">
      <c r="A60" s="34" t="s">
        <v>181</v>
      </c>
      <c r="B60" s="35" t="s">
        <v>182</v>
      </c>
      <c r="C60" s="31" t="s">
        <v>183</v>
      </c>
      <c r="D60" s="31" t="s">
        <v>91</v>
      </c>
      <c r="E60" s="36">
        <v>10334</v>
      </c>
      <c r="F60" s="37">
        <v>95.387986999999995</v>
      </c>
      <c r="G60" s="38">
        <v>2.5691933708830001E-3</v>
      </c>
      <c r="H60" s="39"/>
      <c r="L60" s="6"/>
      <c r="P60" s="24"/>
    </row>
    <row r="61" spans="1:16" ht="12.95" customHeight="1">
      <c r="A61" s="34" t="s">
        <v>184</v>
      </c>
      <c r="B61" s="35" t="s">
        <v>185</v>
      </c>
      <c r="C61" s="31" t="s">
        <v>186</v>
      </c>
      <c r="D61" s="31" t="s">
        <v>56</v>
      </c>
      <c r="E61" s="36">
        <v>12908</v>
      </c>
      <c r="F61" s="37">
        <v>92.724618000000007</v>
      </c>
      <c r="G61" s="38">
        <v>2.4974578180715998E-3</v>
      </c>
      <c r="H61" s="39"/>
      <c r="L61" s="6"/>
      <c r="P61" s="24"/>
    </row>
    <row r="62" spans="1:16" ht="12.95" customHeight="1">
      <c r="A62" s="22"/>
      <c r="B62" s="30" t="s">
        <v>187</v>
      </c>
      <c r="C62" s="31"/>
      <c r="D62" s="31"/>
      <c r="E62" s="31"/>
      <c r="F62" s="40">
        <v>37118.840744699999</v>
      </c>
      <c r="G62" s="41">
        <v>0.99976404341297997</v>
      </c>
      <c r="H62" s="42"/>
      <c r="L62" s="6"/>
      <c r="P62" s="24"/>
    </row>
    <row r="63" spans="1:16" ht="12.95" customHeight="1">
      <c r="A63" s="22"/>
      <c r="B63" s="43" t="s">
        <v>188</v>
      </c>
      <c r="C63" s="44"/>
      <c r="D63" s="44"/>
      <c r="E63" s="44"/>
      <c r="F63" s="45" t="s">
        <v>189</v>
      </c>
      <c r="G63" s="45" t="s">
        <v>189</v>
      </c>
      <c r="H63" s="42"/>
      <c r="L63" s="6"/>
      <c r="P63" s="24"/>
    </row>
    <row r="64" spans="1:16" ht="12.95" customHeight="1">
      <c r="A64" s="22"/>
      <c r="B64" s="43" t="s">
        <v>187</v>
      </c>
      <c r="C64" s="44"/>
      <c r="D64" s="44"/>
      <c r="E64" s="44"/>
      <c r="F64" s="45" t="s">
        <v>189</v>
      </c>
      <c r="G64" s="45" t="s">
        <v>189</v>
      </c>
      <c r="H64" s="42"/>
      <c r="L64" s="6"/>
      <c r="P64" s="24"/>
    </row>
    <row r="65" spans="1:16" ht="12.95" customHeight="1">
      <c r="A65" s="22"/>
      <c r="B65" s="43" t="s">
        <v>190</v>
      </c>
      <c r="C65" s="46"/>
      <c r="D65" s="44"/>
      <c r="E65" s="46"/>
      <c r="F65" s="40">
        <v>37118.840744699999</v>
      </c>
      <c r="G65" s="41">
        <v>0.99976404341297997</v>
      </c>
      <c r="H65" s="42"/>
      <c r="L65" s="6"/>
      <c r="P65" s="24"/>
    </row>
    <row r="66" spans="1:16" ht="12.95" customHeight="1">
      <c r="A66" s="22"/>
      <c r="B66" s="30" t="s">
        <v>191</v>
      </c>
      <c r="C66" s="31"/>
      <c r="D66" s="31"/>
      <c r="E66" s="31"/>
      <c r="F66" s="31"/>
      <c r="G66" s="32"/>
      <c r="H66" s="33"/>
      <c r="L66" s="6"/>
      <c r="P66" s="24"/>
    </row>
    <row r="67" spans="1:16" ht="12.95" customHeight="1">
      <c r="A67" s="34" t="s">
        <v>192</v>
      </c>
      <c r="B67" s="35" t="s">
        <v>193</v>
      </c>
      <c r="C67" s="31"/>
      <c r="D67" s="31"/>
      <c r="E67" s="36"/>
      <c r="F67" s="37">
        <v>2.0969100000000001E-2</v>
      </c>
      <c r="G67" s="38">
        <v>5.6478466951381003E-7</v>
      </c>
      <c r="H67" s="47">
        <v>6.3045878908120995E-2</v>
      </c>
      <c r="L67" s="6"/>
      <c r="P67" s="24"/>
    </row>
    <row r="68" spans="1:16" ht="12.95" customHeight="1">
      <c r="A68" s="22"/>
      <c r="B68" s="30" t="s">
        <v>187</v>
      </c>
      <c r="C68" s="31"/>
      <c r="D68" s="31"/>
      <c r="E68" s="31"/>
      <c r="F68" s="40">
        <v>2.0969100000000001E-2</v>
      </c>
      <c r="G68" s="41">
        <v>5.6478466951381003E-7</v>
      </c>
      <c r="H68" s="42"/>
      <c r="L68" s="6"/>
      <c r="P68" s="24"/>
    </row>
    <row r="69" spans="1:16" ht="12.95" customHeight="1">
      <c r="A69" s="22"/>
      <c r="B69" s="43" t="s">
        <v>190</v>
      </c>
      <c r="C69" s="46"/>
      <c r="D69" s="44"/>
      <c r="E69" s="46"/>
      <c r="F69" s="40">
        <v>2.0969100000000001E-2</v>
      </c>
      <c r="G69" s="41">
        <v>5.6478466951381003E-7</v>
      </c>
      <c r="H69" s="42"/>
      <c r="L69" s="6"/>
      <c r="P69" s="24"/>
    </row>
    <row r="70" spans="1:16" ht="12.95" customHeight="1">
      <c r="A70" s="22"/>
      <c r="B70" s="43" t="s">
        <v>194</v>
      </c>
      <c r="C70" s="31"/>
      <c r="D70" s="44"/>
      <c r="E70" s="31"/>
      <c r="F70" s="40">
        <f>8.9810329744207-0.2415</f>
        <v>8.7395329744206993</v>
      </c>
      <c r="G70" s="41">
        <f>0.024189639709624%-0.000056478466951381%</f>
        <v>2.413316124267262E-4</v>
      </c>
      <c r="H70" s="42"/>
      <c r="L70" s="6"/>
      <c r="P70" s="24"/>
    </row>
    <row r="71" spans="1:16" ht="12.95" customHeight="1" thickBot="1">
      <c r="A71" s="22"/>
      <c r="B71" s="48" t="s">
        <v>195</v>
      </c>
      <c r="C71" s="49"/>
      <c r="D71" s="49"/>
      <c r="E71" s="49"/>
      <c r="F71" s="50">
        <v>37127.601246774</v>
      </c>
      <c r="G71" s="51">
        <v>1</v>
      </c>
      <c r="H71" s="52"/>
      <c r="L71" s="6"/>
      <c r="P71" s="24"/>
    </row>
    <row r="72" spans="1:16" ht="12.95" customHeight="1">
      <c r="A72" s="22"/>
      <c r="B72" s="11"/>
      <c r="C72" s="22"/>
      <c r="D72" s="22"/>
      <c r="E72" s="22"/>
      <c r="F72" s="22"/>
      <c r="G72" s="22"/>
      <c r="H72" s="22"/>
      <c r="L72" s="6"/>
      <c r="P72" s="24"/>
    </row>
    <row r="73" spans="1:16" ht="12.95" customHeight="1">
      <c r="A73" s="22"/>
      <c r="B73" s="53" t="s">
        <v>196</v>
      </c>
      <c r="C73" s="22"/>
      <c r="D73" s="22"/>
      <c r="E73" s="22"/>
      <c r="F73" s="22"/>
      <c r="G73" s="22"/>
      <c r="H73" s="22"/>
      <c r="L73" s="6"/>
      <c r="P73" s="24"/>
    </row>
    <row r="74" spans="1:16" ht="12.95" customHeight="1">
      <c r="A74" s="22"/>
      <c r="B74" s="53" t="s">
        <v>197</v>
      </c>
      <c r="C74" s="22"/>
      <c r="D74" s="22"/>
      <c r="E74" s="22"/>
      <c r="F74" s="22"/>
      <c r="G74" s="22"/>
      <c r="H74" s="22"/>
      <c r="L74" s="6"/>
      <c r="P74" s="24"/>
    </row>
    <row r="75" spans="1:16" ht="12.95" customHeight="1">
      <c r="A75" s="22"/>
      <c r="B75" s="53" t="s">
        <v>198</v>
      </c>
      <c r="C75" s="22"/>
      <c r="D75" s="22"/>
      <c r="E75" s="22"/>
      <c r="F75" s="22"/>
      <c r="G75" s="22"/>
      <c r="H75" s="22"/>
      <c r="L75" s="6"/>
      <c r="P75" s="24"/>
    </row>
    <row r="76" spans="1:16" ht="12.95" customHeight="1">
      <c r="A76" s="22"/>
      <c r="B76" s="53"/>
      <c r="C76" s="22"/>
      <c r="D76" s="22"/>
      <c r="E76" s="22"/>
      <c r="F76" s="22"/>
      <c r="G76" s="22"/>
      <c r="H76" s="22"/>
      <c r="L76" s="6"/>
      <c r="P76" s="24"/>
    </row>
    <row r="77" spans="1:16" ht="12.95" customHeight="1">
      <c r="A77" s="22"/>
      <c r="B77" s="54" t="s">
        <v>199</v>
      </c>
      <c r="C77" s="54" t="s">
        <v>200</v>
      </c>
      <c r="D77" s="54" t="s">
        <v>201</v>
      </c>
      <c r="E77" s="22"/>
      <c r="F77" s="22"/>
      <c r="G77" s="22"/>
      <c r="H77" s="22"/>
      <c r="L77" s="6"/>
      <c r="P77" s="24"/>
    </row>
    <row r="78" spans="1:16" ht="12.95" customHeight="1">
      <c r="A78" s="22"/>
      <c r="B78" s="55">
        <v>1</v>
      </c>
      <c r="C78" s="56" t="s">
        <v>118</v>
      </c>
      <c r="D78" s="57">
        <v>475</v>
      </c>
      <c r="E78" s="22"/>
      <c r="F78" s="22"/>
      <c r="G78" s="22"/>
      <c r="H78" s="22"/>
      <c r="L78" s="6"/>
      <c r="P78" s="24"/>
    </row>
    <row r="79" spans="1:16" ht="12.95" customHeight="1">
      <c r="A79" s="22"/>
      <c r="B79" s="53"/>
      <c r="C79" s="22"/>
      <c r="D79" s="22"/>
      <c r="E79" s="22"/>
      <c r="F79" s="22"/>
      <c r="G79" s="22"/>
      <c r="H79" s="22"/>
      <c r="L79" s="6"/>
      <c r="P79" s="24"/>
    </row>
    <row r="80" spans="1:16" ht="12.95" customHeight="1">
      <c r="A80" s="22"/>
      <c r="B80" s="53"/>
      <c r="C80" s="22"/>
      <c r="D80" s="22"/>
      <c r="E80" s="22"/>
      <c r="F80" s="22"/>
      <c r="G80" s="22"/>
      <c r="H80" s="22"/>
      <c r="L80" s="6"/>
      <c r="P80" s="24"/>
    </row>
    <row r="81" spans="1:16" ht="12.95" customHeight="1">
      <c r="A81" s="22"/>
      <c r="B81" s="53"/>
      <c r="C81" s="22"/>
      <c r="D81" s="22"/>
      <c r="E81" s="22"/>
      <c r="F81" s="22"/>
      <c r="G81" s="22"/>
      <c r="H81" s="22"/>
      <c r="L81" s="6"/>
      <c r="P81" s="24"/>
    </row>
    <row r="82" spans="1:16">
      <c r="L82" s="6"/>
      <c r="P82" s="24"/>
    </row>
    <row r="83" spans="1:16">
      <c r="L83" s="6"/>
      <c r="P83" s="24"/>
    </row>
    <row r="84" spans="1:16">
      <c r="L84" s="6"/>
      <c r="P84" s="24"/>
    </row>
    <row r="85" spans="1:16">
      <c r="L85" s="6"/>
      <c r="P85" s="24"/>
    </row>
    <row r="86" spans="1:16">
      <c r="L86" s="6"/>
      <c r="P86" s="24"/>
    </row>
    <row r="87" spans="1:16">
      <c r="L87" s="6"/>
      <c r="P87" s="24"/>
    </row>
    <row r="88" spans="1:16">
      <c r="L88" s="6"/>
      <c r="P88" s="24"/>
    </row>
    <row r="89" spans="1:16">
      <c r="L89" s="6"/>
      <c r="P89" s="24"/>
    </row>
    <row r="90" spans="1:16">
      <c r="L90" s="6"/>
      <c r="P90" s="24"/>
    </row>
    <row r="91" spans="1:16">
      <c r="L91" s="6"/>
      <c r="P91" s="24"/>
    </row>
    <row r="92" spans="1:16">
      <c r="L92" s="6"/>
      <c r="P92" s="24"/>
    </row>
    <row r="93" spans="1:16">
      <c r="L93" s="6"/>
      <c r="P93" s="24"/>
    </row>
    <row r="94" spans="1:16">
      <c r="L94" s="6"/>
      <c r="P94" s="24"/>
    </row>
    <row r="95" spans="1:16">
      <c r="L95" s="6"/>
      <c r="P95" s="24"/>
    </row>
    <row r="96" spans="1:16">
      <c r="L96" s="6"/>
      <c r="P96" s="24"/>
    </row>
    <row r="97" spans="12:16">
      <c r="L97" s="6"/>
      <c r="P97" s="24"/>
    </row>
    <row r="98" spans="12:16">
      <c r="L98" s="6"/>
      <c r="P98" s="24"/>
    </row>
    <row r="99" spans="12:16">
      <c r="L99" s="6"/>
      <c r="P99" s="24"/>
    </row>
    <row r="100" spans="12:16">
      <c r="L100" s="6"/>
      <c r="P100" s="24"/>
    </row>
    <row r="101" spans="12:16">
      <c r="L101" s="6"/>
      <c r="P101" s="24"/>
    </row>
    <row r="102" spans="12:16">
      <c r="L102" s="6"/>
      <c r="P102" s="24"/>
    </row>
    <row r="103" spans="12:16">
      <c r="L103" s="6"/>
      <c r="P103" s="24"/>
    </row>
    <row r="104" spans="12:16">
      <c r="L104" s="6"/>
      <c r="P104" s="24"/>
    </row>
    <row r="105" spans="12:16">
      <c r="L105" s="6"/>
      <c r="P105" s="24"/>
    </row>
    <row r="106" spans="12:16">
      <c r="L106" s="6"/>
      <c r="P106" s="24"/>
    </row>
    <row r="107" spans="12:16">
      <c r="L107" s="6"/>
      <c r="P107" s="24"/>
    </row>
    <row r="108" spans="12:16">
      <c r="L108" s="6"/>
      <c r="P108" s="24"/>
    </row>
    <row r="109" spans="12:16">
      <c r="L109" s="6"/>
      <c r="P109" s="24"/>
    </row>
    <row r="110" spans="12:16">
      <c r="L110" s="6"/>
      <c r="P110" s="24"/>
    </row>
    <row r="111" spans="12:16">
      <c r="L111" s="6"/>
      <c r="P111" s="24"/>
    </row>
    <row r="112" spans="12:16">
      <c r="L112" s="6"/>
      <c r="P112" s="24"/>
    </row>
    <row r="113" spans="12:16">
      <c r="L113" s="6"/>
      <c r="P113" s="24"/>
    </row>
    <row r="114" spans="12:16">
      <c r="L114" s="6"/>
      <c r="P114" s="24"/>
    </row>
    <row r="115" spans="12:16">
      <c r="L115" s="6"/>
      <c r="P115" s="24"/>
    </row>
    <row r="116" spans="12:16">
      <c r="L116" s="6"/>
      <c r="P116" s="24"/>
    </row>
    <row r="117" spans="12:16">
      <c r="L117" s="6"/>
      <c r="P117" s="24"/>
    </row>
    <row r="118" spans="12:16">
      <c r="L118" s="6"/>
      <c r="P118" s="24"/>
    </row>
    <row r="119" spans="12:16">
      <c r="L119" s="6"/>
      <c r="P119" s="24"/>
    </row>
    <row r="120" spans="12:16">
      <c r="L120" s="6"/>
      <c r="P120" s="24"/>
    </row>
    <row r="121" spans="12:16">
      <c r="L121" s="6"/>
      <c r="P121" s="24"/>
    </row>
    <row r="122" spans="12:16">
      <c r="L122" s="6"/>
      <c r="P122" s="24"/>
    </row>
    <row r="123" spans="12:16">
      <c r="L123" s="6"/>
      <c r="P123" s="24"/>
    </row>
    <row r="124" spans="12:16">
      <c r="L124" s="6"/>
      <c r="P124" s="24"/>
    </row>
    <row r="125" spans="12:16">
      <c r="L125" s="6"/>
      <c r="P125" s="24"/>
    </row>
    <row r="126" spans="12:16">
      <c r="L126" s="6"/>
      <c r="P126" s="24"/>
    </row>
    <row r="127" spans="12:16">
      <c r="L127" s="6"/>
      <c r="P127" s="24"/>
    </row>
    <row r="128" spans="12:16">
      <c r="L128" s="6"/>
      <c r="P128" s="24"/>
    </row>
    <row r="129" spans="12:16">
      <c r="L129" s="6"/>
      <c r="P129" s="24"/>
    </row>
    <row r="130" spans="12:16">
      <c r="L130" s="6"/>
      <c r="P130" s="24"/>
    </row>
    <row r="131" spans="12:16">
      <c r="L131" s="6"/>
      <c r="P131" s="24"/>
    </row>
    <row r="132" spans="12:16">
      <c r="L132" s="6"/>
      <c r="P132" s="24"/>
    </row>
    <row r="133" spans="12:16">
      <c r="L133" s="6"/>
      <c r="P133" s="24"/>
    </row>
    <row r="134" spans="12:16">
      <c r="L134" s="6"/>
      <c r="P134" s="24"/>
    </row>
    <row r="135" spans="12:16">
      <c r="L135" s="6"/>
      <c r="P135" s="24"/>
    </row>
    <row r="136" spans="12:16">
      <c r="L136" s="6"/>
      <c r="P136" s="24"/>
    </row>
    <row r="137" spans="12:16">
      <c r="L137" s="6"/>
      <c r="P137" s="24"/>
    </row>
    <row r="138" spans="12:16">
      <c r="L138" s="6"/>
      <c r="P138" s="24"/>
    </row>
    <row r="139" spans="12:16">
      <c r="L139" s="6"/>
      <c r="P139" s="24"/>
    </row>
    <row r="140" spans="12:16">
      <c r="L140" s="6"/>
      <c r="P140" s="24"/>
    </row>
    <row r="141" spans="12:16">
      <c r="L141" s="6"/>
      <c r="P141" s="24"/>
    </row>
    <row r="142" spans="12:16">
      <c r="L142" s="6"/>
      <c r="P142" s="24"/>
    </row>
    <row r="143" spans="12:16">
      <c r="L143" s="6"/>
      <c r="P143" s="24"/>
    </row>
    <row r="144" spans="12:16">
      <c r="L144" s="6"/>
      <c r="P144" s="24"/>
    </row>
    <row r="145" spans="12:16">
      <c r="L145" s="6"/>
      <c r="P145" s="24"/>
    </row>
    <row r="146" spans="12:16">
      <c r="L146" s="6"/>
      <c r="P146" s="24"/>
    </row>
    <row r="147" spans="12:16">
      <c r="L147" s="6"/>
      <c r="P147" s="24"/>
    </row>
    <row r="148" spans="12:16">
      <c r="L148" s="6"/>
      <c r="P148" s="24"/>
    </row>
    <row r="149" spans="12:16">
      <c r="L149" s="6"/>
      <c r="P149" s="24"/>
    </row>
    <row r="150" spans="12:16">
      <c r="L150" s="6"/>
      <c r="P150" s="24"/>
    </row>
    <row r="151" spans="12:16">
      <c r="L151" s="6"/>
      <c r="P151" s="24"/>
    </row>
    <row r="152" spans="12:16">
      <c r="L152" s="6"/>
      <c r="P152" s="24"/>
    </row>
    <row r="153" spans="12:16">
      <c r="L153" s="6"/>
      <c r="P153" s="24"/>
    </row>
    <row r="154" spans="12:16">
      <c r="L154" s="6"/>
      <c r="P154" s="24"/>
    </row>
    <row r="155" spans="12:16">
      <c r="L155" s="6"/>
      <c r="P155" s="24"/>
    </row>
    <row r="156" spans="12:16">
      <c r="L156" s="6"/>
      <c r="P156" s="24"/>
    </row>
    <row r="157" spans="12:16">
      <c r="L157" s="6"/>
      <c r="P157" s="24"/>
    </row>
    <row r="158" spans="12:16">
      <c r="L158" s="6"/>
      <c r="P158" s="24"/>
    </row>
    <row r="159" spans="12:16">
      <c r="L159" s="6"/>
      <c r="P159" s="24"/>
    </row>
    <row r="160" spans="12:16">
      <c r="L160" s="6"/>
      <c r="P160" s="24"/>
    </row>
    <row r="161" spans="12:16">
      <c r="L161" s="6"/>
      <c r="P161" s="24"/>
    </row>
    <row r="162" spans="12:16">
      <c r="L162" s="6"/>
      <c r="P162" s="24"/>
    </row>
    <row r="163" spans="12:16">
      <c r="L163" s="6"/>
      <c r="P163" s="24"/>
    </row>
    <row r="164" spans="12:16">
      <c r="L164" s="6"/>
      <c r="P164" s="24"/>
    </row>
    <row r="165" spans="12:16">
      <c r="L165" s="6"/>
      <c r="P165" s="24"/>
    </row>
    <row r="166" spans="12:16">
      <c r="L166" s="6"/>
      <c r="P166" s="24"/>
    </row>
    <row r="167" spans="12:16">
      <c r="L167" s="6"/>
      <c r="P167" s="24"/>
    </row>
    <row r="168" spans="12:16">
      <c r="L168" s="6"/>
      <c r="P168" s="24"/>
    </row>
    <row r="169" spans="12:16">
      <c r="L169" s="6"/>
      <c r="P169" s="24"/>
    </row>
    <row r="170" spans="12:16">
      <c r="L170" s="6"/>
      <c r="P170" s="24"/>
    </row>
    <row r="171" spans="12:16">
      <c r="L171" s="6"/>
      <c r="P171" s="24"/>
    </row>
    <row r="172" spans="12:16">
      <c r="L172" s="6"/>
      <c r="P172" s="24"/>
    </row>
    <row r="173" spans="12:16">
      <c r="L173" s="6"/>
      <c r="P173" s="24"/>
    </row>
    <row r="174" spans="12:16">
      <c r="L174" s="6"/>
      <c r="P174" s="24"/>
    </row>
    <row r="175" spans="12:16">
      <c r="L175" s="6"/>
      <c r="P175" s="24"/>
    </row>
    <row r="176" spans="12:16">
      <c r="L176" s="6"/>
      <c r="P176" s="24"/>
    </row>
    <row r="177" spans="12:16">
      <c r="L177" s="6"/>
      <c r="P177" s="24"/>
    </row>
    <row r="178" spans="12:16">
      <c r="L178" s="6"/>
      <c r="P178" s="24"/>
    </row>
    <row r="179" spans="12:16">
      <c r="L179" s="6"/>
      <c r="P179" s="24"/>
    </row>
    <row r="180" spans="12:16">
      <c r="L180" s="6"/>
      <c r="P180" s="24"/>
    </row>
    <row r="181" spans="12:16">
      <c r="L181" s="6"/>
      <c r="P181" s="24"/>
    </row>
    <row r="182" spans="12:16">
      <c r="L182" s="6"/>
      <c r="P182" s="24"/>
    </row>
    <row r="183" spans="12:16">
      <c r="L183" s="6"/>
      <c r="P183" s="24"/>
    </row>
    <row r="184" spans="12:16">
      <c r="L184" s="6"/>
      <c r="P184" s="24"/>
    </row>
    <row r="185" spans="12:16">
      <c r="L185" s="6"/>
      <c r="P185" s="24"/>
    </row>
    <row r="186" spans="12:16">
      <c r="L186" s="6"/>
      <c r="P186" s="24"/>
    </row>
    <row r="187" spans="12:16">
      <c r="L187" s="6"/>
      <c r="P187" s="24"/>
    </row>
    <row r="188" spans="12:16">
      <c r="L188" s="6"/>
      <c r="P188" s="24"/>
    </row>
    <row r="189" spans="12:16">
      <c r="L189" s="6"/>
      <c r="P189" s="24"/>
    </row>
    <row r="190" spans="12:16">
      <c r="L190" s="6"/>
      <c r="P190" s="24"/>
    </row>
    <row r="191" spans="12:16">
      <c r="L191" s="6"/>
      <c r="P191" s="24"/>
    </row>
    <row r="192" spans="12:16">
      <c r="L192" s="6"/>
      <c r="P192" s="24"/>
    </row>
    <row r="193" spans="12:16">
      <c r="L193" s="6"/>
      <c r="P193" s="24"/>
    </row>
    <row r="194" spans="12:16">
      <c r="L194" s="6"/>
      <c r="P194" s="24"/>
    </row>
    <row r="195" spans="12:16">
      <c r="L195" s="6"/>
      <c r="P195" s="24"/>
    </row>
    <row r="196" spans="12:16">
      <c r="L196" s="6"/>
      <c r="P196" s="24"/>
    </row>
    <row r="197" spans="12:16">
      <c r="L197" s="6"/>
      <c r="P197" s="24"/>
    </row>
    <row r="198" spans="12:16">
      <c r="L198" s="6"/>
      <c r="P198" s="24"/>
    </row>
    <row r="199" spans="12:16">
      <c r="L199" s="6"/>
      <c r="P199" s="24"/>
    </row>
    <row r="200" spans="12:16">
      <c r="L200" s="6"/>
      <c r="P200" s="24"/>
    </row>
    <row r="201" spans="12:16">
      <c r="L201" s="6"/>
      <c r="P201" s="24"/>
    </row>
    <row r="202" spans="12:16">
      <c r="L202" s="6"/>
      <c r="P202" s="24"/>
    </row>
    <row r="203" spans="12:16">
      <c r="L203" s="6"/>
      <c r="P203" s="24"/>
    </row>
    <row r="204" spans="12:16">
      <c r="L204" s="6"/>
      <c r="P204" s="24"/>
    </row>
    <row r="205" spans="12:16">
      <c r="L205" s="6"/>
      <c r="P205" s="24"/>
    </row>
    <row r="206" spans="12:16">
      <c r="L206" s="6"/>
      <c r="P206" s="24"/>
    </row>
    <row r="207" spans="12:16">
      <c r="L207" s="6"/>
      <c r="P207" s="24"/>
    </row>
    <row r="208" spans="12:16">
      <c r="L208" s="6"/>
      <c r="P208" s="24"/>
    </row>
    <row r="209" spans="12:16">
      <c r="L209" s="6"/>
      <c r="P209" s="24"/>
    </row>
    <row r="210" spans="12:16">
      <c r="L210" s="6"/>
      <c r="P210" s="24"/>
    </row>
    <row r="211" spans="12:16">
      <c r="L211" s="6"/>
      <c r="P211" s="24"/>
    </row>
    <row r="212" spans="12:16">
      <c r="L212" s="6"/>
      <c r="P212" s="24"/>
    </row>
    <row r="213" spans="12:16">
      <c r="L213" s="6"/>
      <c r="P213" s="24"/>
    </row>
    <row r="214" spans="12:16">
      <c r="L214" s="6"/>
      <c r="P214" s="24"/>
    </row>
    <row r="215" spans="12:16">
      <c r="L215" s="6"/>
      <c r="P215" s="24"/>
    </row>
    <row r="216" spans="12:16">
      <c r="L216" s="6"/>
      <c r="P216" s="24"/>
    </row>
    <row r="217" spans="12:16">
      <c r="L217" s="6"/>
      <c r="P217" s="24"/>
    </row>
    <row r="218" spans="12:16">
      <c r="L218" s="6"/>
      <c r="P218" s="24"/>
    </row>
    <row r="219" spans="12:16">
      <c r="L219" s="6"/>
      <c r="P219" s="24"/>
    </row>
    <row r="220" spans="12:16">
      <c r="L220" s="6"/>
      <c r="P220" s="24"/>
    </row>
    <row r="221" spans="12:16">
      <c r="L221" s="6"/>
      <c r="P221" s="24"/>
    </row>
    <row r="222" spans="12:16">
      <c r="L222" s="6"/>
      <c r="P222" s="24"/>
    </row>
    <row r="223" spans="12:16">
      <c r="L223" s="6"/>
      <c r="P223" s="24"/>
    </row>
    <row r="224" spans="12:16">
      <c r="L224" s="6"/>
      <c r="P224" s="24"/>
    </row>
    <row r="225" spans="12:16">
      <c r="L225" s="6"/>
      <c r="P225" s="24"/>
    </row>
    <row r="226" spans="12:16">
      <c r="L226" s="6"/>
      <c r="P226" s="24"/>
    </row>
    <row r="227" spans="12:16">
      <c r="L227" s="6"/>
      <c r="P227" s="24"/>
    </row>
    <row r="228" spans="12:16">
      <c r="L228" s="6"/>
      <c r="P228" s="24"/>
    </row>
    <row r="229" spans="12:16">
      <c r="L229" s="6"/>
      <c r="P229" s="24"/>
    </row>
    <row r="230" spans="12:16">
      <c r="L230" s="6"/>
      <c r="P230" s="24"/>
    </row>
    <row r="231" spans="12:16">
      <c r="L231" s="6"/>
      <c r="P231" s="24"/>
    </row>
    <row r="232" spans="12:16">
      <c r="L232" s="6"/>
      <c r="P232" s="24"/>
    </row>
    <row r="233" spans="12:16">
      <c r="L233" s="6"/>
      <c r="P233" s="24"/>
    </row>
    <row r="234" spans="12:16">
      <c r="L234" s="6"/>
      <c r="P234" s="24"/>
    </row>
    <row r="235" spans="12:16">
      <c r="L235" s="6"/>
      <c r="P235" s="24"/>
    </row>
    <row r="236" spans="12:16">
      <c r="L236" s="6"/>
      <c r="P236" s="24"/>
    </row>
    <row r="237" spans="12:16">
      <c r="L237" s="6"/>
      <c r="P237" s="24"/>
    </row>
    <row r="238" spans="12:16">
      <c r="L238" s="6"/>
      <c r="P238" s="24"/>
    </row>
    <row r="239" spans="12:16">
      <c r="L239" s="6"/>
      <c r="P239" s="24"/>
    </row>
    <row r="240" spans="12:16">
      <c r="L240" s="6"/>
      <c r="P240" s="24"/>
    </row>
    <row r="241" spans="12:16">
      <c r="L241" s="6"/>
      <c r="P241" s="24"/>
    </row>
    <row r="242" spans="12:16">
      <c r="L242" s="6"/>
      <c r="P242" s="24"/>
    </row>
    <row r="243" spans="12:16">
      <c r="L243" s="6"/>
      <c r="P243" s="24"/>
    </row>
    <row r="244" spans="12:16">
      <c r="L244" s="6"/>
      <c r="P244" s="24"/>
    </row>
    <row r="245" spans="12:16">
      <c r="L245" s="6"/>
      <c r="P245" s="24"/>
    </row>
    <row r="246" spans="12:16">
      <c r="L246" s="6"/>
      <c r="P246" s="24"/>
    </row>
    <row r="247" spans="12:16">
      <c r="L247" s="6"/>
      <c r="P247" s="24"/>
    </row>
    <row r="248" spans="12:16">
      <c r="L248" s="6"/>
      <c r="P248" s="24"/>
    </row>
    <row r="249" spans="12:16">
      <c r="L249" s="6"/>
      <c r="P249" s="24"/>
    </row>
    <row r="250" spans="12:16">
      <c r="L250" s="6"/>
      <c r="P250" s="24"/>
    </row>
    <row r="251" spans="12:16">
      <c r="L251" s="6"/>
      <c r="P251" s="24"/>
    </row>
    <row r="252" spans="12:16">
      <c r="L252" s="6"/>
      <c r="P252" s="24"/>
    </row>
    <row r="253" spans="12:16">
      <c r="L253" s="6"/>
      <c r="P253" s="24"/>
    </row>
    <row r="254" spans="12:16">
      <c r="L254" s="6"/>
      <c r="P254" s="24"/>
    </row>
    <row r="255" spans="12:16">
      <c r="L255" s="6"/>
      <c r="P255" s="24"/>
    </row>
    <row r="256" spans="12:16">
      <c r="L256" s="6"/>
      <c r="P256" s="24"/>
    </row>
    <row r="257" spans="12:16">
      <c r="L257" s="6"/>
      <c r="P257" s="24"/>
    </row>
    <row r="258" spans="12:16">
      <c r="L258" s="6"/>
      <c r="P258" s="24"/>
    </row>
    <row r="259" spans="12:16">
      <c r="L259" s="6"/>
      <c r="P259" s="24"/>
    </row>
    <row r="260" spans="12:16">
      <c r="L260" s="6"/>
      <c r="P260" s="24"/>
    </row>
    <row r="261" spans="12:16">
      <c r="L261" s="6"/>
      <c r="P261" s="24"/>
    </row>
    <row r="262" spans="12:16">
      <c r="L262" s="6"/>
      <c r="P262" s="24"/>
    </row>
    <row r="263" spans="12:16">
      <c r="L263" s="6"/>
      <c r="P263" s="24"/>
    </row>
    <row r="264" spans="12:16">
      <c r="L264" s="6"/>
      <c r="P264" s="24"/>
    </row>
    <row r="265" spans="12:16">
      <c r="L265" s="6"/>
      <c r="P265" s="24"/>
    </row>
    <row r="266" spans="12:16">
      <c r="L266" s="6"/>
      <c r="P266" s="24"/>
    </row>
    <row r="267" spans="12:16">
      <c r="L267" s="6"/>
      <c r="P267" s="24"/>
    </row>
    <row r="268" spans="12:16">
      <c r="L268" s="6"/>
      <c r="P268" s="24"/>
    </row>
    <row r="269" spans="12:16">
      <c r="L269" s="6"/>
      <c r="P269" s="24"/>
    </row>
    <row r="270" spans="12:16">
      <c r="L270" s="6"/>
      <c r="P270" s="24"/>
    </row>
    <row r="271" spans="12:16">
      <c r="L271" s="6"/>
      <c r="P271" s="24"/>
    </row>
    <row r="272" spans="12:16">
      <c r="L272" s="6"/>
      <c r="P272" s="24"/>
    </row>
    <row r="273" spans="12:16">
      <c r="L273" s="6"/>
      <c r="P273" s="24"/>
    </row>
    <row r="274" spans="12:16">
      <c r="L274" s="6"/>
      <c r="P274" s="24"/>
    </row>
    <row r="275" spans="12:16">
      <c r="L275" s="6"/>
      <c r="P275" s="24"/>
    </row>
    <row r="276" spans="12:16">
      <c r="L276" s="6"/>
      <c r="P276" s="24"/>
    </row>
    <row r="277" spans="12:16">
      <c r="L277" s="6"/>
      <c r="P277" s="24"/>
    </row>
    <row r="278" spans="12:16">
      <c r="L278" s="6"/>
      <c r="P278" s="24"/>
    </row>
    <row r="279" spans="12:16">
      <c r="L279" s="6"/>
      <c r="P279" s="24"/>
    </row>
    <row r="280" spans="12:16">
      <c r="L280" s="6"/>
      <c r="P280" s="24"/>
    </row>
    <row r="281" spans="12:16">
      <c r="L281" s="6"/>
      <c r="P281" s="24"/>
    </row>
    <row r="282" spans="12:16">
      <c r="L282" s="6"/>
      <c r="P282" s="24"/>
    </row>
    <row r="283" spans="12:16">
      <c r="L283" s="6"/>
      <c r="P283" s="24"/>
    </row>
    <row r="284" spans="12:16">
      <c r="L284" s="6"/>
      <c r="P284" s="24"/>
    </row>
    <row r="285" spans="12:16">
      <c r="L285" s="6"/>
      <c r="P285" s="24"/>
    </row>
    <row r="286" spans="12:16">
      <c r="L286" s="6"/>
      <c r="P286" s="24"/>
    </row>
    <row r="287" spans="12:16">
      <c r="L287" s="6"/>
      <c r="P287" s="24"/>
    </row>
    <row r="288" spans="12:16">
      <c r="L288" s="6"/>
      <c r="P288" s="24"/>
    </row>
    <row r="289" spans="12:16">
      <c r="L289" s="6"/>
      <c r="P289" s="24"/>
    </row>
    <row r="290" spans="12:16">
      <c r="L290" s="6"/>
      <c r="P290" s="24"/>
    </row>
    <row r="291" spans="12:16">
      <c r="L291" s="6"/>
      <c r="P291" s="24"/>
    </row>
    <row r="292" spans="12:16">
      <c r="L292" s="6"/>
      <c r="P292" s="24"/>
    </row>
    <row r="293" spans="12:16">
      <c r="L293" s="6"/>
      <c r="P293" s="24"/>
    </row>
    <row r="294" spans="12:16">
      <c r="L294" s="6"/>
      <c r="P294" s="24"/>
    </row>
    <row r="295" spans="12:16">
      <c r="L295" s="6"/>
      <c r="P295" s="24"/>
    </row>
    <row r="296" spans="12:16">
      <c r="L296" s="6"/>
      <c r="P296" s="24"/>
    </row>
    <row r="297" spans="12:16">
      <c r="L297" s="6"/>
      <c r="P297" s="24"/>
    </row>
    <row r="298" spans="12:16">
      <c r="L298" s="6"/>
      <c r="P298" s="24"/>
    </row>
    <row r="299" spans="12:16">
      <c r="L299" s="6"/>
      <c r="P299" s="24"/>
    </row>
    <row r="300" spans="12:16">
      <c r="L300" s="6"/>
      <c r="P300" s="24"/>
    </row>
    <row r="301" spans="12:16">
      <c r="L301" s="6"/>
      <c r="P301" s="24"/>
    </row>
    <row r="302" spans="12:16">
      <c r="L302" s="6"/>
      <c r="P302" s="24"/>
    </row>
    <row r="303" spans="12:16">
      <c r="L303" s="6"/>
      <c r="P303" s="24"/>
    </row>
    <row r="304" spans="12:16">
      <c r="L304" s="6"/>
      <c r="P304" s="24"/>
    </row>
    <row r="305" spans="12:16">
      <c r="L305" s="6"/>
      <c r="P305" s="24"/>
    </row>
    <row r="306" spans="12:16">
      <c r="L306" s="6"/>
      <c r="P306" s="24"/>
    </row>
    <row r="307" spans="12:16">
      <c r="L307" s="6"/>
      <c r="P307" s="24"/>
    </row>
    <row r="308" spans="12:16">
      <c r="L308" s="6"/>
      <c r="P308" s="24"/>
    </row>
    <row r="309" spans="12:16">
      <c r="L309" s="6"/>
      <c r="P309" s="24"/>
    </row>
    <row r="310" spans="12:16">
      <c r="L310" s="6"/>
      <c r="P310" s="24"/>
    </row>
    <row r="311" spans="12:16">
      <c r="L311" s="6"/>
      <c r="P311" s="24"/>
    </row>
    <row r="312" spans="12:16">
      <c r="L312" s="6"/>
      <c r="P312" s="24"/>
    </row>
    <row r="313" spans="12:16">
      <c r="L313" s="6"/>
      <c r="P313" s="24"/>
    </row>
    <row r="314" spans="12:16">
      <c r="L314" s="6"/>
      <c r="P314" s="24"/>
    </row>
    <row r="315" spans="12:16">
      <c r="L315" s="6"/>
      <c r="P315" s="24"/>
    </row>
    <row r="316" spans="12:16">
      <c r="L316" s="6"/>
      <c r="P316" s="24"/>
    </row>
    <row r="317" spans="12:16">
      <c r="L317" s="6"/>
      <c r="P317" s="24"/>
    </row>
    <row r="318" spans="12:16">
      <c r="L318" s="6"/>
      <c r="P318" s="24"/>
    </row>
    <row r="319" spans="12:16">
      <c r="L319" s="6"/>
      <c r="P319" s="24"/>
    </row>
    <row r="320" spans="12:16">
      <c r="L320" s="6"/>
      <c r="P320" s="24"/>
    </row>
    <row r="321" spans="12:16">
      <c r="L321" s="6"/>
      <c r="P321" s="24"/>
    </row>
    <row r="322" spans="12:16">
      <c r="L322" s="6"/>
      <c r="P322" s="24"/>
    </row>
    <row r="323" spans="12:16">
      <c r="L323" s="6"/>
      <c r="P323" s="24"/>
    </row>
    <row r="324" spans="12:16">
      <c r="L324" s="6"/>
      <c r="P324" s="24"/>
    </row>
    <row r="325" spans="12:16">
      <c r="L325" s="6"/>
      <c r="P325" s="24"/>
    </row>
    <row r="326" spans="12:16">
      <c r="L326" s="6"/>
      <c r="P326" s="24"/>
    </row>
    <row r="327" spans="12:16">
      <c r="L327" s="6"/>
      <c r="P327" s="24"/>
    </row>
    <row r="328" spans="12:16">
      <c r="L328" s="6"/>
      <c r="P328" s="24"/>
    </row>
    <row r="329" spans="12:16">
      <c r="L329" s="6"/>
      <c r="P329" s="24"/>
    </row>
    <row r="330" spans="12:16">
      <c r="L330" s="6"/>
      <c r="P330" s="24"/>
    </row>
    <row r="331" spans="12:16">
      <c r="L331" s="6"/>
      <c r="P331" s="24"/>
    </row>
    <row r="332" spans="12:16">
      <c r="L332" s="6"/>
      <c r="P332" s="24"/>
    </row>
    <row r="333" spans="12:16">
      <c r="L333" s="6"/>
      <c r="P333" s="24"/>
    </row>
    <row r="334" spans="12:16">
      <c r="L334" s="6"/>
      <c r="P334" s="24"/>
    </row>
    <row r="335" spans="12:16">
      <c r="L335" s="6"/>
      <c r="P335" s="24"/>
    </row>
    <row r="336" spans="12:16">
      <c r="L336" s="6"/>
      <c r="P336" s="24"/>
    </row>
    <row r="337" spans="12:16">
      <c r="L337" s="6"/>
      <c r="P337" s="24"/>
    </row>
    <row r="338" spans="12:16">
      <c r="L338" s="6"/>
      <c r="P338" s="24"/>
    </row>
    <row r="339" spans="12:16">
      <c r="L339" s="6"/>
      <c r="P339" s="24"/>
    </row>
    <row r="340" spans="12:16">
      <c r="L340" s="6"/>
      <c r="P340" s="24"/>
    </row>
    <row r="341" spans="12:16">
      <c r="L341" s="6"/>
      <c r="P341" s="24"/>
    </row>
    <row r="342" spans="12:16">
      <c r="L342" s="6"/>
      <c r="P342" s="24"/>
    </row>
    <row r="343" spans="12:16">
      <c r="L343" s="6"/>
      <c r="P343" s="24"/>
    </row>
    <row r="344" spans="12:16">
      <c r="L344" s="6"/>
      <c r="P344" s="24"/>
    </row>
    <row r="345" spans="12:16">
      <c r="L345" s="6"/>
      <c r="P345" s="24"/>
    </row>
    <row r="346" spans="12:16">
      <c r="L346" s="6"/>
      <c r="P346" s="24"/>
    </row>
    <row r="347" spans="12:16">
      <c r="L347" s="6"/>
      <c r="P347" s="24"/>
    </row>
    <row r="348" spans="12:16">
      <c r="L348" s="6"/>
      <c r="P348" s="24"/>
    </row>
    <row r="349" spans="12:16">
      <c r="L349" s="6"/>
      <c r="P349" s="24"/>
    </row>
    <row r="350" spans="12:16">
      <c r="L350" s="6"/>
      <c r="P350" s="24"/>
    </row>
    <row r="351" spans="12:16">
      <c r="L351" s="6"/>
      <c r="P351" s="24"/>
    </row>
    <row r="352" spans="12:16">
      <c r="L352" s="6"/>
      <c r="P352" s="24"/>
    </row>
    <row r="353" spans="12:16">
      <c r="L353" s="6"/>
      <c r="P353" s="24"/>
    </row>
    <row r="354" spans="12:16">
      <c r="L354" s="6"/>
      <c r="P354" s="24"/>
    </row>
    <row r="355" spans="12:16">
      <c r="L355" s="6"/>
      <c r="P355" s="24"/>
    </row>
    <row r="356" spans="12:16">
      <c r="L356" s="6"/>
      <c r="P356" s="24"/>
    </row>
    <row r="357" spans="12:16">
      <c r="L357" s="6"/>
      <c r="P357" s="24"/>
    </row>
    <row r="358" spans="12:16">
      <c r="L358" s="6"/>
      <c r="P358" s="24"/>
    </row>
    <row r="359" spans="12:16">
      <c r="L359" s="6"/>
      <c r="P359" s="24"/>
    </row>
    <row r="360" spans="12:16">
      <c r="L360" s="6"/>
      <c r="P360" s="24"/>
    </row>
    <row r="361" spans="12:16">
      <c r="L361" s="6"/>
      <c r="P361" s="24"/>
    </row>
    <row r="362" spans="12:16">
      <c r="L362" s="6"/>
      <c r="P362" s="24"/>
    </row>
    <row r="363" spans="12:16">
      <c r="L363" s="6"/>
      <c r="P363" s="24"/>
    </row>
    <row r="364" spans="12:16">
      <c r="L364" s="6"/>
      <c r="P364" s="24"/>
    </row>
    <row r="365" spans="12:16">
      <c r="L365" s="6"/>
      <c r="P365" s="24"/>
    </row>
    <row r="366" spans="12:16">
      <c r="L366" s="6"/>
      <c r="P366" s="24"/>
    </row>
    <row r="367" spans="12:16">
      <c r="L367" s="6"/>
      <c r="P367" s="24"/>
    </row>
    <row r="368" spans="12:16">
      <c r="L368" s="6"/>
      <c r="P368" s="24"/>
    </row>
    <row r="369" spans="12:16">
      <c r="L369" s="6"/>
      <c r="P369" s="24"/>
    </row>
    <row r="370" spans="12:16">
      <c r="L370" s="6"/>
      <c r="P370" s="24"/>
    </row>
    <row r="371" spans="12:16">
      <c r="L371" s="6"/>
      <c r="P371" s="24"/>
    </row>
    <row r="372" spans="12:16">
      <c r="L372" s="6"/>
      <c r="P372" s="24"/>
    </row>
    <row r="373" spans="12:16">
      <c r="L373" s="6"/>
      <c r="P373" s="24"/>
    </row>
    <row r="374" spans="12:16">
      <c r="L374" s="6"/>
      <c r="P374" s="24"/>
    </row>
    <row r="375" spans="12:16">
      <c r="L375" s="6"/>
      <c r="P375" s="24"/>
    </row>
    <row r="376" spans="12:16">
      <c r="L376" s="6"/>
      <c r="P376" s="24"/>
    </row>
    <row r="377" spans="12:16">
      <c r="L377" s="6"/>
      <c r="P377" s="24"/>
    </row>
    <row r="378" spans="12:16">
      <c r="L378" s="6"/>
      <c r="P378" s="24"/>
    </row>
    <row r="379" spans="12:16">
      <c r="L379" s="6"/>
      <c r="P379" s="24"/>
    </row>
    <row r="380" spans="12:16">
      <c r="L380" s="6"/>
      <c r="P380" s="24"/>
    </row>
    <row r="381" spans="12:16">
      <c r="L381" s="6"/>
      <c r="P381" s="24"/>
    </row>
    <row r="382" spans="12:16">
      <c r="L382" s="6"/>
      <c r="P382" s="24"/>
    </row>
    <row r="383" spans="12:16">
      <c r="L383" s="6"/>
      <c r="P383" s="24"/>
    </row>
    <row r="384" spans="12:16">
      <c r="L384" s="6"/>
      <c r="P384" s="24"/>
    </row>
    <row r="385" spans="12:16">
      <c r="L385" s="6"/>
      <c r="P385" s="24"/>
    </row>
    <row r="386" spans="12:16">
      <c r="L386" s="6"/>
      <c r="P386" s="24"/>
    </row>
    <row r="387" spans="12:16">
      <c r="L387" s="6"/>
      <c r="P387" s="24"/>
    </row>
    <row r="388" spans="12:16">
      <c r="L388" s="6"/>
      <c r="P388" s="24"/>
    </row>
    <row r="389" spans="12:16">
      <c r="L389" s="6"/>
      <c r="P389" s="24"/>
    </row>
    <row r="390" spans="12:16">
      <c r="L390" s="6"/>
      <c r="P390" s="24"/>
    </row>
    <row r="391" spans="12:16">
      <c r="L391" s="6"/>
      <c r="P391" s="24"/>
    </row>
    <row r="392" spans="12:16">
      <c r="L392" s="6"/>
      <c r="P392" s="24"/>
    </row>
    <row r="393" spans="12:16">
      <c r="L393" s="6"/>
      <c r="P393" s="24"/>
    </row>
    <row r="394" spans="12:16">
      <c r="L394" s="6"/>
      <c r="P394" s="24"/>
    </row>
    <row r="395" spans="12:16">
      <c r="L395" s="6"/>
      <c r="P395" s="24"/>
    </row>
    <row r="396" spans="12:16">
      <c r="L396" s="6"/>
      <c r="P396" s="24"/>
    </row>
    <row r="397" spans="12:16">
      <c r="L397" s="6"/>
      <c r="P397" s="24"/>
    </row>
    <row r="398" spans="12:16">
      <c r="L398" s="6"/>
      <c r="P398" s="24"/>
    </row>
    <row r="399" spans="12:16">
      <c r="L399" s="6"/>
      <c r="P399" s="24"/>
    </row>
    <row r="400" spans="12:16">
      <c r="L400" s="6"/>
      <c r="P400" s="24"/>
    </row>
    <row r="401" spans="12:16">
      <c r="L401" s="6"/>
      <c r="P401" s="24"/>
    </row>
    <row r="402" spans="12:16">
      <c r="L402" s="6"/>
      <c r="P402" s="24"/>
    </row>
    <row r="403" spans="12:16">
      <c r="L403" s="6"/>
      <c r="P403" s="24"/>
    </row>
    <row r="404" spans="12:16">
      <c r="L404" s="6"/>
      <c r="P404" s="24"/>
    </row>
    <row r="405" spans="12:16">
      <c r="L405" s="6"/>
      <c r="P405" s="24"/>
    </row>
    <row r="406" spans="12:16">
      <c r="L406" s="6"/>
      <c r="P406" s="24"/>
    </row>
    <row r="407" spans="12:16">
      <c r="L407" s="6"/>
      <c r="P407" s="24"/>
    </row>
    <row r="408" spans="12:16">
      <c r="L408" s="6"/>
      <c r="P408" s="24"/>
    </row>
    <row r="409" spans="12:16">
      <c r="L409" s="6"/>
      <c r="P409" s="24"/>
    </row>
    <row r="410" spans="12:16">
      <c r="L410" s="6"/>
      <c r="P410" s="24"/>
    </row>
    <row r="411" spans="12:16">
      <c r="L411" s="6"/>
      <c r="P411" s="24"/>
    </row>
    <row r="412" spans="12:16">
      <c r="L412" s="6"/>
      <c r="P412" s="24"/>
    </row>
    <row r="413" spans="12:16">
      <c r="L413" s="6"/>
      <c r="P413" s="24"/>
    </row>
    <row r="414" spans="12:16">
      <c r="L414" s="6"/>
      <c r="P414" s="24"/>
    </row>
    <row r="415" spans="12:16">
      <c r="L415" s="6"/>
      <c r="P415" s="24"/>
    </row>
    <row r="416" spans="12:16">
      <c r="L416" s="6"/>
      <c r="P416" s="24"/>
    </row>
    <row r="417" spans="12:16">
      <c r="L417" s="6"/>
      <c r="P417" s="24"/>
    </row>
    <row r="418" spans="12:16">
      <c r="L418" s="6"/>
      <c r="P418" s="24"/>
    </row>
    <row r="419" spans="12:16">
      <c r="L419" s="6"/>
      <c r="P419" s="24"/>
    </row>
    <row r="420" spans="12:16">
      <c r="L420" s="6"/>
      <c r="P420" s="24"/>
    </row>
    <row r="421" spans="12:16">
      <c r="L421" s="6"/>
      <c r="P421" s="24"/>
    </row>
    <row r="422" spans="12:16">
      <c r="L422" s="6"/>
      <c r="P422" s="24"/>
    </row>
    <row r="423" spans="12:16">
      <c r="L423" s="6"/>
      <c r="P423" s="24"/>
    </row>
    <row r="424" spans="12:16">
      <c r="L424" s="6"/>
      <c r="P424" s="24"/>
    </row>
    <row r="425" spans="12:16">
      <c r="L425" s="6"/>
      <c r="P425" s="24"/>
    </row>
    <row r="426" spans="12:16">
      <c r="L426" s="6"/>
      <c r="P426" s="24"/>
    </row>
    <row r="427" spans="12:16">
      <c r="L427" s="6"/>
      <c r="P427" s="24"/>
    </row>
    <row r="428" spans="12:16">
      <c r="L428" s="6"/>
      <c r="P428" s="24"/>
    </row>
    <row r="429" spans="12:16">
      <c r="L429" s="6"/>
      <c r="P429" s="24"/>
    </row>
    <row r="430" spans="12:16">
      <c r="L430" s="6"/>
      <c r="P430" s="24"/>
    </row>
    <row r="431" spans="12:16">
      <c r="L431" s="6"/>
      <c r="P431" s="24"/>
    </row>
    <row r="432" spans="12:16">
      <c r="L432" s="6"/>
      <c r="P432" s="24"/>
    </row>
    <row r="433" spans="12:16">
      <c r="L433" s="6"/>
      <c r="P433" s="24"/>
    </row>
    <row r="434" spans="12:16">
      <c r="L434" s="6"/>
      <c r="P434" s="24"/>
    </row>
    <row r="435" spans="12:16">
      <c r="L435" s="6"/>
      <c r="P435" s="24"/>
    </row>
    <row r="436" spans="12:16">
      <c r="L436" s="6"/>
      <c r="P436" s="24"/>
    </row>
    <row r="437" spans="12:16">
      <c r="L437" s="6"/>
      <c r="P437" s="24"/>
    </row>
    <row r="438" spans="12:16">
      <c r="L438" s="6"/>
      <c r="P438" s="24"/>
    </row>
    <row r="439" spans="12:16">
      <c r="L439" s="6"/>
      <c r="P439" s="24"/>
    </row>
    <row r="440" spans="12:16">
      <c r="L440" s="6"/>
      <c r="P440" s="24"/>
    </row>
    <row r="441" spans="12:16">
      <c r="L441" s="6"/>
      <c r="P441" s="24"/>
    </row>
    <row r="442" spans="12:16">
      <c r="L442" s="6"/>
      <c r="P442" s="24"/>
    </row>
    <row r="443" spans="12:16">
      <c r="L443" s="6"/>
      <c r="P443" s="24"/>
    </row>
    <row r="444" spans="12:16">
      <c r="L444" s="6"/>
      <c r="P444" s="24"/>
    </row>
    <row r="445" spans="12:16">
      <c r="L445" s="6"/>
      <c r="P445" s="24"/>
    </row>
    <row r="446" spans="12:16">
      <c r="L446" s="6"/>
      <c r="P446" s="24"/>
    </row>
    <row r="447" spans="12:16">
      <c r="L447" s="6"/>
      <c r="P447" s="24"/>
    </row>
    <row r="448" spans="12:16">
      <c r="L448" s="6"/>
      <c r="P448" s="24"/>
    </row>
    <row r="449" spans="12:16">
      <c r="L449" s="6"/>
      <c r="P449" s="24"/>
    </row>
    <row r="450" spans="12:16">
      <c r="L450" s="6"/>
      <c r="P450" s="24"/>
    </row>
    <row r="451" spans="12:16">
      <c r="L451" s="6"/>
      <c r="P451" s="24"/>
    </row>
    <row r="452" spans="12:16">
      <c r="L452" s="6"/>
      <c r="P452" s="24"/>
    </row>
    <row r="453" spans="12:16">
      <c r="L453" s="6"/>
      <c r="P453" s="24"/>
    </row>
    <row r="454" spans="12:16">
      <c r="L454" s="6"/>
      <c r="P454" s="24"/>
    </row>
    <row r="455" spans="12:16">
      <c r="L455" s="6"/>
      <c r="P455" s="24"/>
    </row>
    <row r="456" spans="12:16">
      <c r="L456" s="6"/>
      <c r="P456" s="24"/>
    </row>
    <row r="457" spans="12:16">
      <c r="L457" s="6"/>
      <c r="P457" s="24"/>
    </row>
    <row r="458" spans="12:16">
      <c r="L458" s="6"/>
      <c r="P458" s="24"/>
    </row>
    <row r="459" spans="12:16">
      <c r="L459" s="6"/>
      <c r="P459" s="24"/>
    </row>
    <row r="460" spans="12:16">
      <c r="L460" s="6"/>
      <c r="P460" s="24"/>
    </row>
    <row r="461" spans="12:16">
      <c r="L461" s="6"/>
      <c r="P461" s="24"/>
    </row>
    <row r="462" spans="12:16">
      <c r="L462" s="6"/>
      <c r="P462" s="24"/>
    </row>
    <row r="463" spans="12:16">
      <c r="L463" s="6"/>
      <c r="P463" s="24"/>
    </row>
    <row r="464" spans="12:16">
      <c r="L464" s="6"/>
      <c r="P464" s="24"/>
    </row>
    <row r="465" spans="12:16">
      <c r="L465" s="6"/>
      <c r="P465" s="24"/>
    </row>
    <row r="466" spans="12:16">
      <c r="L466" s="6"/>
      <c r="P466" s="24"/>
    </row>
    <row r="467" spans="12:16">
      <c r="L467" s="6"/>
      <c r="P467" s="24"/>
    </row>
    <row r="468" spans="12:16">
      <c r="L468" s="6"/>
      <c r="P468" s="24"/>
    </row>
    <row r="469" spans="12:16">
      <c r="L469" s="6"/>
      <c r="P469" s="24"/>
    </row>
    <row r="470" spans="12:16">
      <c r="L470" s="6"/>
      <c r="P470" s="24"/>
    </row>
    <row r="471" spans="12:16">
      <c r="L471" s="6"/>
      <c r="P471" s="24"/>
    </row>
    <row r="472" spans="12:16">
      <c r="L472" s="6"/>
      <c r="P472" s="24"/>
    </row>
    <row r="473" spans="12:16">
      <c r="L473" s="6"/>
      <c r="P473" s="24"/>
    </row>
    <row r="474" spans="12:16">
      <c r="L474" s="6"/>
      <c r="P474" s="24"/>
    </row>
    <row r="475" spans="12:16">
      <c r="L475" s="6"/>
      <c r="P475" s="24"/>
    </row>
    <row r="476" spans="12:16">
      <c r="L476" s="6"/>
      <c r="P476" s="24"/>
    </row>
    <row r="477" spans="12:16">
      <c r="L477" s="6"/>
      <c r="P477" s="24"/>
    </row>
    <row r="478" spans="12:16">
      <c r="L478" s="6"/>
      <c r="P478" s="24"/>
    </row>
    <row r="479" spans="12:16">
      <c r="L479" s="6"/>
      <c r="P479" s="24"/>
    </row>
    <row r="480" spans="12:16">
      <c r="L480" s="6"/>
      <c r="P480" s="24"/>
    </row>
    <row r="481" spans="12:16">
      <c r="L481" s="6"/>
      <c r="P481" s="24"/>
    </row>
    <row r="482" spans="12:16">
      <c r="L482" s="6"/>
      <c r="P482" s="24"/>
    </row>
    <row r="483" spans="12:16">
      <c r="L483" s="6"/>
      <c r="P483" s="24"/>
    </row>
    <row r="484" spans="12:16">
      <c r="L484" s="6"/>
      <c r="P484" s="24"/>
    </row>
    <row r="485" spans="12:16">
      <c r="L485" s="6"/>
      <c r="P485" s="24"/>
    </row>
    <row r="486" spans="12:16">
      <c r="L486" s="6"/>
      <c r="P486" s="24"/>
    </row>
    <row r="487" spans="12:16">
      <c r="L487" s="6"/>
      <c r="P487" s="24"/>
    </row>
    <row r="488" spans="12:16">
      <c r="L488" s="6"/>
      <c r="P488" s="24"/>
    </row>
    <row r="489" spans="12:16">
      <c r="L489" s="6"/>
      <c r="P489" s="24"/>
    </row>
    <row r="490" spans="12:16">
      <c r="L490" s="6"/>
      <c r="P490" s="24"/>
    </row>
    <row r="491" spans="12:16">
      <c r="L491" s="6"/>
      <c r="P491" s="24"/>
    </row>
    <row r="492" spans="12:16">
      <c r="L492" s="6"/>
      <c r="P492" s="24"/>
    </row>
    <row r="493" spans="12:16">
      <c r="L493" s="6"/>
      <c r="P493" s="24"/>
    </row>
    <row r="494" spans="12:16">
      <c r="L494" s="6"/>
      <c r="P494" s="24"/>
    </row>
    <row r="495" spans="12:16">
      <c r="L495" s="6"/>
      <c r="P495" s="24"/>
    </row>
    <row r="496" spans="12:16">
      <c r="L496" s="6"/>
      <c r="P496" s="24"/>
    </row>
    <row r="497" spans="12:16">
      <c r="L497" s="6"/>
      <c r="P497" s="24"/>
    </row>
    <row r="498" spans="12:16">
      <c r="L498" s="6"/>
      <c r="P498" s="24"/>
    </row>
    <row r="499" spans="12:16">
      <c r="L499" s="6"/>
      <c r="P499" s="24"/>
    </row>
    <row r="500" spans="12:16">
      <c r="L500" s="6"/>
      <c r="P500" s="24"/>
    </row>
    <row r="501" spans="12:16">
      <c r="L501" s="6"/>
      <c r="P501" s="24"/>
    </row>
    <row r="502" spans="12:16">
      <c r="L502" s="6"/>
      <c r="P502" s="24"/>
    </row>
    <row r="503" spans="12:16">
      <c r="L503" s="6"/>
      <c r="P503" s="24"/>
    </row>
    <row r="504" spans="12:16">
      <c r="L504" s="6"/>
      <c r="P504" s="24"/>
    </row>
    <row r="505" spans="12:16">
      <c r="L505" s="6"/>
      <c r="P505" s="24"/>
    </row>
    <row r="506" spans="12:16">
      <c r="L506" s="6"/>
      <c r="P506" s="24"/>
    </row>
    <row r="507" spans="12:16">
      <c r="L507" s="6"/>
      <c r="P507" s="24"/>
    </row>
    <row r="508" spans="12:16">
      <c r="L508" s="6"/>
      <c r="P508" s="24"/>
    </row>
    <row r="509" spans="12:16">
      <c r="L509" s="6"/>
      <c r="P509" s="24"/>
    </row>
    <row r="510" spans="12:16">
      <c r="L510" s="6"/>
      <c r="P510" s="24"/>
    </row>
    <row r="511" spans="12:16">
      <c r="L511" s="6"/>
      <c r="P511" s="24"/>
    </row>
    <row r="512" spans="12:16">
      <c r="L512" s="6"/>
      <c r="P512" s="24"/>
    </row>
    <row r="513" spans="12:16">
      <c r="L513" s="6"/>
      <c r="P513" s="24"/>
    </row>
    <row r="514" spans="12:16">
      <c r="L514" s="6"/>
      <c r="P514" s="24"/>
    </row>
    <row r="515" spans="12:16">
      <c r="L515" s="6"/>
      <c r="P515" s="24"/>
    </row>
    <row r="516" spans="12:16">
      <c r="L516" s="6"/>
      <c r="P516" s="24"/>
    </row>
    <row r="517" spans="12:16">
      <c r="L517" s="6"/>
      <c r="P517" s="24"/>
    </row>
    <row r="518" spans="12:16">
      <c r="L518" s="6"/>
      <c r="P518" s="24"/>
    </row>
    <row r="519" spans="12:16">
      <c r="L519" s="6"/>
      <c r="P519" s="24"/>
    </row>
    <row r="520" spans="12:16">
      <c r="L520" s="6"/>
      <c r="P520" s="24"/>
    </row>
    <row r="521" spans="12:16">
      <c r="L521" s="6"/>
      <c r="P521" s="24"/>
    </row>
    <row r="522" spans="12:16">
      <c r="L522" s="6"/>
      <c r="P522" s="24"/>
    </row>
    <row r="523" spans="12:16">
      <c r="L523" s="6"/>
      <c r="P523" s="24"/>
    </row>
    <row r="524" spans="12:16">
      <c r="L524" s="6"/>
      <c r="P524" s="24"/>
    </row>
    <row r="525" spans="12:16">
      <c r="L525" s="6"/>
      <c r="P525" s="24"/>
    </row>
    <row r="526" spans="12:16">
      <c r="L526" s="6"/>
      <c r="P526" s="24"/>
    </row>
    <row r="527" spans="12:16">
      <c r="L527" s="6"/>
      <c r="P527" s="24"/>
    </row>
    <row r="528" spans="12:16">
      <c r="L528" s="6"/>
      <c r="P528" s="24"/>
    </row>
    <row r="529" spans="12:16">
      <c r="L529" s="6"/>
      <c r="P529" s="24"/>
    </row>
    <row r="530" spans="12:16">
      <c r="L530" s="6"/>
      <c r="P530" s="24"/>
    </row>
    <row r="531" spans="12:16">
      <c r="L531" s="6"/>
      <c r="P531" s="24"/>
    </row>
    <row r="532" spans="12:16">
      <c r="L532" s="6"/>
      <c r="P532" s="24"/>
    </row>
    <row r="533" spans="12:16">
      <c r="L533" s="6"/>
      <c r="P533" s="24"/>
    </row>
    <row r="534" spans="12:16">
      <c r="L534" s="6"/>
      <c r="P534" s="24"/>
    </row>
    <row r="535" spans="12:16">
      <c r="L535" s="6"/>
      <c r="P535" s="24"/>
    </row>
    <row r="536" spans="12:16">
      <c r="L536" s="6"/>
      <c r="P536" s="24"/>
    </row>
    <row r="537" spans="12:16">
      <c r="L537" s="6"/>
      <c r="P537" s="24"/>
    </row>
    <row r="538" spans="12:16">
      <c r="L538" s="6"/>
      <c r="P538" s="24"/>
    </row>
    <row r="539" spans="12:16">
      <c r="L539" s="6"/>
      <c r="P539" s="24"/>
    </row>
    <row r="540" spans="12:16">
      <c r="L540" s="6"/>
      <c r="P540" s="24"/>
    </row>
    <row r="541" spans="12:16">
      <c r="L541" s="6"/>
      <c r="P541" s="24"/>
    </row>
    <row r="542" spans="12:16">
      <c r="L542" s="6"/>
      <c r="P542" s="24"/>
    </row>
    <row r="543" spans="12:16">
      <c r="L543" s="6"/>
      <c r="P543" s="24"/>
    </row>
    <row r="544" spans="12:16">
      <c r="L544" s="6"/>
      <c r="P544" s="24"/>
    </row>
    <row r="545" spans="12:16">
      <c r="L545" s="6"/>
      <c r="P545" s="24"/>
    </row>
    <row r="546" spans="12:16">
      <c r="L546" s="6"/>
      <c r="P546" s="24"/>
    </row>
    <row r="547" spans="12:16">
      <c r="L547" s="6"/>
      <c r="P547" s="24"/>
    </row>
    <row r="548" spans="12:16">
      <c r="L548" s="6"/>
      <c r="P548" s="24"/>
    </row>
    <row r="549" spans="12:16">
      <c r="L549" s="6"/>
      <c r="P549" s="24"/>
    </row>
    <row r="550" spans="12:16">
      <c r="L550" s="6"/>
      <c r="P550" s="24"/>
    </row>
    <row r="551" spans="12:16">
      <c r="L551" s="6"/>
      <c r="P551" s="24"/>
    </row>
    <row r="552" spans="12:16">
      <c r="L552" s="6"/>
      <c r="P552" s="24"/>
    </row>
    <row r="553" spans="12:16">
      <c r="L553" s="6"/>
      <c r="P553" s="24"/>
    </row>
    <row r="554" spans="12:16">
      <c r="L554" s="6"/>
      <c r="P554" s="24"/>
    </row>
    <row r="555" spans="12:16">
      <c r="L555" s="6"/>
      <c r="P555" s="24"/>
    </row>
    <row r="556" spans="12:16">
      <c r="L556" s="6"/>
      <c r="P556" s="24"/>
    </row>
    <row r="557" spans="12:16">
      <c r="L557" s="6"/>
      <c r="P557" s="24"/>
    </row>
    <row r="558" spans="12:16">
      <c r="L558" s="6"/>
      <c r="P558" s="24"/>
    </row>
    <row r="559" spans="12:16">
      <c r="L559" s="6"/>
      <c r="P559" s="24"/>
    </row>
    <row r="560" spans="12:16">
      <c r="L560" s="6"/>
      <c r="P560" s="24"/>
    </row>
    <row r="561" spans="12:16">
      <c r="L561" s="6"/>
      <c r="P561" s="24"/>
    </row>
    <row r="562" spans="12:16">
      <c r="L562" s="6"/>
      <c r="P562" s="24"/>
    </row>
    <row r="563" spans="12:16">
      <c r="L563" s="6"/>
      <c r="P563" s="24"/>
    </row>
    <row r="564" spans="12:16">
      <c r="L564" s="6"/>
      <c r="P564" s="24"/>
    </row>
    <row r="565" spans="12:16">
      <c r="L565" s="6"/>
      <c r="P565" s="24"/>
    </row>
    <row r="566" spans="12:16">
      <c r="L566" s="6"/>
      <c r="P566" s="24"/>
    </row>
    <row r="567" spans="12:16">
      <c r="L567" s="6"/>
      <c r="P567" s="24"/>
    </row>
    <row r="568" spans="12:16">
      <c r="L568" s="6"/>
      <c r="P568" s="24"/>
    </row>
    <row r="569" spans="12:16">
      <c r="L569" s="6"/>
      <c r="P569" s="24"/>
    </row>
    <row r="570" spans="12:16">
      <c r="L570" s="6"/>
      <c r="P570" s="24"/>
    </row>
    <row r="571" spans="12:16">
      <c r="L571" s="6"/>
      <c r="P571" s="24"/>
    </row>
    <row r="572" spans="12:16">
      <c r="L572" s="6"/>
      <c r="P572" s="24"/>
    </row>
    <row r="573" spans="12:16">
      <c r="L573" s="6"/>
      <c r="P573" s="24"/>
    </row>
    <row r="574" spans="12:16">
      <c r="L574" s="6"/>
      <c r="P574" s="24"/>
    </row>
    <row r="575" spans="12:16">
      <c r="L575" s="6"/>
      <c r="P575" s="24"/>
    </row>
    <row r="576" spans="12:16">
      <c r="L576" s="6"/>
      <c r="P576" s="24"/>
    </row>
    <row r="577" spans="12:16">
      <c r="L577" s="6"/>
      <c r="P577" s="24"/>
    </row>
    <row r="578" spans="12:16">
      <c r="L578" s="6"/>
      <c r="P578" s="24"/>
    </row>
    <row r="579" spans="12:16">
      <c r="L579" s="6"/>
      <c r="P579" s="24"/>
    </row>
    <row r="580" spans="12:16">
      <c r="L580" s="6"/>
      <c r="P580" s="24"/>
    </row>
    <row r="581" spans="12:16">
      <c r="L581" s="6"/>
      <c r="P581" s="24"/>
    </row>
    <row r="582" spans="12:16">
      <c r="L582" s="6"/>
      <c r="P582" s="24"/>
    </row>
    <row r="583" spans="12:16">
      <c r="L583" s="6"/>
      <c r="P583" s="24"/>
    </row>
    <row r="584" spans="12:16">
      <c r="L584" s="6"/>
      <c r="P584" s="24"/>
    </row>
    <row r="585" spans="12:16">
      <c r="L585" s="6"/>
      <c r="P585" s="24"/>
    </row>
    <row r="586" spans="12:16">
      <c r="L586" s="6"/>
      <c r="P586" s="24"/>
    </row>
    <row r="587" spans="12:16">
      <c r="L587" s="6"/>
      <c r="P587" s="24"/>
    </row>
    <row r="588" spans="12:16">
      <c r="L588" s="6"/>
      <c r="P588" s="24"/>
    </row>
    <row r="589" spans="12:16">
      <c r="L589" s="6"/>
      <c r="P589" s="24"/>
    </row>
    <row r="590" spans="12:16">
      <c r="L590" s="6"/>
      <c r="P590" s="24"/>
    </row>
    <row r="591" spans="12:16">
      <c r="L591" s="6"/>
      <c r="P591" s="24"/>
    </row>
    <row r="592" spans="12:16">
      <c r="L592" s="6"/>
      <c r="P592" s="24"/>
    </row>
    <row r="593" spans="12:16">
      <c r="L593" s="6"/>
      <c r="P593" s="24"/>
    </row>
    <row r="594" spans="12:16">
      <c r="L594" s="6"/>
      <c r="P594" s="24"/>
    </row>
    <row r="595" spans="12:16">
      <c r="L595" s="6"/>
      <c r="P595" s="24"/>
    </row>
    <row r="596" spans="12:16">
      <c r="L596" s="6"/>
      <c r="P596" s="24"/>
    </row>
    <row r="597" spans="12:16">
      <c r="L597" s="6"/>
      <c r="P597" s="24"/>
    </row>
    <row r="598" spans="12:16">
      <c r="L598" s="6"/>
      <c r="P598" s="24"/>
    </row>
    <row r="599" spans="12:16">
      <c r="L599" s="6"/>
      <c r="P599" s="24"/>
    </row>
    <row r="600" spans="12:16">
      <c r="L600" s="6"/>
      <c r="P600" s="24"/>
    </row>
    <row r="601" spans="12:16">
      <c r="L601" s="6"/>
      <c r="P601" s="24"/>
    </row>
    <row r="602" spans="12:16">
      <c r="L602" s="6"/>
      <c r="P602" s="24"/>
    </row>
    <row r="603" spans="12:16">
      <c r="L603" s="6"/>
      <c r="P603" s="24"/>
    </row>
    <row r="604" spans="12:16">
      <c r="L604" s="6"/>
      <c r="P604" s="24"/>
    </row>
    <row r="605" spans="12:16">
      <c r="L605" s="6"/>
      <c r="P605" s="24"/>
    </row>
    <row r="606" spans="12:16">
      <c r="L606" s="6"/>
      <c r="P606" s="24"/>
    </row>
    <row r="607" spans="12:16">
      <c r="L607" s="6"/>
      <c r="P607" s="24"/>
    </row>
    <row r="608" spans="12:16">
      <c r="L608" s="6"/>
      <c r="P608" s="24"/>
    </row>
    <row r="609" spans="12:16">
      <c r="L609" s="6"/>
      <c r="P609" s="24"/>
    </row>
    <row r="610" spans="12:16">
      <c r="L610" s="6"/>
      <c r="P610" s="24"/>
    </row>
    <row r="611" spans="12:16">
      <c r="L611" s="6"/>
      <c r="P611" s="24"/>
    </row>
    <row r="612" spans="12:16">
      <c r="L612" s="6"/>
      <c r="P612" s="24"/>
    </row>
    <row r="613" spans="12:16">
      <c r="L613" s="6"/>
      <c r="P613" s="24"/>
    </row>
    <row r="614" spans="12:16">
      <c r="L614" s="6"/>
      <c r="P614" s="24"/>
    </row>
    <row r="615" spans="12:16">
      <c r="L615" s="6"/>
      <c r="P615" s="24"/>
    </row>
    <row r="616" spans="12:16">
      <c r="L616" s="6"/>
      <c r="P616" s="24"/>
    </row>
    <row r="617" spans="12:16">
      <c r="L617" s="6"/>
      <c r="P617" s="24"/>
    </row>
    <row r="618" spans="12:16">
      <c r="L618" s="6"/>
      <c r="P618" s="24"/>
    </row>
    <row r="619" spans="12:16">
      <c r="L619" s="6"/>
      <c r="P619" s="24"/>
    </row>
    <row r="620" spans="12:16">
      <c r="L620" s="6"/>
      <c r="P620" s="24"/>
    </row>
    <row r="621" spans="12:16">
      <c r="L621" s="6"/>
      <c r="P621" s="24"/>
    </row>
    <row r="622" spans="12:16">
      <c r="L622" s="6"/>
      <c r="P622" s="24"/>
    </row>
    <row r="623" spans="12:16">
      <c r="L623" s="6"/>
      <c r="P623" s="24"/>
    </row>
    <row r="624" spans="12:16">
      <c r="L624" s="6"/>
      <c r="P624" s="24"/>
    </row>
    <row r="625" spans="12:16">
      <c r="L625" s="6"/>
      <c r="P625" s="24"/>
    </row>
    <row r="626" spans="12:16">
      <c r="L626" s="6"/>
      <c r="P626" s="24"/>
    </row>
    <row r="627" spans="12:16">
      <c r="L627" s="6"/>
      <c r="P627" s="24"/>
    </row>
    <row r="628" spans="12:16">
      <c r="L628" s="6"/>
      <c r="P628" s="24"/>
    </row>
    <row r="629" spans="12:16">
      <c r="L629" s="6"/>
      <c r="P629" s="24"/>
    </row>
    <row r="630" spans="12:16">
      <c r="L630" s="6"/>
      <c r="P630" s="24"/>
    </row>
    <row r="631" spans="12:16">
      <c r="L631" s="6"/>
      <c r="P631" s="24"/>
    </row>
    <row r="632" spans="12:16">
      <c r="L632" s="6"/>
      <c r="P632" s="24"/>
    </row>
    <row r="633" spans="12:16">
      <c r="L633" s="6"/>
      <c r="P633" s="24"/>
    </row>
    <row r="634" spans="12:16">
      <c r="L634" s="6"/>
      <c r="P634" s="24"/>
    </row>
    <row r="635" spans="12:16">
      <c r="L635" s="6"/>
      <c r="P635" s="24"/>
    </row>
    <row r="636" spans="12:16">
      <c r="L636" s="6"/>
      <c r="P636" s="24"/>
    </row>
    <row r="637" spans="12:16">
      <c r="L637" s="6"/>
      <c r="P637" s="24"/>
    </row>
    <row r="638" spans="12:16">
      <c r="L638" s="6"/>
      <c r="P638" s="24"/>
    </row>
    <row r="639" spans="12:16">
      <c r="L639" s="6"/>
      <c r="P639" s="24"/>
    </row>
    <row r="640" spans="12:16">
      <c r="L640" s="6"/>
      <c r="P640" s="24"/>
    </row>
    <row r="641" spans="12:16">
      <c r="L641" s="6"/>
      <c r="P641" s="24"/>
    </row>
    <row r="642" spans="12:16">
      <c r="L642" s="6"/>
      <c r="P642" s="24"/>
    </row>
    <row r="643" spans="12:16">
      <c r="L643" s="6"/>
      <c r="P643" s="24"/>
    </row>
    <row r="644" spans="12:16">
      <c r="L644" s="6"/>
      <c r="P644" s="24"/>
    </row>
    <row r="645" spans="12:16">
      <c r="L645" s="6"/>
      <c r="P645" s="24"/>
    </row>
    <row r="646" spans="12:16">
      <c r="L646" s="6"/>
      <c r="P646" s="24"/>
    </row>
    <row r="647" spans="12:16">
      <c r="L647" s="6"/>
      <c r="P647" s="24"/>
    </row>
    <row r="648" spans="12:16">
      <c r="L648" s="6"/>
      <c r="P648" s="24"/>
    </row>
    <row r="649" spans="12:16">
      <c r="L649" s="6"/>
      <c r="P649" s="24"/>
    </row>
    <row r="650" spans="12:16">
      <c r="L650" s="6"/>
      <c r="P650" s="24"/>
    </row>
    <row r="651" spans="12:16">
      <c r="L651" s="6"/>
      <c r="P651" s="24"/>
    </row>
    <row r="652" spans="12:16">
      <c r="L652" s="6"/>
      <c r="P652" s="24"/>
    </row>
    <row r="653" spans="12:16">
      <c r="L653" s="6"/>
      <c r="P653" s="24"/>
    </row>
    <row r="654" spans="12:16">
      <c r="L654" s="6"/>
      <c r="P654" s="24"/>
    </row>
    <row r="655" spans="12:16">
      <c r="L655" s="6"/>
      <c r="P655" s="24"/>
    </row>
    <row r="656" spans="12:16">
      <c r="L656" s="6"/>
      <c r="P656" s="24"/>
    </row>
    <row r="657" spans="12:16">
      <c r="L657" s="6"/>
      <c r="P657" s="24"/>
    </row>
    <row r="658" spans="12:16">
      <c r="L658" s="6"/>
      <c r="P658" s="24"/>
    </row>
    <row r="659" spans="12:16">
      <c r="L659" s="6"/>
      <c r="P659" s="24"/>
    </row>
    <row r="660" spans="12:16">
      <c r="L660" s="6"/>
      <c r="P660" s="24"/>
    </row>
    <row r="661" spans="12:16">
      <c r="L661" s="6"/>
      <c r="P661" s="24"/>
    </row>
    <row r="662" spans="12:16">
      <c r="L662" s="6"/>
      <c r="P662" s="24"/>
    </row>
    <row r="663" spans="12:16">
      <c r="L663" s="6"/>
      <c r="P663" s="24"/>
    </row>
    <row r="664" spans="12:16">
      <c r="L664" s="6"/>
      <c r="P664" s="24"/>
    </row>
    <row r="665" spans="12:16">
      <c r="L665" s="6"/>
      <c r="P665" s="24"/>
    </row>
    <row r="666" spans="12:16">
      <c r="L666" s="6"/>
      <c r="P666" s="24"/>
    </row>
    <row r="667" spans="12:16">
      <c r="L667" s="6"/>
      <c r="P667" s="24"/>
    </row>
    <row r="668" spans="12:16">
      <c r="L668" s="6"/>
      <c r="P668" s="24"/>
    </row>
    <row r="669" spans="12:16">
      <c r="L669" s="6"/>
      <c r="P669" s="24"/>
    </row>
    <row r="670" spans="12:16">
      <c r="L670" s="6"/>
      <c r="P670" s="24"/>
    </row>
    <row r="671" spans="12:16">
      <c r="L671" s="6"/>
      <c r="P671" s="24"/>
    </row>
    <row r="672" spans="12:16">
      <c r="L672" s="6"/>
      <c r="P672" s="24"/>
    </row>
    <row r="673" spans="12:16">
      <c r="L673" s="6"/>
      <c r="P673" s="24"/>
    </row>
    <row r="674" spans="12:16">
      <c r="L674" s="6"/>
      <c r="P674" s="24"/>
    </row>
    <row r="675" spans="12:16">
      <c r="L675" s="6"/>
      <c r="P675" s="24"/>
    </row>
    <row r="676" spans="12:16">
      <c r="L676" s="6"/>
      <c r="P676" s="24"/>
    </row>
    <row r="677" spans="12:16">
      <c r="L677" s="6"/>
      <c r="P677" s="24"/>
    </row>
    <row r="678" spans="12:16">
      <c r="L678" s="6"/>
      <c r="P678" s="24"/>
    </row>
    <row r="679" spans="12:16">
      <c r="L679" s="6"/>
      <c r="P679" s="24"/>
    </row>
    <row r="680" spans="12:16">
      <c r="L680" s="6"/>
      <c r="P680" s="24"/>
    </row>
    <row r="681" spans="12:16">
      <c r="L681" s="6"/>
      <c r="P681" s="24"/>
    </row>
    <row r="682" spans="12:16">
      <c r="L682" s="6"/>
      <c r="P682" s="24"/>
    </row>
    <row r="683" spans="12:16">
      <c r="L683" s="6"/>
      <c r="P683" s="24"/>
    </row>
    <row r="684" spans="12:16">
      <c r="L684" s="6"/>
      <c r="P684" s="24"/>
    </row>
    <row r="685" spans="12:16">
      <c r="L685" s="6"/>
      <c r="P685" s="24"/>
    </row>
    <row r="686" spans="12:16">
      <c r="L686" s="6"/>
      <c r="P686" s="24"/>
    </row>
    <row r="687" spans="12:16">
      <c r="L687" s="6"/>
      <c r="P687" s="24"/>
    </row>
    <row r="688" spans="12:16">
      <c r="L688" s="6"/>
      <c r="P688" s="24"/>
    </row>
    <row r="689" spans="12:16">
      <c r="L689" s="6"/>
      <c r="P689" s="24"/>
    </row>
    <row r="690" spans="12:16">
      <c r="L690" s="6"/>
      <c r="P690" s="24"/>
    </row>
    <row r="691" spans="12:16">
      <c r="L691" s="6"/>
      <c r="P691" s="24"/>
    </row>
    <row r="692" spans="12:16">
      <c r="L692" s="6"/>
      <c r="P692" s="24"/>
    </row>
    <row r="693" spans="12:16">
      <c r="L693" s="6"/>
      <c r="P693" s="24"/>
    </row>
    <row r="694" spans="12:16">
      <c r="L694" s="6"/>
      <c r="P694" s="24"/>
    </row>
    <row r="695" spans="12:16">
      <c r="L695" s="6"/>
      <c r="P695" s="24"/>
    </row>
    <row r="696" spans="12:16">
      <c r="L696" s="6"/>
      <c r="P696" s="24"/>
    </row>
    <row r="697" spans="12:16">
      <c r="L697" s="6"/>
      <c r="P697" s="24"/>
    </row>
    <row r="698" spans="12:16">
      <c r="L698" s="6"/>
      <c r="P698" s="24"/>
    </row>
    <row r="699" spans="12:16">
      <c r="L699" s="6"/>
      <c r="P699" s="24"/>
    </row>
    <row r="700" spans="12:16">
      <c r="L700" s="6"/>
      <c r="P700" s="24"/>
    </row>
    <row r="701" spans="12:16">
      <c r="L701" s="6"/>
      <c r="P701" s="24"/>
    </row>
    <row r="702" spans="12:16">
      <c r="L702" s="6"/>
      <c r="P702" s="24"/>
    </row>
    <row r="703" spans="12:16">
      <c r="L703" s="6"/>
      <c r="P703" s="24"/>
    </row>
    <row r="704" spans="12:16">
      <c r="L704" s="6"/>
      <c r="P704" s="24"/>
    </row>
    <row r="705" spans="12:16">
      <c r="L705" s="6"/>
      <c r="P705" s="24"/>
    </row>
    <row r="706" spans="12:16">
      <c r="L706" s="6"/>
      <c r="P706" s="24"/>
    </row>
    <row r="707" spans="12:16">
      <c r="L707" s="6"/>
      <c r="P707" s="24"/>
    </row>
    <row r="708" spans="12:16">
      <c r="L708" s="6"/>
      <c r="P708" s="24"/>
    </row>
    <row r="709" spans="12:16">
      <c r="L709" s="6"/>
      <c r="P709" s="24"/>
    </row>
    <row r="710" spans="12:16">
      <c r="L710" s="6"/>
      <c r="P710" s="24"/>
    </row>
    <row r="711" spans="12:16">
      <c r="L711" s="6"/>
      <c r="P711" s="24"/>
    </row>
    <row r="712" spans="12:16">
      <c r="L712" s="6"/>
      <c r="P712" s="24"/>
    </row>
    <row r="713" spans="12:16">
      <c r="L713" s="6"/>
      <c r="P713" s="24"/>
    </row>
    <row r="714" spans="12:16">
      <c r="L714" s="6"/>
      <c r="P714" s="24"/>
    </row>
    <row r="715" spans="12:16">
      <c r="L715" s="6"/>
      <c r="P715" s="24"/>
    </row>
    <row r="716" spans="12:16">
      <c r="L716" s="6"/>
      <c r="P716" s="24"/>
    </row>
    <row r="717" spans="12:16">
      <c r="L717" s="6"/>
      <c r="P717" s="24"/>
    </row>
    <row r="718" spans="12:16">
      <c r="L718" s="6"/>
      <c r="P718" s="24"/>
    </row>
    <row r="719" spans="12:16">
      <c r="L719" s="6"/>
      <c r="P719" s="24"/>
    </row>
    <row r="720" spans="12:16">
      <c r="L720" s="6"/>
      <c r="P720" s="24"/>
    </row>
    <row r="721" spans="12:16">
      <c r="L721" s="6"/>
      <c r="P721" s="24"/>
    </row>
    <row r="722" spans="12:16">
      <c r="L722" s="6"/>
      <c r="P722" s="24"/>
    </row>
    <row r="723" spans="12:16">
      <c r="L723" s="6"/>
      <c r="P723" s="24"/>
    </row>
    <row r="724" spans="12:16">
      <c r="L724" s="6"/>
      <c r="P724" s="24"/>
    </row>
    <row r="725" spans="12:16">
      <c r="L725" s="6"/>
      <c r="P725" s="24"/>
    </row>
    <row r="726" spans="12:16">
      <c r="L726" s="6"/>
      <c r="P726" s="24"/>
    </row>
    <row r="727" spans="12:16">
      <c r="L727" s="6"/>
      <c r="P727" s="24"/>
    </row>
    <row r="728" spans="12:16">
      <c r="L728" s="6"/>
      <c r="P728" s="24"/>
    </row>
    <row r="729" spans="12:16">
      <c r="L729" s="6"/>
      <c r="P729" s="24"/>
    </row>
    <row r="730" spans="12:16">
      <c r="L730" s="6"/>
      <c r="P730" s="24"/>
    </row>
    <row r="731" spans="12:16">
      <c r="L731" s="6"/>
      <c r="P731" s="24"/>
    </row>
    <row r="732" spans="12:16">
      <c r="L732" s="6"/>
      <c r="P732" s="24"/>
    </row>
    <row r="733" spans="12:16">
      <c r="L733" s="6"/>
      <c r="P733" s="24"/>
    </row>
    <row r="734" spans="12:16">
      <c r="L734" s="6"/>
      <c r="P734" s="24"/>
    </row>
    <row r="735" spans="12:16">
      <c r="L735" s="6"/>
      <c r="P735" s="24"/>
    </row>
    <row r="736" spans="12:16">
      <c r="L736" s="6"/>
      <c r="P736" s="24"/>
    </row>
    <row r="737" spans="12:16">
      <c r="L737" s="6"/>
      <c r="P737" s="24"/>
    </row>
    <row r="738" spans="12:16">
      <c r="L738" s="6"/>
      <c r="P738" s="24"/>
    </row>
    <row r="739" spans="12:16">
      <c r="L739" s="6"/>
      <c r="P739" s="24"/>
    </row>
    <row r="740" spans="12:16">
      <c r="L740" s="6"/>
      <c r="P740" s="24"/>
    </row>
    <row r="741" spans="12:16">
      <c r="L741" s="6"/>
      <c r="P741" s="24"/>
    </row>
    <row r="742" spans="12:16">
      <c r="L742" s="6"/>
      <c r="P742" s="24"/>
    </row>
    <row r="743" spans="12:16">
      <c r="L743" s="6"/>
      <c r="P743" s="24"/>
    </row>
    <row r="744" spans="12:16">
      <c r="L744" s="6"/>
      <c r="P744" s="24"/>
    </row>
    <row r="745" spans="12:16">
      <c r="L745" s="6"/>
      <c r="P745" s="24"/>
    </row>
    <row r="746" spans="12:16">
      <c r="L746" s="6"/>
      <c r="P746" s="24"/>
    </row>
    <row r="747" spans="12:16">
      <c r="L747" s="6"/>
      <c r="P747" s="24"/>
    </row>
    <row r="748" spans="12:16">
      <c r="L748" s="6"/>
      <c r="P748" s="24"/>
    </row>
    <row r="749" spans="12:16">
      <c r="L749" s="6"/>
      <c r="P749" s="24"/>
    </row>
    <row r="750" spans="12:16">
      <c r="L750" s="6"/>
      <c r="P750" s="24"/>
    </row>
    <row r="751" spans="12:16">
      <c r="L751" s="6"/>
      <c r="P751" s="24"/>
    </row>
    <row r="752" spans="12:16">
      <c r="L752" s="6"/>
      <c r="P752" s="24"/>
    </row>
    <row r="753" spans="12:16">
      <c r="L753" s="6"/>
      <c r="P753" s="24"/>
    </row>
    <row r="754" spans="12:16">
      <c r="L754" s="6"/>
      <c r="P754" s="24"/>
    </row>
    <row r="755" spans="12:16">
      <c r="L755" s="6"/>
      <c r="P755" s="24"/>
    </row>
    <row r="756" spans="12:16">
      <c r="L756" s="6"/>
      <c r="P756" s="24"/>
    </row>
    <row r="757" spans="12:16">
      <c r="L757" s="6"/>
      <c r="P757" s="24"/>
    </row>
    <row r="758" spans="12:16">
      <c r="L758" s="6"/>
      <c r="P758" s="24"/>
    </row>
    <row r="759" spans="12:16">
      <c r="L759" s="6"/>
      <c r="P759" s="24"/>
    </row>
    <row r="760" spans="12:16">
      <c r="L760" s="6"/>
      <c r="P760" s="24"/>
    </row>
    <row r="761" spans="12:16">
      <c r="L761" s="6"/>
      <c r="P761" s="24"/>
    </row>
    <row r="762" spans="12:16">
      <c r="L762" s="6"/>
      <c r="P762" s="24"/>
    </row>
    <row r="763" spans="12:16">
      <c r="L763" s="6"/>
      <c r="P763" s="24"/>
    </row>
    <row r="764" spans="12:16">
      <c r="L764" s="6"/>
      <c r="P764" s="24"/>
    </row>
  </sheetData>
  <mergeCells count="3">
    <mergeCell ref="B1:H2"/>
    <mergeCell ref="B3:H4"/>
    <mergeCell ref="B5:H5"/>
  </mergeCells>
  <pageMargins left="0" right="0" top="0" bottom="0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MANNF</vt:lpstr>
      <vt:lpstr>JR_PAGE_ANCHOR_0_39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2024-11-08T07:14:16Z</dcterms:created>
  <dcterms:modified xsi:type="dcterms:W3CDTF">2024-11-08T07:14:17Z</dcterms:modified>
</cp:coreProperties>
</file>