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ACMF" sheetId="1" r:id="rId1"/>
    <sheet name="MAEBF" sheetId="2" r:id="rId2"/>
    <sheet name="MICCF" sheetId="3" r:id="rId3"/>
    <sheet name="MICHF" sheetId="4" r:id="rId4"/>
    <sheet name="MIGCS" sheetId="5" r:id="rId5"/>
    <sheet name="MIIOF" sheetId="6" r:id="rId6"/>
    <sheet name="MILPF" sheetId="7" r:id="rId7"/>
    <sheet name="MISTB" sheetId="8" r:id="rId8"/>
  </sheets>
  <calcPr calcId="145621"/>
</workbook>
</file>

<file path=xl/calcChain.xml><?xml version="1.0" encoding="utf-8"?>
<calcChain xmlns="http://schemas.openxmlformats.org/spreadsheetml/2006/main">
  <c r="G47" i="5" l="1"/>
  <c r="F47" i="5"/>
  <c r="G20" i="5"/>
  <c r="F20" i="5"/>
  <c r="G60" i="3"/>
  <c r="F60" i="3"/>
  <c r="G41" i="3"/>
  <c r="F41" i="3"/>
</calcChain>
</file>

<file path=xl/sharedStrings.xml><?xml version="1.0" encoding="utf-8"?>
<sst xmlns="http://schemas.openxmlformats.org/spreadsheetml/2006/main" count="1254" uniqueCount="368">
  <si>
    <t>Mirae Asset Cash Management Fund</t>
  </si>
  <si>
    <t/>
  </si>
  <si>
    <t>Monthly Portfolio Statement as on September 30,2013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</si>
  <si>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</si>
  <si>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</si>
  <si>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</si>
  <si>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</si>
  <si>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</si>
  <si>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</si>
  <si>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</si>
  <si>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</si>
  <si>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State Bank of Mysore (18/10/2013) ** #</t>
  </si>
  <si>
    <t>INE651A16DL1</t>
  </si>
  <si>
    <t>ICRA A1+</t>
  </si>
  <si>
    <t>South Indian Bank Ltd (29/10/2013) ** #</t>
  </si>
  <si>
    <t>INE683A16BO2</t>
  </si>
  <si>
    <t>CARE A1+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</si>
  <si>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</si>
  <si>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</si>
  <si>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</si>
  <si>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</si>
  <si>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</si>
  <si>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</si>
  <si>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</si>
  <si>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</si>
  <si>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</si>
  <si>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</si>
  <si>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</si>
  <si>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</si>
  <si>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</si>
  <si>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Tech Mahindra Ltd</t>
  </si>
  <si>
    <t>INE669C01028</t>
  </si>
  <si>
    <t>Software</t>
  </si>
  <si>
    <t>IPCA Laboratories Ltd</t>
  </si>
  <si>
    <t>INE571A01020</t>
  </si>
  <si>
    <t>Pharmaceuticals</t>
  </si>
  <si>
    <t>Amara Raja Batteries Ltd</t>
  </si>
  <si>
    <t>INE885A01032</t>
  </si>
  <si>
    <t>Auto Ancillaries</t>
  </si>
  <si>
    <t>ICICI Bank Ltd</t>
  </si>
  <si>
    <t>INE090A01013</t>
  </si>
  <si>
    <t>Banks</t>
  </si>
  <si>
    <t>Divi's Laboratories Ltd</t>
  </si>
  <si>
    <t>INE361B01024</t>
  </si>
  <si>
    <t>The Federal Bank  Ltd</t>
  </si>
  <si>
    <t>INE171A01011</t>
  </si>
  <si>
    <t>ING Vysya Bank Ltd</t>
  </si>
  <si>
    <t>INE166A01011</t>
  </si>
  <si>
    <t>Motherson Sumi Systems Ltd</t>
  </si>
  <si>
    <t>INE775A01035</t>
  </si>
  <si>
    <t>Gateway Distriparks Ltd</t>
  </si>
  <si>
    <t>INE852F01015</t>
  </si>
  <si>
    <t>Transportation</t>
  </si>
  <si>
    <t>Zee Entertainment Enterprises Ltd</t>
  </si>
  <si>
    <t>INE256A01028</t>
  </si>
  <si>
    <t>Media &amp; Entertainment</t>
  </si>
  <si>
    <t>Lupin Ltd</t>
  </si>
  <si>
    <t>INE326A01037</t>
  </si>
  <si>
    <t>Hindustan Petroleum Corporation Ltd</t>
  </si>
  <si>
    <t>INE094A01015</t>
  </si>
  <si>
    <t>Petroleum Products</t>
  </si>
  <si>
    <t>Aditya Birla Nuvo Ltd</t>
  </si>
  <si>
    <t>INE069A01017</t>
  </si>
  <si>
    <t>Services</t>
  </si>
  <si>
    <t>Sundaram Finance Ltd</t>
  </si>
  <si>
    <t>INE660A01013</t>
  </si>
  <si>
    <t>Finance</t>
  </si>
  <si>
    <t>Glenmark Pharmaceuticals Ltd</t>
  </si>
  <si>
    <t>INE935A01035</t>
  </si>
  <si>
    <t>Britannia Industries Ltd</t>
  </si>
  <si>
    <t>INE216A01022</t>
  </si>
  <si>
    <t>Consumer Non Durables</t>
  </si>
  <si>
    <t>Cadila Healthcare Ltd</t>
  </si>
  <si>
    <t>INE010B01019</t>
  </si>
  <si>
    <t>Godfrey Phillips India Ltd</t>
  </si>
  <si>
    <t>INE260B01010</t>
  </si>
  <si>
    <t>Aurobindo Pharma Ltd</t>
  </si>
  <si>
    <t>INE406A01037</t>
  </si>
  <si>
    <t>Tata Chemicals Ltd</t>
  </si>
  <si>
    <t>INE092A01019</t>
  </si>
  <si>
    <t>Chemicals</t>
  </si>
  <si>
    <t>Exide Industries Ltd</t>
  </si>
  <si>
    <t>INE302A01020</t>
  </si>
  <si>
    <t>Adani Ports and Special Economic Zone Ltd</t>
  </si>
  <si>
    <t>INE742F01042</t>
  </si>
  <si>
    <t>Eclerx Services Ltd</t>
  </si>
  <si>
    <t>INE738I01010</t>
  </si>
  <si>
    <t>The Jammu &amp; Kashmir Bank Ltd</t>
  </si>
  <si>
    <t>INE168A01017</t>
  </si>
  <si>
    <t>Gujarat Mineral Development Corporation Ltd</t>
  </si>
  <si>
    <t>INE131A01031</t>
  </si>
  <si>
    <t>Minerals/Mining</t>
  </si>
  <si>
    <t>CESC Ltd</t>
  </si>
  <si>
    <t>INE486A01013</t>
  </si>
  <si>
    <t>Power</t>
  </si>
  <si>
    <t>Bajaj Corp Ltd</t>
  </si>
  <si>
    <t>INE933K01021</t>
  </si>
  <si>
    <t>Oil India Ltd</t>
  </si>
  <si>
    <t>INE274J01014</t>
  </si>
  <si>
    <t>Oil</t>
  </si>
  <si>
    <t>Idea Cellular Ltd</t>
  </si>
  <si>
    <t>INE669E01016</t>
  </si>
  <si>
    <t>Telecom - Services</t>
  </si>
  <si>
    <t>Himatsingka Seide Ltd</t>
  </si>
  <si>
    <t>INE049A01027</t>
  </si>
  <si>
    <t>Textile Products</t>
  </si>
  <si>
    <t>Petronet LNG Ltd</t>
  </si>
  <si>
    <t>INE347G01014</t>
  </si>
  <si>
    <t>Gas</t>
  </si>
  <si>
    <t>JK Cement Ltd</t>
  </si>
  <si>
    <t>INE823G01014</t>
  </si>
  <si>
    <t>Cement</t>
  </si>
  <si>
    <t>CMC Ltd</t>
  </si>
  <si>
    <t>INE314A01017</t>
  </si>
  <si>
    <t>Cummins India Ltd</t>
  </si>
  <si>
    <t>INE298A01020</t>
  </si>
  <si>
    <t>Industrial Products</t>
  </si>
  <si>
    <t>Gujarat State Petronet Ltd</t>
  </si>
  <si>
    <t>INE246F01010</t>
  </si>
  <si>
    <t>VIP Industries Ltd</t>
  </si>
  <si>
    <t>INE054A01027</t>
  </si>
  <si>
    <t>Consumer Durables</t>
  </si>
  <si>
    <t>Tata Global Beverages Ltd</t>
  </si>
  <si>
    <t>INE192A01025</t>
  </si>
  <si>
    <t>ICRA Ltd</t>
  </si>
  <si>
    <t>INE725G01011</t>
  </si>
  <si>
    <t>Akzo Nobel India Ltd</t>
  </si>
  <si>
    <t>INE133A01011</t>
  </si>
  <si>
    <t>Oracle Financial Services Software Ltd</t>
  </si>
  <si>
    <t>INE881D01027</t>
  </si>
  <si>
    <t>Bank of Baroda</t>
  </si>
  <si>
    <t>INE028A01013</t>
  </si>
  <si>
    <t>Vinati Organics Ltd</t>
  </si>
  <si>
    <t>INE410B01029</t>
  </si>
  <si>
    <t>Gulf Oil Corporation Ltd</t>
  </si>
  <si>
    <t>INE077F01027</t>
  </si>
  <si>
    <t>Venky's (India) Ltd</t>
  </si>
  <si>
    <t>INE398A01010</t>
  </si>
  <si>
    <t>HT Media Ltd</t>
  </si>
  <si>
    <t>INE501G01024</t>
  </si>
  <si>
    <t>Tamil Nadu Newsprint &amp; Papers Ltd</t>
  </si>
  <si>
    <t>INE107A01015</t>
  </si>
  <si>
    <t>Paper</t>
  </si>
  <si>
    <t>LIC Housing Finance Ltd</t>
  </si>
  <si>
    <t>INE115A01026</t>
  </si>
  <si>
    <t>Dewan Housing Finance Corporation Ltd</t>
  </si>
  <si>
    <t>INE202B01012</t>
  </si>
  <si>
    <t>Indian Bank</t>
  </si>
  <si>
    <t>INE562A01011</t>
  </si>
  <si>
    <t>Crompton  Greaves Ltd</t>
  </si>
  <si>
    <t>INE067A01029</t>
  </si>
  <si>
    <t>Industrial Capital Goods</t>
  </si>
  <si>
    <t>Multi Commodity Exchange of India Ltd</t>
  </si>
  <si>
    <t>INE745G01035</t>
  </si>
  <si>
    <t>Indiabulls Real Estate Ltd</t>
  </si>
  <si>
    <t>INE069I01010</t>
  </si>
  <si>
    <t>Construction</t>
  </si>
  <si>
    <t>Apollo Tyres Ltd</t>
  </si>
  <si>
    <t>INE438A01022</t>
  </si>
  <si>
    <t>Prism CEMENT Ltd</t>
  </si>
  <si>
    <t>INE010A01011</t>
  </si>
  <si>
    <t>Marico Ltd</t>
  </si>
  <si>
    <t>INE196A01026</t>
  </si>
  <si>
    <t>Titan Company Limited</t>
  </si>
  <si>
    <t>INE280A01028</t>
  </si>
  <si>
    <t>Whirlpool of India Ltd</t>
  </si>
  <si>
    <t>INE716A01013</t>
  </si>
  <si>
    <t>(b) Unlisted</t>
  </si>
  <si>
    <t>NIL</t>
  </si>
  <si>
    <t>Mirae Asset India China Consumption Fund</t>
  </si>
  <si>
    <t>ITC Ltd</t>
  </si>
  <si>
    <t>INE154A01025</t>
  </si>
  <si>
    <t>China Mobile</t>
  </si>
  <si>
    <t>HK0941009539</t>
  </si>
  <si>
    <t>Wireless Telecommunication Services</t>
  </si>
  <si>
    <t>Bharti Airtel Ltd</t>
  </si>
  <si>
    <t>INE397D01024</t>
  </si>
  <si>
    <t>Tata Motors Ltd</t>
  </si>
  <si>
    <t>IN9155A01020</t>
  </si>
  <si>
    <t>Auto</t>
  </si>
  <si>
    <t>United Spirits Ltd</t>
  </si>
  <si>
    <t>INE854D01016</t>
  </si>
  <si>
    <t>Housing Development Finance Corporation Ltd</t>
  </si>
  <si>
    <t>INE001A01036</t>
  </si>
  <si>
    <t>Galaxy Entertainment Group Ltd</t>
  </si>
  <si>
    <t>HK0027032686</t>
  </si>
  <si>
    <t>Casinos &amp; Gaming</t>
  </si>
  <si>
    <t>Maruti Suzuki India Ltd</t>
  </si>
  <si>
    <t>INE585B01010</t>
  </si>
  <si>
    <t>Tencent Holdings</t>
  </si>
  <si>
    <t>KYG875721485</t>
  </si>
  <si>
    <t>Internet Software &amp; Services</t>
  </si>
  <si>
    <t>Hengan International Group Co Ltd</t>
  </si>
  <si>
    <t>KYG4402L1510</t>
  </si>
  <si>
    <t>Personal Products</t>
  </si>
  <si>
    <t>Sun Art Retail Group Ltd</t>
  </si>
  <si>
    <t>HK0000083920</t>
  </si>
  <si>
    <t>Hypermarkets and Supercenters</t>
  </si>
  <si>
    <t>China Construct BK-H</t>
  </si>
  <si>
    <t>CNE1000002H1</t>
  </si>
  <si>
    <t>Diversified Banks</t>
  </si>
  <si>
    <t>Prada Spa</t>
  </si>
  <si>
    <t>IT0003874101</t>
  </si>
  <si>
    <t>Apparel, Accessories and Luxury Goods</t>
  </si>
  <si>
    <t>Tingyi (Cayman Islands) Holdings Corp</t>
  </si>
  <si>
    <t>KYG8878S1030</t>
  </si>
  <si>
    <t>Packaged Foods &amp; Meats</t>
  </si>
  <si>
    <t>China Overseas Land &amp; Invest Ltd</t>
  </si>
  <si>
    <t>HK0688002218</t>
  </si>
  <si>
    <t>Real Estate Development</t>
  </si>
  <si>
    <t>Brilliance China Automotive Holdings Ltd</t>
  </si>
  <si>
    <t>BMG1368B1028</t>
  </si>
  <si>
    <t>Automobile Manufacturers</t>
  </si>
  <si>
    <t>Nestle India Ltd</t>
  </si>
  <si>
    <t>INE239A01016</t>
  </si>
  <si>
    <t>Colgate Palmolive (India) Ltd</t>
  </si>
  <si>
    <t>INE259A01022</t>
  </si>
  <si>
    <t>Samsonite  International  S A</t>
  </si>
  <si>
    <t>LU0633102719</t>
  </si>
  <si>
    <t>Belle Intl Hldgs</t>
  </si>
  <si>
    <t>KYG097021045</t>
  </si>
  <si>
    <t>Apparel Retail</t>
  </si>
  <si>
    <t>Ind &amp; Comm Bk - H</t>
  </si>
  <si>
    <t>CNE1000003G1</t>
  </si>
  <si>
    <t>Ping An Ins Grp-H</t>
  </si>
  <si>
    <t>CNE1000003X6</t>
  </si>
  <si>
    <t>Life &amp; Health Insurance</t>
  </si>
  <si>
    <t>Hero MotoCorp Ltd</t>
  </si>
  <si>
    <t>INE158A01026</t>
  </si>
  <si>
    <t>Shandong Weigao Gr Medical Polymerco Ltd</t>
  </si>
  <si>
    <t>CNE100000171</t>
  </si>
  <si>
    <t>Health Care Supplies</t>
  </si>
  <si>
    <t>Mirae Asset China Advantage Fund</t>
  </si>
  <si>
    <t>Industry / Rating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</si>
  <si>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</si>
  <si>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</si>
  <si>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</si>
  <si>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</si>
  <si>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</si>
  <si>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</si>
  <si>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</si>
  <si>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</si>
  <si>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Reliance Industries Ltd</t>
  </si>
  <si>
    <t>INE002A01018</t>
  </si>
  <si>
    <t>Cnooc Ltd</t>
  </si>
  <si>
    <t>HK0883013259</t>
  </si>
  <si>
    <t>Oil &amp; Gas Exploration &amp; Production</t>
  </si>
  <si>
    <t>Petrochina Company Ltd</t>
  </si>
  <si>
    <t>CNE1000003W8</t>
  </si>
  <si>
    <t>Integrated Oil &amp; Gas</t>
  </si>
  <si>
    <t>Oil &amp; Natural Gas Corporation Ltd</t>
  </si>
  <si>
    <t>INE213A01029</t>
  </si>
  <si>
    <t>LG Chemicals Ltd</t>
  </si>
  <si>
    <t>KR7051910008</t>
  </si>
  <si>
    <t>Commodity Chemicals</t>
  </si>
  <si>
    <t>Rio Tinto Ltd</t>
  </si>
  <si>
    <t>AU000000RIO1</t>
  </si>
  <si>
    <t>Woodside Petroleum Ltd</t>
  </si>
  <si>
    <t>AU000000WPL2</t>
  </si>
  <si>
    <t>POSCO (Pohang Iron &amp; Steel Co Ltd )</t>
  </si>
  <si>
    <t>KR7005490008</t>
  </si>
  <si>
    <t>Steel</t>
  </si>
  <si>
    <t>China Petroleum -H-</t>
  </si>
  <si>
    <t>CNE1000002Q2</t>
  </si>
  <si>
    <t>Origin Energy Ltd</t>
  </si>
  <si>
    <t>AU000000ORG5</t>
  </si>
  <si>
    <t>Santos Ltd-AUD</t>
  </si>
  <si>
    <t>AU000000STO6</t>
  </si>
  <si>
    <t>SK Innovation Co Ltd</t>
  </si>
  <si>
    <t>KR7096770003</t>
  </si>
  <si>
    <t>Oil &amp; Gas Refining &amp; Marketing</t>
  </si>
  <si>
    <t>Hindalco Industries Ltd</t>
  </si>
  <si>
    <t>INE038A01020</t>
  </si>
  <si>
    <t>Non - Ferrous Metals</t>
  </si>
  <si>
    <t>Tata Steel Ltd</t>
  </si>
  <si>
    <t>INE081A01012</t>
  </si>
  <si>
    <t>Ferrous Metals</t>
  </si>
  <si>
    <t>Sesa Sterlite Ltd</t>
  </si>
  <si>
    <t>INE205A01025</t>
  </si>
  <si>
    <t>Coal India Ltd</t>
  </si>
  <si>
    <t>INE522F01014</t>
  </si>
  <si>
    <t>China Shenhua - H</t>
  </si>
  <si>
    <t>CNE1000002R0</t>
  </si>
  <si>
    <t>Coal &amp; Consumable Fuels</t>
  </si>
  <si>
    <t>Oil Search Ltd</t>
  </si>
  <si>
    <t>PG0008579883</t>
  </si>
  <si>
    <t>AMCOR LIMITED</t>
  </si>
  <si>
    <t>AU000000AMC4</t>
  </si>
  <si>
    <t>Paper Packaging</t>
  </si>
  <si>
    <t>Cairn India Ltd</t>
  </si>
  <si>
    <t>INE910H01017</t>
  </si>
  <si>
    <t>Orica Ltd</t>
  </si>
  <si>
    <t>AU000000ORI1</t>
  </si>
  <si>
    <t>FORTESCUE METALS GROUP LTD</t>
  </si>
  <si>
    <t>AU000000FMG4</t>
  </si>
  <si>
    <t>Kunlun Energy Company Ltd</t>
  </si>
  <si>
    <t>BMG5320C1082</t>
  </si>
  <si>
    <t>Newcrest MMining Ltd</t>
  </si>
  <si>
    <t>AU000000NCM7</t>
  </si>
  <si>
    <t>Gold</t>
  </si>
  <si>
    <t>PT Semen Gresik ( Persero) TBK</t>
  </si>
  <si>
    <t>ID1000106800</t>
  </si>
  <si>
    <t>Construction Materials</t>
  </si>
  <si>
    <t>Ultratech Cement Ltd</t>
  </si>
  <si>
    <t>INE481G01011</t>
  </si>
  <si>
    <t>Jiangxi Copper Company Ltd</t>
  </si>
  <si>
    <t>CNE1000003K3</t>
  </si>
  <si>
    <t>Anhui Conch -H-</t>
  </si>
  <si>
    <t>CNE1000001W2</t>
  </si>
  <si>
    <t>Bharat Petroleum Corporation Ltd</t>
  </si>
  <si>
    <t>INE029A01011</t>
  </si>
  <si>
    <t>China National Building Materia Ltd</t>
  </si>
  <si>
    <t>CNE1000002N9</t>
  </si>
  <si>
    <t>Zijin Mining Group-H</t>
  </si>
  <si>
    <t>CNE100000502</t>
  </si>
  <si>
    <t>JSW Steel Ltd</t>
  </si>
  <si>
    <t>INE019A01020</t>
  </si>
  <si>
    <t>Mirae Asset India Opportunities Fund</t>
  </si>
  <si>
    <t>Infosys Ltd</t>
  </si>
  <si>
    <t>INE009A01021</t>
  </si>
  <si>
    <t>HDFC Bank Ltd</t>
  </si>
  <si>
    <t>INE040A01026</t>
  </si>
  <si>
    <t>Tata Consultancy Services Ltd</t>
  </si>
  <si>
    <t>INE467B01029</t>
  </si>
  <si>
    <t>Larsen &amp; Toubro Ltd</t>
  </si>
  <si>
    <t>INE018A01030</t>
  </si>
  <si>
    <t>Construction Project</t>
  </si>
  <si>
    <t>Sun Pharmaceuticals Industries Ltd</t>
  </si>
  <si>
    <t>INE044A01036</t>
  </si>
  <si>
    <t>State Bank of India</t>
  </si>
  <si>
    <t>INE062A01012</t>
  </si>
  <si>
    <t>Cipla Ltd</t>
  </si>
  <si>
    <t>INE059A01026</t>
  </si>
  <si>
    <t>Dr. Reddy'S Laboratories Ltd</t>
  </si>
  <si>
    <t>INE089A01023</t>
  </si>
  <si>
    <t>INE155A01022</t>
  </si>
  <si>
    <t>Mahindra &amp; Mahindra Financial Services Ltd</t>
  </si>
  <si>
    <t>INE774D01024</t>
  </si>
  <si>
    <t>Power Grid Corporation of India Ltd</t>
  </si>
  <si>
    <t>INE752E01010</t>
  </si>
  <si>
    <t>Mirae Asset Ultra Short Term Bond Fund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</si>
  <si>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</si>
  <si>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</si>
  <si>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</si>
  <si>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</si>
  <si>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</si>
  <si>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</si>
  <si>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</si>
  <si>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</si>
  <si>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</si>
  <si>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</si>
  <si>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</si>
  <si>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</si>
  <si>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t>India Equity Share*</t>
  </si>
  <si>
    <t>Industry*</t>
  </si>
  <si>
    <t>Tata Motors Ltd DVR Shares</t>
  </si>
  <si>
    <t>$0.00%</t>
  </si>
  <si>
    <t>$ Less than 0.01%</t>
  </si>
  <si>
    <t>Average maturity in days</t>
  </si>
  <si>
    <t>(An Open - Ended Liquid Scheme)</t>
  </si>
  <si>
    <t xml:space="preserve"> (An Open - Ended Equity Fund)</t>
  </si>
  <si>
    <t>Portfolio Turnover Ratio^</t>
  </si>
  <si>
    <t>^Basis last rolling 12 month</t>
  </si>
  <si>
    <t>(An Open - Ended Equity Oriented Scheme)</t>
  </si>
  <si>
    <t>FOREIGN SECURITIES/ OVERSEAS ETFs</t>
  </si>
  <si>
    <t>(An Open - Ended Fund of Funds Scheme)</t>
  </si>
  <si>
    <t>(An Open - Ended Debt Scheme)</t>
  </si>
  <si>
    <t xml:space="preserve"> (An Open -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</si>
</sst>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(#,##0.00\)"/>
    <numFmt numFmtId="165" formatCode="#,##0.000"/>
  </numFmts>
  <fonts count="14" x14ac:knownFonts="1">
    <font>
      <sz val="10"/>
      <name val="Arial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Tahoma"/>
      <family val="2"/>
    </font>
    <font>
      <b/>
      <sz val="15"/>
      <name val="Tahoma"/>
      <family val="2"/>
    </font>
    <font>
      <b/>
      <sz val="9"/>
      <color indexed="72"/>
      <name val="Tahoma"/>
      <family val="2"/>
    </font>
    <font>
      <sz val="9"/>
      <color indexed="72"/>
      <name val="Tahoma"/>
      <family val="2"/>
    </font>
    <font>
      <b/>
      <sz val="10"/>
      <color indexed="72"/>
      <name val="Tahoma"/>
      <family val="2"/>
    </font>
    <font>
      <b/>
      <sz val="9"/>
      <name val="Tahoma"/>
      <family val="2"/>
    </font>
    <font>
      <sz val="9"/>
      <color indexed="9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b/>
      <sz val="14"/>
      <name val="Tahom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right" vertical="center" wrapText="1"/>
    </xf>
    <xf numFmtId="0" fontId="8" fillId="0" borderId="5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right" vertical="center" wrapText="1"/>
    </xf>
    <xf numFmtId="0" fontId="10" fillId="0" borderId="5" xfId="0" applyNumberFormat="1" applyFont="1" applyFill="1" applyBorder="1" applyAlignment="1" applyProtection="1">
      <alignment horizontal="right" vertical="center" wrapText="1"/>
    </xf>
    <xf numFmtId="0" fontId="5" fillId="0" borderId="5" xfId="0" applyNumberFormat="1" applyFont="1" applyFill="1" applyBorder="1" applyAlignment="1" applyProtection="1">
      <alignment horizontal="right" vertical="center" wrapText="1"/>
    </xf>
    <xf numFmtId="0" fontId="5" fillId="0" borderId="6" xfId="0" applyNumberFormat="1" applyFont="1" applyFill="1" applyBorder="1" applyAlignment="1" applyProtection="1">
      <alignment horizontal="left" vertical="top" wrapText="1"/>
    </xf>
    <xf numFmtId="0" fontId="6" fillId="0" borderId="4" xfId="0" applyNumberFormat="1" applyFont="1" applyFill="1" applyBorder="1" applyAlignment="1" applyProtection="1">
      <alignment horizontal="left" vertical="top" wrapText="1"/>
    </xf>
    <xf numFmtId="0" fontId="6" fillId="0" borderId="5" xfId="0" applyNumberFormat="1" applyFont="1" applyFill="1" applyBorder="1" applyAlignment="1" applyProtection="1">
      <alignment horizontal="left" vertical="top" wrapText="1"/>
    </xf>
    <xf numFmtId="0" fontId="6" fillId="0" borderId="6" xfId="0" applyNumberFormat="1" applyFont="1" applyFill="1" applyBorder="1" applyAlignment="1" applyProtection="1">
      <alignment horizontal="left" vertical="top" wrapText="1"/>
    </xf>
    <xf numFmtId="3" fontId="6" fillId="0" borderId="4" xfId="0" applyNumberFormat="1" applyFont="1" applyFill="1" applyBorder="1" applyAlignment="1" applyProtection="1">
      <alignment horizontal="right" vertical="top" wrapText="1"/>
    </xf>
    <xf numFmtId="4" fontId="6" fillId="0" borderId="4" xfId="0" applyNumberFormat="1" applyFont="1" applyFill="1" applyBorder="1" applyAlignment="1" applyProtection="1">
      <alignment horizontal="right" vertical="top" wrapText="1"/>
    </xf>
    <xf numFmtId="10" fontId="6" fillId="0" borderId="5" xfId="0" applyNumberFormat="1" applyFont="1" applyFill="1" applyBorder="1" applyAlignment="1" applyProtection="1">
      <alignment horizontal="right" vertical="top" wrapText="1"/>
    </xf>
    <xf numFmtId="4" fontId="5" fillId="0" borderId="4" xfId="0" applyNumberFormat="1" applyFont="1" applyFill="1" applyBorder="1" applyAlignment="1" applyProtection="1">
      <alignment horizontal="right" vertical="top" wrapText="1"/>
    </xf>
    <xf numFmtId="10" fontId="5" fillId="0" borderId="5" xfId="0" applyNumberFormat="1" applyFont="1" applyFill="1" applyBorder="1" applyAlignment="1" applyProtection="1">
      <alignment horizontal="right" vertical="top" wrapText="1"/>
    </xf>
    <xf numFmtId="4" fontId="6" fillId="0" borderId="4" xfId="0" applyNumberFormat="1" applyFont="1" applyFill="1" applyBorder="1" applyAlignment="1" applyProtection="1">
      <alignment horizontal="left" vertical="top" wrapText="1"/>
    </xf>
    <xf numFmtId="10" fontId="6" fillId="0" borderId="5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4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1" fillId="0" borderId="7" xfId="0" applyNumberFormat="1" applyFont="1" applyFill="1" applyBorder="1" applyAlignment="1" applyProtection="1">
      <alignment horizontal="center" wrapText="1"/>
    </xf>
    <xf numFmtId="2" fontId="5" fillId="0" borderId="18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2" fontId="5" fillId="0" borderId="4" xfId="0" applyNumberFormat="1" applyFont="1" applyFill="1" applyBorder="1" applyAlignment="1" applyProtection="1">
      <alignment horizontal="righ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4" fontId="8" fillId="0" borderId="4" xfId="0" applyNumberFormat="1" applyFont="1" applyFill="1" applyBorder="1" applyAlignment="1" applyProtection="1">
      <alignment horizontal="right" vertical="top" wrapText="1"/>
    </xf>
    <xf numFmtId="10" fontId="8" fillId="0" borderId="5" xfId="0" applyNumberFormat="1" applyFont="1" applyFill="1" applyBorder="1" applyAlignment="1" applyProtection="1">
      <alignment horizontal="right" vertical="top" wrapText="1"/>
    </xf>
    <xf numFmtId="0" fontId="1" fillId="0" borderId="25" xfId="0" applyNumberFormat="1" applyFont="1" applyFill="1" applyBorder="1" applyAlignment="1" applyProtection="1">
      <alignment horizontal="left" vertical="top" wrapText="1"/>
    </xf>
    <xf numFmtId="2" fontId="1" fillId="0" borderId="7" xfId="0" applyNumberFormat="1" applyFont="1" applyFill="1" applyBorder="1" applyAlignment="1" applyProtection="1">
      <alignment horizontal="center" vertical="top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8" fillId="0" borderId="6" xfId="0" applyNumberFormat="1" applyFont="1" applyFill="1" applyBorder="1" applyAlignment="1" applyProtection="1">
      <alignment horizontal="left" vertical="top" wrapText="1"/>
    </xf>
    <xf numFmtId="164" fontId="10" fillId="0" borderId="4" xfId="0" applyNumberFormat="1" applyFont="1" applyFill="1" applyBorder="1" applyAlignment="1" applyProtection="1">
      <alignment horizontal="right" vertical="top" wrapText="1"/>
    </xf>
    <xf numFmtId="0" fontId="5" fillId="0" borderId="25" xfId="0" applyNumberFormat="1" applyFont="1" applyFill="1" applyBorder="1" applyAlignment="1" applyProtection="1">
      <alignment horizontal="left" vertical="top" wrapText="1"/>
    </xf>
    <xf numFmtId="2" fontId="5" fillId="0" borderId="7" xfId="0" applyNumberFormat="1" applyFont="1" applyFill="1" applyBorder="1" applyAlignment="1" applyProtection="1">
      <alignment horizontal="center" vertical="top" wrapText="1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right" vertical="center" wrapText="1"/>
    </xf>
    <xf numFmtId="165" fontId="6" fillId="0" borderId="4" xfId="0" applyNumberFormat="1" applyFont="1" applyFill="1" applyBorder="1" applyAlignment="1" applyProtection="1">
      <alignment horizontal="right" vertical="top" wrapText="1"/>
    </xf>
    <xf numFmtId="0" fontId="11" fillId="0" borderId="5" xfId="0" applyNumberFormat="1" applyFont="1" applyFill="1" applyBorder="1" applyAlignment="1" applyProtection="1">
      <alignment horizontal="right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 wrapText="1"/>
    </xf>
    <xf numFmtId="0" fontId="11" fillId="0" borderId="8" xfId="0" applyNumberFormat="1" applyFont="1" applyFill="1" applyBorder="1" applyAlignment="1" applyProtection="1">
      <alignment horizontal="right" vertical="center" wrapText="1"/>
    </xf>
    <xf numFmtId="0" fontId="11" fillId="0" borderId="27" xfId="0" applyNumberFormat="1" applyFont="1" applyFill="1" applyBorder="1" applyAlignment="1" applyProtection="1">
      <alignment horizontal="right" vertical="center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1" fillId="0" borderId="26" xfId="0" applyFont="1" applyBorder="1"/>
    <xf numFmtId="0" fontId="10" fillId="0" borderId="6" xfId="0" applyFont="1" applyBorder="1"/>
    <xf numFmtId="0" fontId="11" fillId="0" borderId="6" xfId="0" applyFont="1" applyBorder="1"/>
    <xf numFmtId="0" fontId="12" fillId="0" borderId="6" xfId="0" applyFont="1" applyBorder="1"/>
    <xf numFmtId="0" fontId="5" fillId="0" borderId="26" xfId="0" applyNumberFormat="1" applyFont="1" applyFill="1" applyBorder="1" applyAlignment="1" applyProtection="1">
      <alignment horizontal="left" vertical="top" wrapText="1"/>
    </xf>
    <xf numFmtId="0" fontId="6" fillId="0" borderId="8" xfId="0" applyNumberFormat="1" applyFont="1" applyFill="1" applyBorder="1" applyAlignment="1" applyProtection="1">
      <alignment horizontal="left" vertical="top" wrapText="1"/>
    </xf>
    <xf numFmtId="0" fontId="6" fillId="0" borderId="27" xfId="0" applyNumberFormat="1" applyFont="1" applyFill="1" applyBorder="1" applyAlignment="1" applyProtection="1">
      <alignment horizontal="left" vertical="top" wrapText="1"/>
    </xf>
    <xf numFmtId="4" fontId="8" fillId="0" borderId="4" xfId="0" applyNumberFormat="1" applyFont="1" applyFill="1" applyBorder="1" applyAlignment="1" applyProtection="1">
      <alignment horizontal="right" vertical="center" wrapText="1"/>
    </xf>
    <xf numFmtId="4" fontId="5" fillId="0" borderId="4" xfId="0" applyNumberFormat="1" applyFont="1" applyFill="1" applyBorder="1" applyAlignment="1" applyProtection="1">
      <alignment horizontal="right" vertical="center" wrapText="1"/>
    </xf>
    <xf numFmtId="0" fontId="10" fillId="0" borderId="0" xfId="0" applyNumberFormat="1" applyFont="1" applyFill="1" applyBorder="1" applyAlignment="1"/>
    <xf numFmtId="0" fontId="11" fillId="0" borderId="4" xfId="0" applyFont="1" applyBorder="1"/>
    <xf numFmtId="0" fontId="10" fillId="0" borderId="4" xfId="0" applyFont="1" applyBorder="1"/>
    <xf numFmtId="0" fontId="11" fillId="0" borderId="8" xfId="0" applyFont="1" applyBorder="1"/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/>
    <xf numFmtId="0" fontId="11" fillId="0" borderId="2" xfId="0" applyFont="1" applyBorder="1"/>
    <xf numFmtId="4" fontId="5" fillId="0" borderId="2" xfId="0" applyNumberFormat="1" applyFont="1" applyFill="1" applyBorder="1" applyAlignment="1" applyProtection="1">
      <alignment horizontal="center" vertical="center" wrapText="1"/>
    </xf>
    <xf numFmtId="10" fontId="8" fillId="0" borderId="5" xfId="0" applyNumberFormat="1" applyFont="1" applyFill="1" applyBorder="1" applyAlignment="1" applyProtection="1">
      <alignment horizontal="right" vertical="center" wrapText="1"/>
    </xf>
    <xf numFmtId="10" fontId="5" fillId="0" borderId="5" xfId="0" applyNumberFormat="1" applyFont="1" applyFill="1" applyBorder="1" applyAlignment="1" applyProtection="1">
      <alignment horizontal="right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right" vertical="center" wrapText="1"/>
    </xf>
    <xf numFmtId="0" fontId="8" fillId="0" borderId="6" xfId="0" applyFont="1" applyBorder="1"/>
    <xf numFmtId="0" fontId="4" fillId="0" borderId="19" xfId="0" applyNumberFormat="1" applyFont="1" applyFill="1" applyBorder="1" applyAlignment="1" applyProtection="1">
      <alignment horizontal="center" vertical="top" wrapText="1"/>
    </xf>
    <xf numFmtId="0" fontId="4" fillId="0" borderId="20" xfId="0" applyNumberFormat="1" applyFont="1" applyFill="1" applyBorder="1" applyAlignment="1" applyProtection="1">
      <alignment horizontal="center" vertical="top" wrapText="1"/>
    </xf>
    <xf numFmtId="0" fontId="4" fillId="0" borderId="21" xfId="0" applyNumberFormat="1" applyFont="1" applyFill="1" applyBorder="1" applyAlignment="1" applyProtection="1">
      <alignment horizontal="center" vertical="top" wrapText="1"/>
    </xf>
    <xf numFmtId="0" fontId="5" fillId="0" borderId="22" xfId="0" applyNumberFormat="1" applyFont="1" applyFill="1" applyBorder="1" applyAlignment="1" applyProtection="1">
      <alignment horizontal="center" vertical="top" wrapText="1"/>
    </xf>
    <xf numFmtId="0" fontId="5" fillId="0" borderId="23" xfId="0" applyNumberFormat="1" applyFont="1" applyFill="1" applyBorder="1" applyAlignment="1" applyProtection="1">
      <alignment horizontal="center" vertical="top" wrapText="1"/>
    </xf>
    <xf numFmtId="0" fontId="5" fillId="0" borderId="24" xfId="0" applyNumberFormat="1" applyFont="1" applyFill="1" applyBorder="1" applyAlignment="1" applyProtection="1">
      <alignment horizontal="center" vertical="top" wrapText="1"/>
    </xf>
    <xf numFmtId="0" fontId="13" fillId="0" borderId="19" xfId="0" applyNumberFormat="1" applyFont="1" applyFill="1" applyBorder="1" applyAlignment="1" applyProtection="1">
      <alignment horizontal="center" vertical="top" wrapText="1"/>
    </xf>
    <xf numFmtId="0" fontId="13" fillId="0" borderId="20" xfId="0" applyNumberFormat="1" applyFont="1" applyFill="1" applyBorder="1" applyAlignment="1" applyProtection="1">
      <alignment horizontal="center" vertical="top" wrapText="1"/>
    </xf>
    <xf numFmtId="0" fontId="13" fillId="0" borderId="21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zoomScaleNormal="100" workbookViewId="0">
      <selection activeCell="B9" sqref="B9"/>
    </sheetView>
  </sheetViews>
  <sheetFormatPr defaultRowHeight="12.75" x14ac:dyDescent="0.2"/>
  <cols>
    <col min="1" max="1" width="11.42578125" style="3" bestFit="1" customWidth="1"/>
    <col min="2" max="2" width="53" style="3" bestFit="1" customWidth="1"/>
    <col min="3" max="7" width="20.140625" style="3" customWidth="1"/>
    <col min="8" max="16384" width="9.140625" style="3"/>
  </cols>
  <sheetData>
    <row r="1" spans="1:7" ht="18.75" x14ac:dyDescent="0.2">
      <c r="A1" s="2"/>
      <c r="B1" s="88" t="s">
        <v>0</v>
      </c>
      <c r="C1" s="89"/>
      <c r="D1" s="89"/>
      <c r="E1" s="89"/>
      <c r="F1" s="89"/>
      <c r="G1" s="90"/>
    </row>
    <row r="2" spans="1:7" ht="13.5" thickBot="1" x14ac:dyDescent="0.25">
      <c r="A2" s="2"/>
      <c r="B2" s="91" t="s">
        <v>359</v>
      </c>
      <c r="C2" s="92"/>
      <c r="D2" s="92"/>
      <c r="E2" s="92"/>
      <c r="F2" s="92"/>
      <c r="G2" s="93"/>
    </row>
    <row r="3" spans="1:7" ht="12.95" customHeight="1" x14ac:dyDescent="0.2">
      <c r="A3" s="2"/>
      <c r="B3" s="4"/>
      <c r="C3" s="4"/>
      <c r="D3" s="4"/>
      <c r="E3" s="4"/>
      <c r="F3" s="4"/>
      <c r="G3" s="4"/>
    </row>
    <row r="4" spans="1:7" ht="12.95" customHeight="1" thickBot="1" x14ac:dyDescent="0.25">
      <c r="A4" s="5"/>
      <c r="B4" s="6" t="s">
        <v>2</v>
      </c>
      <c r="C4" s="2"/>
      <c r="D4" s="2"/>
      <c r="E4" s="2"/>
      <c r="F4" s="2"/>
      <c r="G4" s="2"/>
    </row>
    <row r="5" spans="1:7" ht="27.95" customHeight="1" thickBot="1" x14ac:dyDescent="0.25">
      <c r="A5" s="2"/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9" t="s">
        <v>8</v>
      </c>
    </row>
    <row r="6" spans="1:7" ht="12.95" customHeight="1" x14ac:dyDescent="0.2">
      <c r="A6" s="2"/>
      <c r="B6" s="80" t="s">
        <v>342</v>
      </c>
      <c r="C6" s="81"/>
      <c r="D6" s="10"/>
      <c r="E6" s="10"/>
      <c r="F6" s="10"/>
      <c r="G6" s="11"/>
    </row>
    <row r="7" spans="1:7" ht="12.95" customHeight="1" x14ac:dyDescent="0.2">
      <c r="A7" s="2"/>
      <c r="B7" s="67" t="s">
        <v>343</v>
      </c>
      <c r="C7" s="12"/>
      <c r="D7" s="13"/>
      <c r="E7" s="14" t="s">
        <v>168</v>
      </c>
      <c r="F7" s="14" t="s">
        <v>168</v>
      </c>
      <c r="G7" s="15" t="s">
        <v>168</v>
      </c>
    </row>
    <row r="8" spans="1:7" ht="12.95" customHeight="1" x14ac:dyDescent="0.2">
      <c r="A8" s="16"/>
      <c r="B8" s="67" t="s">
        <v>167</v>
      </c>
      <c r="C8" s="12"/>
      <c r="D8" s="13"/>
      <c r="E8" s="14" t="s">
        <v>168</v>
      </c>
      <c r="F8" s="14" t="s">
        <v>168</v>
      </c>
      <c r="G8" s="15" t="s">
        <v>168</v>
      </c>
    </row>
    <row r="9" spans="1:7" ht="12.95" customHeight="1" x14ac:dyDescent="0.2">
      <c r="A9" s="2"/>
      <c r="B9" s="67"/>
      <c r="C9" s="12"/>
      <c r="D9" s="13"/>
      <c r="E9" s="17"/>
      <c r="F9" s="18"/>
      <c r="G9" s="19"/>
    </row>
    <row r="10" spans="1:7" ht="12.95" customHeight="1" x14ac:dyDescent="0.2">
      <c r="A10" s="2"/>
      <c r="B10" s="68" t="s">
        <v>344</v>
      </c>
      <c r="C10" s="12"/>
      <c r="D10" s="13"/>
      <c r="E10" s="17"/>
      <c r="F10" s="18"/>
      <c r="G10" s="19"/>
    </row>
    <row r="11" spans="1:7" ht="12.95" customHeight="1" x14ac:dyDescent="0.2">
      <c r="A11" s="2"/>
      <c r="B11" s="67" t="s">
        <v>345</v>
      </c>
      <c r="C11" s="12"/>
      <c r="D11" s="13"/>
      <c r="E11" s="14" t="s">
        <v>168</v>
      </c>
      <c r="F11" s="14" t="s">
        <v>168</v>
      </c>
      <c r="G11" s="15" t="s">
        <v>168</v>
      </c>
    </row>
    <row r="12" spans="1:7" ht="12.95" customHeight="1" x14ac:dyDescent="0.2">
      <c r="A12" s="16"/>
      <c r="B12" s="67" t="s">
        <v>346</v>
      </c>
      <c r="C12" s="12"/>
      <c r="D12" s="13"/>
      <c r="E12" s="14" t="s">
        <v>168</v>
      </c>
      <c r="F12" s="14" t="s">
        <v>168</v>
      </c>
      <c r="G12" s="20" t="s">
        <v>168</v>
      </c>
    </row>
    <row r="13" spans="1:7" ht="12.95" customHeight="1" x14ac:dyDescent="0.2">
      <c r="A13" s="2"/>
      <c r="B13" s="67" t="s">
        <v>347</v>
      </c>
      <c r="C13" s="12"/>
      <c r="D13" s="13"/>
      <c r="E13" s="14" t="s">
        <v>168</v>
      </c>
      <c r="F13" s="14" t="s">
        <v>168</v>
      </c>
      <c r="G13" s="20" t="s">
        <v>168</v>
      </c>
    </row>
    <row r="14" spans="1:7" ht="12.95" customHeight="1" x14ac:dyDescent="0.2">
      <c r="A14" s="2"/>
      <c r="B14" s="67"/>
      <c r="C14" s="12"/>
      <c r="D14" s="13"/>
      <c r="E14" s="17"/>
      <c r="F14" s="14"/>
      <c r="G14" s="20"/>
    </row>
    <row r="15" spans="1:7" ht="12.95" customHeight="1" x14ac:dyDescent="0.2">
      <c r="A15" s="2"/>
      <c r="B15" s="21" t="s">
        <v>9</v>
      </c>
      <c r="C15" s="22" t="s">
        <v>1</v>
      </c>
      <c r="D15" s="22" t="s">
        <v>1</v>
      </c>
      <c r="E15" s="22" t="s">
        <v>1</v>
      </c>
      <c r="F15" s="22" t="s">
        <v>1</v>
      </c>
      <c r="G15" s="23" t="s">
        <v>1</v>
      </c>
    </row>
    <row r="16" spans="1:7" ht="12.95" customHeight="1" x14ac:dyDescent="0.2">
      <c r="A16" s="2"/>
      <c r="B16" s="21" t="s">
        <v>10</v>
      </c>
      <c r="C16" s="22" t="s">
        <v>1</v>
      </c>
      <c r="D16" s="22" t="s">
        <v>1</v>
      </c>
      <c r="E16" s="22" t="s">
        <v>1</v>
      </c>
      <c r="F16" s="22" t="s">
        <v>1</v>
      </c>
      <c r="G16" s="23" t="s">
        <v>1</v>
      </c>
    </row>
    <row r="17" spans="1:7" ht="12.95" customHeight="1" x14ac:dyDescent="0.2">
      <c r="A17" s="16"/>
      <c r="B17" s="24" t="s">
        <v>11</v>
      </c>
      <c r="C17" s="22" t="s">
        <v>12</v>
      </c>
      <c r="D17" s="22" t="s">
        <v>13</v>
      </c>
      <c r="E17" s="25">
        <v>500000</v>
      </c>
      <c r="F17" s="26">
        <v>497.72014999999999</v>
      </c>
      <c r="G17" s="27">
        <v>0.1820153450044853</v>
      </c>
    </row>
    <row r="18" spans="1:7" ht="12.95" customHeight="1" x14ac:dyDescent="0.2">
      <c r="A18" s="16"/>
      <c r="B18" s="24" t="s">
        <v>14</v>
      </c>
      <c r="C18" s="22" t="s">
        <v>15</v>
      </c>
      <c r="D18" s="22" t="s">
        <v>16</v>
      </c>
      <c r="E18" s="25">
        <v>400000</v>
      </c>
      <c r="F18" s="26">
        <v>396.97501199999999</v>
      </c>
      <c r="G18" s="27">
        <v>0.14517303301331017</v>
      </c>
    </row>
    <row r="19" spans="1:7" ht="12.95" customHeight="1" x14ac:dyDescent="0.2">
      <c r="A19" s="2"/>
      <c r="B19" s="21" t="s">
        <v>17</v>
      </c>
      <c r="C19" s="22" t="s">
        <v>1</v>
      </c>
      <c r="D19" s="22" t="s">
        <v>1</v>
      </c>
      <c r="E19" s="22" t="s">
        <v>1</v>
      </c>
      <c r="F19" s="28">
        <v>894.69516199999998</v>
      </c>
      <c r="G19" s="29">
        <v>0.32718837801779543</v>
      </c>
    </row>
    <row r="20" spans="1:7" ht="12.95" customHeight="1" x14ac:dyDescent="0.2">
      <c r="A20" s="2"/>
      <c r="B20" s="21" t="s">
        <v>18</v>
      </c>
      <c r="C20" s="22" t="s">
        <v>1</v>
      </c>
      <c r="D20" s="22" t="s">
        <v>1</v>
      </c>
      <c r="E20" s="22" t="s">
        <v>1</v>
      </c>
      <c r="F20" s="28">
        <v>894.69516199999998</v>
      </c>
      <c r="G20" s="29">
        <v>0.32718837801779543</v>
      </c>
    </row>
    <row r="21" spans="1:7" ht="12.95" customHeight="1" x14ac:dyDescent="0.2">
      <c r="A21" s="2"/>
      <c r="B21" s="21"/>
      <c r="C21" s="22"/>
      <c r="D21" s="22"/>
      <c r="E21" s="22"/>
      <c r="F21" s="28"/>
      <c r="G21" s="29"/>
    </row>
    <row r="22" spans="1:7" ht="12.95" customHeight="1" x14ac:dyDescent="0.2">
      <c r="A22" s="2"/>
      <c r="B22" s="21" t="s">
        <v>19</v>
      </c>
      <c r="C22" s="22" t="s">
        <v>1</v>
      </c>
      <c r="D22" s="22" t="s">
        <v>1</v>
      </c>
      <c r="E22" s="22" t="s">
        <v>1</v>
      </c>
      <c r="F22" s="30" t="s">
        <v>1</v>
      </c>
      <c r="G22" s="31" t="s">
        <v>1</v>
      </c>
    </row>
    <row r="23" spans="1:7" ht="12.95" customHeight="1" x14ac:dyDescent="0.2">
      <c r="A23" s="16"/>
      <c r="B23" s="24" t="s">
        <v>20</v>
      </c>
      <c r="C23" s="22" t="s">
        <v>1</v>
      </c>
      <c r="D23" s="22" t="s">
        <v>21</v>
      </c>
      <c r="E23" s="25"/>
      <c r="F23" s="26">
        <v>1839.6543999999999</v>
      </c>
      <c r="G23" s="27">
        <v>0.67275823634027954</v>
      </c>
    </row>
    <row r="24" spans="1:7" ht="12.95" customHeight="1" x14ac:dyDescent="0.2">
      <c r="A24" s="2"/>
      <c r="B24" s="21" t="s">
        <v>17</v>
      </c>
      <c r="C24" s="22" t="s">
        <v>1</v>
      </c>
      <c r="D24" s="22" t="s">
        <v>1</v>
      </c>
      <c r="E24" s="22" t="s">
        <v>1</v>
      </c>
      <c r="F24" s="28">
        <v>1839.6543999999999</v>
      </c>
      <c r="G24" s="29">
        <v>0.67275823634027954</v>
      </c>
    </row>
    <row r="25" spans="1:7" ht="12.95" customHeight="1" x14ac:dyDescent="0.2">
      <c r="A25" s="2"/>
      <c r="B25" s="21" t="s">
        <v>18</v>
      </c>
      <c r="C25" s="22" t="s">
        <v>1</v>
      </c>
      <c r="D25" s="22" t="s">
        <v>1</v>
      </c>
      <c r="E25" s="22" t="s">
        <v>1</v>
      </c>
      <c r="F25" s="28">
        <v>1839.6543999999999</v>
      </c>
      <c r="G25" s="29">
        <v>0.67275823634027954</v>
      </c>
    </row>
    <row r="26" spans="1:7" ht="12.95" customHeight="1" x14ac:dyDescent="0.2">
      <c r="A26" s="2"/>
      <c r="B26" s="21"/>
      <c r="C26" s="22"/>
      <c r="D26" s="22"/>
      <c r="E26" s="22"/>
      <c r="F26" s="28"/>
      <c r="G26" s="29"/>
    </row>
    <row r="27" spans="1:7" ht="12.95" customHeight="1" x14ac:dyDescent="0.2">
      <c r="A27" s="2"/>
      <c r="B27" s="21" t="s">
        <v>234</v>
      </c>
      <c r="C27" s="22"/>
      <c r="D27" s="22"/>
      <c r="E27" s="22"/>
      <c r="F27" s="28"/>
      <c r="G27" s="29"/>
    </row>
    <row r="28" spans="1:7" ht="12.95" customHeight="1" thickBot="1" x14ac:dyDescent="0.25">
      <c r="A28" s="2"/>
      <c r="B28" s="32" t="s">
        <v>22</v>
      </c>
      <c r="C28" s="33" t="s">
        <v>1</v>
      </c>
      <c r="D28" s="33" t="s">
        <v>1</v>
      </c>
      <c r="E28" s="33" t="s">
        <v>1</v>
      </c>
      <c r="F28" s="34">
        <v>0.1459828</v>
      </c>
      <c r="G28" s="35">
        <v>5.338564192499978E-5</v>
      </c>
    </row>
    <row r="29" spans="1:7" ht="12.95" customHeight="1" thickTop="1" thickBot="1" x14ac:dyDescent="0.25">
      <c r="A29" s="2"/>
      <c r="B29" s="36" t="s">
        <v>23</v>
      </c>
      <c r="C29" s="37" t="s">
        <v>1</v>
      </c>
      <c r="D29" s="37" t="s">
        <v>1</v>
      </c>
      <c r="E29" s="37" t="s">
        <v>1</v>
      </c>
      <c r="F29" s="38">
        <v>2734.4955448000001</v>
      </c>
      <c r="G29" s="39">
        <v>1</v>
      </c>
    </row>
    <row r="30" spans="1:7" ht="12.95" customHeight="1" x14ac:dyDescent="0.2">
      <c r="A30" s="2"/>
      <c r="B30" s="5" t="s">
        <v>1</v>
      </c>
      <c r="C30" s="2"/>
      <c r="D30" s="2"/>
      <c r="E30" s="2"/>
      <c r="F30" s="2"/>
      <c r="G30" s="2"/>
    </row>
    <row r="31" spans="1:7" ht="12.95" customHeight="1" x14ac:dyDescent="0.2">
      <c r="A31" s="2"/>
      <c r="B31" s="40" t="s">
        <v>21</v>
      </c>
      <c r="C31" s="2"/>
      <c r="D31" s="2"/>
      <c r="E31" s="2"/>
      <c r="F31" s="2"/>
      <c r="G31" s="2"/>
    </row>
    <row r="32" spans="1:7" ht="12.95" customHeight="1" x14ac:dyDescent="0.2">
      <c r="A32" s="2"/>
      <c r="B32" s="40" t="s">
        <v>24</v>
      </c>
      <c r="C32" s="2"/>
      <c r="D32" s="2"/>
      <c r="E32" s="2"/>
      <c r="F32" s="2"/>
      <c r="G32" s="2"/>
    </row>
    <row r="33" spans="1:7" ht="12.95" customHeight="1" x14ac:dyDescent="0.2">
      <c r="A33" s="2"/>
      <c r="B33" s="40" t="s">
        <v>25</v>
      </c>
      <c r="C33" s="2"/>
      <c r="D33" s="2"/>
      <c r="E33" s="2"/>
      <c r="F33" s="2"/>
      <c r="G33" s="2"/>
    </row>
    <row r="34" spans="1:7" ht="12.95" customHeight="1" thickBot="1" x14ac:dyDescent="0.25">
      <c r="A34" s="2"/>
      <c r="B34" s="40" t="s">
        <v>1</v>
      </c>
      <c r="C34" s="2"/>
      <c r="D34" s="2"/>
      <c r="E34" s="2"/>
      <c r="F34" s="2"/>
      <c r="G34" s="2"/>
    </row>
    <row r="35" spans="1:7" ht="12.95" customHeight="1" thickBot="1" x14ac:dyDescent="0.25">
      <c r="A35" s="2"/>
      <c r="B35" s="41" t="s">
        <v>358</v>
      </c>
      <c r="C35" s="42">
        <v>8.16</v>
      </c>
      <c r="D35" s="2"/>
      <c r="E35" s="2"/>
      <c r="F35" s="2"/>
      <c r="G35" s="2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showGridLines="0" zoomScaleNormal="100" workbookViewId="0">
      <selection activeCell="B20" sqref="B20"/>
    </sheetView>
  </sheetViews>
  <sheetFormatPr defaultRowHeight="12.75" x14ac:dyDescent="0.2"/>
  <cols>
    <col min="1" max="1" width="11.42578125" style="3" bestFit="1" customWidth="1"/>
    <col min="2" max="2" width="53" style="3" bestFit="1" customWidth="1"/>
    <col min="3" max="7" width="19" style="3" customWidth="1"/>
    <col min="8" max="16384" width="9.140625" style="3"/>
  </cols>
  <sheetData>
    <row r="1" spans="1:7" ht="18.75" x14ac:dyDescent="0.2">
      <c r="A1" s="2"/>
      <c r="B1" s="88" t="s">
        <v>26</v>
      </c>
      <c r="C1" s="89"/>
      <c r="D1" s="89"/>
      <c r="E1" s="89"/>
      <c r="F1" s="89"/>
      <c r="G1" s="90"/>
    </row>
    <row r="2" spans="1:7" ht="13.5" thickBot="1" x14ac:dyDescent="0.25">
      <c r="A2" s="2"/>
      <c r="B2" s="91" t="s">
        <v>360</v>
      </c>
      <c r="C2" s="92"/>
      <c r="D2" s="92"/>
      <c r="E2" s="92"/>
      <c r="F2" s="92"/>
      <c r="G2" s="93"/>
    </row>
    <row r="3" spans="1:7" ht="12.95" customHeight="1" x14ac:dyDescent="0.2">
      <c r="A3" s="2"/>
      <c r="B3" s="4" t="s">
        <v>1</v>
      </c>
      <c r="C3" s="2"/>
      <c r="D3" s="2"/>
      <c r="E3" s="2"/>
      <c r="F3" s="2"/>
      <c r="G3" s="2"/>
    </row>
    <row r="4" spans="1:7" ht="12.95" customHeight="1" thickBot="1" x14ac:dyDescent="0.25">
      <c r="A4" s="5"/>
      <c r="B4" s="6" t="s">
        <v>2</v>
      </c>
      <c r="C4" s="2"/>
      <c r="D4" s="2"/>
      <c r="E4" s="2"/>
      <c r="F4" s="2"/>
      <c r="G4" s="2"/>
    </row>
    <row r="5" spans="1:7" ht="23.25" thickBot="1" x14ac:dyDescent="0.25">
      <c r="A5" s="2"/>
      <c r="B5" s="7" t="s">
        <v>3</v>
      </c>
      <c r="C5" s="8" t="s">
        <v>4</v>
      </c>
      <c r="D5" s="8" t="s">
        <v>354</v>
      </c>
      <c r="E5" s="8" t="s">
        <v>6</v>
      </c>
      <c r="F5" s="8" t="s">
        <v>7</v>
      </c>
      <c r="G5" s="9" t="s">
        <v>8</v>
      </c>
    </row>
    <row r="6" spans="1:7" ht="12.95" customHeight="1" x14ac:dyDescent="0.2">
      <c r="A6" s="2"/>
      <c r="B6" s="43" t="s">
        <v>28</v>
      </c>
      <c r="C6" s="44" t="s">
        <v>1</v>
      </c>
      <c r="D6" s="44" t="s">
        <v>1</v>
      </c>
      <c r="E6" s="44" t="s">
        <v>1</v>
      </c>
      <c r="F6" s="44" t="s">
        <v>1</v>
      </c>
      <c r="G6" s="45" t="s">
        <v>1</v>
      </c>
    </row>
    <row r="7" spans="1:7" ht="12.95" customHeight="1" x14ac:dyDescent="0.2">
      <c r="A7" s="2"/>
      <c r="B7" s="21" t="s">
        <v>29</v>
      </c>
      <c r="C7" s="22" t="s">
        <v>1</v>
      </c>
      <c r="D7" s="22" t="s">
        <v>1</v>
      </c>
      <c r="E7" s="22" t="s">
        <v>1</v>
      </c>
      <c r="F7" s="22" t="s">
        <v>1</v>
      </c>
      <c r="G7" s="23" t="s">
        <v>1</v>
      </c>
    </row>
    <row r="8" spans="1:7" ht="12.95" customHeight="1" x14ac:dyDescent="0.2">
      <c r="A8" s="16"/>
      <c r="B8" s="24" t="s">
        <v>30</v>
      </c>
      <c r="C8" s="22" t="s">
        <v>31</v>
      </c>
      <c r="D8" s="22" t="s">
        <v>32</v>
      </c>
      <c r="E8" s="25">
        <v>51800</v>
      </c>
      <c r="F8" s="26">
        <v>691.91849999999999</v>
      </c>
      <c r="G8" s="27">
        <v>4.9513959990488861E-2</v>
      </c>
    </row>
    <row r="9" spans="1:7" ht="12.95" customHeight="1" x14ac:dyDescent="0.2">
      <c r="A9" s="16"/>
      <c r="B9" s="24" t="s">
        <v>33</v>
      </c>
      <c r="C9" s="22" t="s">
        <v>34</v>
      </c>
      <c r="D9" s="22" t="s">
        <v>35</v>
      </c>
      <c r="E9" s="25">
        <v>81977</v>
      </c>
      <c r="F9" s="26">
        <v>586.46345799999995</v>
      </c>
      <c r="G9" s="27">
        <v>4.1967555709661965E-2</v>
      </c>
    </row>
    <row r="10" spans="1:7" ht="12.95" customHeight="1" x14ac:dyDescent="0.2">
      <c r="A10" s="16"/>
      <c r="B10" s="24" t="s">
        <v>36</v>
      </c>
      <c r="C10" s="22" t="s">
        <v>37</v>
      </c>
      <c r="D10" s="22" t="s">
        <v>38</v>
      </c>
      <c r="E10" s="25">
        <v>199178</v>
      </c>
      <c r="F10" s="26">
        <v>579.20962399999996</v>
      </c>
      <c r="G10" s="27">
        <v>4.1448468495700136E-2</v>
      </c>
    </row>
    <row r="11" spans="1:7" ht="12.95" customHeight="1" x14ac:dyDescent="0.2">
      <c r="A11" s="16"/>
      <c r="B11" s="24" t="s">
        <v>39</v>
      </c>
      <c r="C11" s="22" t="s">
        <v>40</v>
      </c>
      <c r="D11" s="22" t="s">
        <v>41</v>
      </c>
      <c r="E11" s="25">
        <v>56900</v>
      </c>
      <c r="F11" s="26">
        <v>502.79685000000001</v>
      </c>
      <c r="G11" s="27">
        <v>3.5980340335232876E-2</v>
      </c>
    </row>
    <row r="12" spans="1:7" ht="12.95" customHeight="1" x14ac:dyDescent="0.2">
      <c r="A12" s="16"/>
      <c r="B12" s="24" t="s">
        <v>42</v>
      </c>
      <c r="C12" s="22" t="s">
        <v>43</v>
      </c>
      <c r="D12" s="22" t="s">
        <v>35</v>
      </c>
      <c r="E12" s="25">
        <v>49467</v>
      </c>
      <c r="F12" s="26">
        <v>480.00303450000001</v>
      </c>
      <c r="G12" s="27">
        <v>3.4349205933280065E-2</v>
      </c>
    </row>
    <row r="13" spans="1:7" ht="12.95" customHeight="1" x14ac:dyDescent="0.2">
      <c r="A13" s="16"/>
      <c r="B13" s="24" t="s">
        <v>44</v>
      </c>
      <c r="C13" s="22" t="s">
        <v>45</v>
      </c>
      <c r="D13" s="22" t="s">
        <v>41</v>
      </c>
      <c r="E13" s="25">
        <v>150919</v>
      </c>
      <c r="F13" s="26">
        <v>429.51547399999998</v>
      </c>
      <c r="G13" s="27">
        <v>3.0736296247219661E-2</v>
      </c>
    </row>
    <row r="14" spans="1:7" ht="12.95" customHeight="1" x14ac:dyDescent="0.2">
      <c r="A14" s="16"/>
      <c r="B14" s="24" t="s">
        <v>46</v>
      </c>
      <c r="C14" s="22" t="s">
        <v>47</v>
      </c>
      <c r="D14" s="22" t="s">
        <v>41</v>
      </c>
      <c r="E14" s="25">
        <v>75377</v>
      </c>
      <c r="F14" s="26">
        <v>403.83227749999998</v>
      </c>
      <c r="G14" s="27">
        <v>2.889839660451772E-2</v>
      </c>
    </row>
    <row r="15" spans="1:7" ht="12.95" customHeight="1" x14ac:dyDescent="0.2">
      <c r="A15" s="16"/>
      <c r="B15" s="24" t="s">
        <v>48</v>
      </c>
      <c r="C15" s="22" t="s">
        <v>49</v>
      </c>
      <c r="D15" s="22" t="s">
        <v>38</v>
      </c>
      <c r="E15" s="25">
        <v>172123</v>
      </c>
      <c r="F15" s="26">
        <v>395.79683849999998</v>
      </c>
      <c r="G15" s="27">
        <v>2.8323377429351839E-2</v>
      </c>
    </row>
    <row r="16" spans="1:7" ht="12.95" customHeight="1" x14ac:dyDescent="0.2">
      <c r="A16" s="16"/>
      <c r="B16" s="24" t="s">
        <v>50</v>
      </c>
      <c r="C16" s="22" t="s">
        <v>51</v>
      </c>
      <c r="D16" s="22" t="s">
        <v>52</v>
      </c>
      <c r="E16" s="25">
        <v>377001</v>
      </c>
      <c r="F16" s="26">
        <v>392.64654150000001</v>
      </c>
      <c r="G16" s="27">
        <v>2.8097940937024841E-2</v>
      </c>
    </row>
    <row r="17" spans="1:7" ht="12.95" customHeight="1" x14ac:dyDescent="0.2">
      <c r="A17" s="16"/>
      <c r="B17" s="24" t="s">
        <v>53</v>
      </c>
      <c r="C17" s="22" t="s">
        <v>54</v>
      </c>
      <c r="D17" s="22" t="s">
        <v>55</v>
      </c>
      <c r="E17" s="25">
        <v>165589</v>
      </c>
      <c r="F17" s="26">
        <v>378.37086499999998</v>
      </c>
      <c r="G17" s="27">
        <v>2.7076367912083087E-2</v>
      </c>
    </row>
    <row r="18" spans="1:7" ht="12.95" customHeight="1" x14ac:dyDescent="0.2">
      <c r="A18" s="16"/>
      <c r="B18" s="24" t="s">
        <v>56</v>
      </c>
      <c r="C18" s="22" t="s">
        <v>57</v>
      </c>
      <c r="D18" s="22" t="s">
        <v>35</v>
      </c>
      <c r="E18" s="25">
        <v>44064</v>
      </c>
      <c r="F18" s="26">
        <v>377.12174399999998</v>
      </c>
      <c r="G18" s="27">
        <v>2.6986980322045707E-2</v>
      </c>
    </row>
    <row r="19" spans="1:7" ht="12.95" customHeight="1" x14ac:dyDescent="0.2">
      <c r="A19" s="16"/>
      <c r="B19" s="24" t="s">
        <v>58</v>
      </c>
      <c r="C19" s="22" t="s">
        <v>59</v>
      </c>
      <c r="D19" s="22" t="s">
        <v>60</v>
      </c>
      <c r="E19" s="25">
        <v>186400</v>
      </c>
      <c r="F19" s="26">
        <v>358.16759999999999</v>
      </c>
      <c r="G19" s="27">
        <v>2.5630614322769831E-2</v>
      </c>
    </row>
    <row r="20" spans="1:7" ht="12.95" customHeight="1" x14ac:dyDescent="0.2">
      <c r="A20" s="16"/>
      <c r="B20" s="24" t="s">
        <v>61</v>
      </c>
      <c r="C20" s="22" t="s">
        <v>62</v>
      </c>
      <c r="D20" s="22" t="s">
        <v>63</v>
      </c>
      <c r="E20" s="25">
        <v>27900</v>
      </c>
      <c r="F20" s="26">
        <v>346.57380000000001</v>
      </c>
      <c r="G20" s="27">
        <v>2.4800957434946005E-2</v>
      </c>
    </row>
    <row r="21" spans="1:7" ht="12.95" customHeight="1" x14ac:dyDescent="0.2">
      <c r="A21" s="16"/>
      <c r="B21" s="24" t="s">
        <v>64</v>
      </c>
      <c r="C21" s="22" t="s">
        <v>65</v>
      </c>
      <c r="D21" s="22" t="s">
        <v>66</v>
      </c>
      <c r="E21" s="25">
        <v>67487</v>
      </c>
      <c r="F21" s="26">
        <v>342.02411599999999</v>
      </c>
      <c r="G21" s="27">
        <v>2.447538025852224E-2</v>
      </c>
    </row>
    <row r="22" spans="1:7" ht="12.95" customHeight="1" x14ac:dyDescent="0.2">
      <c r="A22" s="16"/>
      <c r="B22" s="24" t="s">
        <v>67</v>
      </c>
      <c r="C22" s="22" t="s">
        <v>68</v>
      </c>
      <c r="D22" s="22" t="s">
        <v>35</v>
      </c>
      <c r="E22" s="25">
        <v>62475</v>
      </c>
      <c r="F22" s="26">
        <v>331.71101249999998</v>
      </c>
      <c r="G22" s="27">
        <v>2.373737051593439E-2</v>
      </c>
    </row>
    <row r="23" spans="1:7" ht="12.95" customHeight="1" x14ac:dyDescent="0.2">
      <c r="A23" s="16"/>
      <c r="B23" s="24" t="s">
        <v>69</v>
      </c>
      <c r="C23" s="22" t="s">
        <v>70</v>
      </c>
      <c r="D23" s="22" t="s">
        <v>71</v>
      </c>
      <c r="E23" s="25">
        <v>39063</v>
      </c>
      <c r="F23" s="26">
        <v>321.09786000000003</v>
      </c>
      <c r="G23" s="27">
        <v>2.2977889148897729E-2</v>
      </c>
    </row>
    <row r="24" spans="1:7" ht="12.95" customHeight="1" x14ac:dyDescent="0.2">
      <c r="A24" s="16"/>
      <c r="B24" s="24" t="s">
        <v>72</v>
      </c>
      <c r="C24" s="22" t="s">
        <v>73</v>
      </c>
      <c r="D24" s="22" t="s">
        <v>35</v>
      </c>
      <c r="E24" s="25">
        <v>47217</v>
      </c>
      <c r="F24" s="26">
        <v>320.93394899999998</v>
      </c>
      <c r="G24" s="27">
        <v>2.2966159613271784E-2</v>
      </c>
    </row>
    <row r="25" spans="1:7" ht="12.95" customHeight="1" x14ac:dyDescent="0.2">
      <c r="A25" s="16"/>
      <c r="B25" s="24" t="s">
        <v>74</v>
      </c>
      <c r="C25" s="22" t="s">
        <v>75</v>
      </c>
      <c r="D25" s="22" t="s">
        <v>71</v>
      </c>
      <c r="E25" s="25">
        <v>11340</v>
      </c>
      <c r="F25" s="26">
        <v>289.45916999999997</v>
      </c>
      <c r="G25" s="27">
        <v>2.0713812049049294E-2</v>
      </c>
    </row>
    <row r="26" spans="1:7" ht="12.95" customHeight="1" x14ac:dyDescent="0.2">
      <c r="A26" s="16"/>
      <c r="B26" s="24" t="s">
        <v>76</v>
      </c>
      <c r="C26" s="22" t="s">
        <v>77</v>
      </c>
      <c r="D26" s="22" t="s">
        <v>35</v>
      </c>
      <c r="E26" s="25">
        <v>126000</v>
      </c>
      <c r="F26" s="26">
        <v>254.96100000000001</v>
      </c>
      <c r="G26" s="27">
        <v>1.8245109435771741E-2</v>
      </c>
    </row>
    <row r="27" spans="1:7" ht="12.95" customHeight="1" x14ac:dyDescent="0.2">
      <c r="A27" s="16"/>
      <c r="B27" s="24" t="s">
        <v>78</v>
      </c>
      <c r="C27" s="22" t="s">
        <v>79</v>
      </c>
      <c r="D27" s="22" t="s">
        <v>80</v>
      </c>
      <c r="E27" s="25">
        <v>104000</v>
      </c>
      <c r="F27" s="26">
        <v>247.416</v>
      </c>
      <c r="G27" s="27">
        <v>1.7705186268334769E-2</v>
      </c>
    </row>
    <row r="28" spans="1:7" ht="12.95" customHeight="1" x14ac:dyDescent="0.2">
      <c r="A28" s="16"/>
      <c r="B28" s="24" t="s">
        <v>81</v>
      </c>
      <c r="C28" s="22" t="s">
        <v>82</v>
      </c>
      <c r="D28" s="22" t="s">
        <v>38</v>
      </c>
      <c r="E28" s="25">
        <v>187533</v>
      </c>
      <c r="F28" s="26">
        <v>242.5739355</v>
      </c>
      <c r="G28" s="27">
        <v>1.7358686228338201E-2</v>
      </c>
    </row>
    <row r="29" spans="1:7" ht="12.95" customHeight="1" x14ac:dyDescent="0.2">
      <c r="A29" s="16"/>
      <c r="B29" s="24" t="s">
        <v>83</v>
      </c>
      <c r="C29" s="22" t="s">
        <v>84</v>
      </c>
      <c r="D29" s="22" t="s">
        <v>52</v>
      </c>
      <c r="E29" s="25">
        <v>174000</v>
      </c>
      <c r="F29" s="26">
        <v>240.20699999999999</v>
      </c>
      <c r="G29" s="27">
        <v>1.7189307393046083E-2</v>
      </c>
    </row>
    <row r="30" spans="1:7" ht="12.95" customHeight="1" x14ac:dyDescent="0.2">
      <c r="A30" s="16"/>
      <c r="B30" s="24" t="s">
        <v>85</v>
      </c>
      <c r="C30" s="22" t="s">
        <v>86</v>
      </c>
      <c r="D30" s="22" t="s">
        <v>32</v>
      </c>
      <c r="E30" s="25">
        <v>26550</v>
      </c>
      <c r="F30" s="26">
        <v>224.58645000000001</v>
      </c>
      <c r="G30" s="27">
        <v>1.6071494691507635E-2</v>
      </c>
    </row>
    <row r="31" spans="1:7" ht="12.95" customHeight="1" x14ac:dyDescent="0.2">
      <c r="A31" s="16"/>
      <c r="B31" s="24" t="s">
        <v>87</v>
      </c>
      <c r="C31" s="22" t="s">
        <v>88</v>
      </c>
      <c r="D31" s="22" t="s">
        <v>41</v>
      </c>
      <c r="E31" s="25">
        <v>19717</v>
      </c>
      <c r="F31" s="26">
        <v>224.5076205</v>
      </c>
      <c r="G31" s="27">
        <v>1.6065853621484116E-2</v>
      </c>
    </row>
    <row r="32" spans="1:7" ht="12.95" customHeight="1" x14ac:dyDescent="0.2">
      <c r="A32" s="16"/>
      <c r="B32" s="24" t="s">
        <v>89</v>
      </c>
      <c r="C32" s="22" t="s">
        <v>90</v>
      </c>
      <c r="D32" s="22" t="s">
        <v>91</v>
      </c>
      <c r="E32" s="25">
        <v>247265</v>
      </c>
      <c r="F32" s="26">
        <v>222.291235</v>
      </c>
      <c r="G32" s="27">
        <v>1.5907248203403085E-2</v>
      </c>
    </row>
    <row r="33" spans="1:7" ht="12.95" customHeight="1" x14ac:dyDescent="0.2">
      <c r="A33" s="16"/>
      <c r="B33" s="24" t="s">
        <v>92</v>
      </c>
      <c r="C33" s="22" t="s">
        <v>93</v>
      </c>
      <c r="D33" s="22" t="s">
        <v>94</v>
      </c>
      <c r="E33" s="25">
        <v>65524</v>
      </c>
      <c r="F33" s="26">
        <v>222.06083599999999</v>
      </c>
      <c r="G33" s="27">
        <v>1.5890760760347507E-2</v>
      </c>
    </row>
    <row r="34" spans="1:7" ht="12.95" customHeight="1" x14ac:dyDescent="0.2">
      <c r="A34" s="16"/>
      <c r="B34" s="24" t="s">
        <v>95</v>
      </c>
      <c r="C34" s="22" t="s">
        <v>96</v>
      </c>
      <c r="D34" s="22" t="s">
        <v>71</v>
      </c>
      <c r="E34" s="25">
        <v>83900</v>
      </c>
      <c r="F34" s="26">
        <v>220.36335</v>
      </c>
      <c r="G34" s="27">
        <v>1.5769287994568858E-2</v>
      </c>
    </row>
    <row r="35" spans="1:7" ht="12.95" customHeight="1" x14ac:dyDescent="0.2">
      <c r="A35" s="16"/>
      <c r="B35" s="24" t="s">
        <v>97</v>
      </c>
      <c r="C35" s="22" t="s">
        <v>98</v>
      </c>
      <c r="D35" s="22" t="s">
        <v>99</v>
      </c>
      <c r="E35" s="25">
        <v>50000</v>
      </c>
      <c r="F35" s="26">
        <v>218.7</v>
      </c>
      <c r="G35" s="27">
        <v>1.5650258014375844E-2</v>
      </c>
    </row>
    <row r="36" spans="1:7" ht="12.95" customHeight="1" x14ac:dyDescent="0.2">
      <c r="A36" s="16"/>
      <c r="B36" s="24" t="s">
        <v>100</v>
      </c>
      <c r="C36" s="22" t="s">
        <v>101</v>
      </c>
      <c r="D36" s="22" t="s">
        <v>102</v>
      </c>
      <c r="E36" s="25">
        <v>125000</v>
      </c>
      <c r="F36" s="26">
        <v>210.3125</v>
      </c>
      <c r="G36" s="27">
        <v>1.5050045215584911E-2</v>
      </c>
    </row>
    <row r="37" spans="1:7" ht="12.95" customHeight="1" x14ac:dyDescent="0.2">
      <c r="A37" s="16"/>
      <c r="B37" s="24" t="s">
        <v>103</v>
      </c>
      <c r="C37" s="22" t="s">
        <v>104</v>
      </c>
      <c r="D37" s="22" t="s">
        <v>105</v>
      </c>
      <c r="E37" s="25">
        <v>611580</v>
      </c>
      <c r="F37" s="26">
        <v>199.06929</v>
      </c>
      <c r="G37" s="27">
        <v>1.4245476686047595E-2</v>
      </c>
    </row>
    <row r="38" spans="1:7" ht="12.95" customHeight="1" x14ac:dyDescent="0.2">
      <c r="A38" s="16"/>
      <c r="B38" s="24" t="s">
        <v>106</v>
      </c>
      <c r="C38" s="22" t="s">
        <v>107</v>
      </c>
      <c r="D38" s="22" t="s">
        <v>108</v>
      </c>
      <c r="E38" s="25">
        <v>160000</v>
      </c>
      <c r="F38" s="26">
        <v>189.92</v>
      </c>
      <c r="G38" s="27">
        <v>1.3590749895245819E-2</v>
      </c>
    </row>
    <row r="39" spans="1:7" ht="12.95" customHeight="1" x14ac:dyDescent="0.2">
      <c r="A39" s="16"/>
      <c r="B39" s="24" t="s">
        <v>109</v>
      </c>
      <c r="C39" s="22" t="s">
        <v>110</v>
      </c>
      <c r="D39" s="22" t="s">
        <v>111</v>
      </c>
      <c r="E39" s="25">
        <v>101037</v>
      </c>
      <c r="F39" s="26">
        <v>189.49489349999999</v>
      </c>
      <c r="G39" s="27">
        <v>1.3560329106912081E-2</v>
      </c>
    </row>
    <row r="40" spans="1:7" ht="12.95" customHeight="1" x14ac:dyDescent="0.2">
      <c r="A40" s="16"/>
      <c r="B40" s="24" t="s">
        <v>112</v>
      </c>
      <c r="C40" s="22" t="s">
        <v>113</v>
      </c>
      <c r="D40" s="22" t="s">
        <v>32</v>
      </c>
      <c r="E40" s="25">
        <v>14272</v>
      </c>
      <c r="F40" s="26">
        <v>181.240128</v>
      </c>
      <c r="G40" s="27">
        <v>1.2969614841145423E-2</v>
      </c>
    </row>
    <row r="41" spans="1:7" ht="12.95" customHeight="1" x14ac:dyDescent="0.2">
      <c r="A41" s="16"/>
      <c r="B41" s="24" t="s">
        <v>114</v>
      </c>
      <c r="C41" s="22" t="s">
        <v>115</v>
      </c>
      <c r="D41" s="22" t="s">
        <v>116</v>
      </c>
      <c r="E41" s="25">
        <v>44289</v>
      </c>
      <c r="F41" s="26">
        <v>180.8098425</v>
      </c>
      <c r="G41" s="27">
        <v>1.2938823441534793E-2</v>
      </c>
    </row>
    <row r="42" spans="1:7" ht="12.95" customHeight="1" x14ac:dyDescent="0.2">
      <c r="A42" s="16"/>
      <c r="B42" s="24" t="s">
        <v>117</v>
      </c>
      <c r="C42" s="22" t="s">
        <v>118</v>
      </c>
      <c r="D42" s="22" t="s">
        <v>108</v>
      </c>
      <c r="E42" s="25">
        <v>318305</v>
      </c>
      <c r="F42" s="26">
        <v>174.5902925</v>
      </c>
      <c r="G42" s="27">
        <v>1.2493749997395281E-2</v>
      </c>
    </row>
    <row r="43" spans="1:7" ht="12.95" customHeight="1" x14ac:dyDescent="0.2">
      <c r="A43" s="16"/>
      <c r="B43" s="24" t="s">
        <v>119</v>
      </c>
      <c r="C43" s="22" t="s">
        <v>120</v>
      </c>
      <c r="D43" s="22" t="s">
        <v>121</v>
      </c>
      <c r="E43" s="25">
        <v>336395</v>
      </c>
      <c r="F43" s="26">
        <v>168.70209249999999</v>
      </c>
      <c r="G43" s="27">
        <v>1.2072388089575219E-2</v>
      </c>
    </row>
    <row r="44" spans="1:7" ht="12.95" customHeight="1" x14ac:dyDescent="0.2">
      <c r="A44" s="16"/>
      <c r="B44" s="24" t="s">
        <v>122</v>
      </c>
      <c r="C44" s="22" t="s">
        <v>123</v>
      </c>
      <c r="D44" s="22" t="s">
        <v>71</v>
      </c>
      <c r="E44" s="25">
        <v>117000</v>
      </c>
      <c r="F44" s="26">
        <v>168.30449999999999</v>
      </c>
      <c r="G44" s="27">
        <v>1.2043936213902696E-2</v>
      </c>
    </row>
    <row r="45" spans="1:7" ht="12.95" customHeight="1" x14ac:dyDescent="0.2">
      <c r="A45" s="16"/>
      <c r="B45" s="24" t="s">
        <v>124</v>
      </c>
      <c r="C45" s="22" t="s">
        <v>125</v>
      </c>
      <c r="D45" s="22" t="s">
        <v>66</v>
      </c>
      <c r="E45" s="25">
        <v>13916</v>
      </c>
      <c r="F45" s="26">
        <v>162.45538400000001</v>
      </c>
      <c r="G45" s="27">
        <v>1.1625371172494309E-2</v>
      </c>
    </row>
    <row r="46" spans="1:7" ht="12.95" customHeight="1" x14ac:dyDescent="0.2">
      <c r="A46" s="16"/>
      <c r="B46" s="24" t="s">
        <v>126</v>
      </c>
      <c r="C46" s="22" t="s">
        <v>127</v>
      </c>
      <c r="D46" s="22" t="s">
        <v>71</v>
      </c>
      <c r="E46" s="25">
        <v>19136</v>
      </c>
      <c r="F46" s="26">
        <v>157.087424</v>
      </c>
      <c r="G46" s="27">
        <v>1.1241237843683843E-2</v>
      </c>
    </row>
    <row r="47" spans="1:7" ht="12.95" customHeight="1" x14ac:dyDescent="0.2">
      <c r="A47" s="16"/>
      <c r="B47" s="24" t="s">
        <v>128</v>
      </c>
      <c r="C47" s="22" t="s">
        <v>129</v>
      </c>
      <c r="D47" s="22" t="s">
        <v>32</v>
      </c>
      <c r="E47" s="25">
        <v>5048</v>
      </c>
      <c r="F47" s="26">
        <v>155.17047199999999</v>
      </c>
      <c r="G47" s="27">
        <v>1.1104060004629551E-2</v>
      </c>
    </row>
    <row r="48" spans="1:7" ht="12.95" customHeight="1" x14ac:dyDescent="0.2">
      <c r="A48" s="16"/>
      <c r="B48" s="24" t="s">
        <v>130</v>
      </c>
      <c r="C48" s="22" t="s">
        <v>131</v>
      </c>
      <c r="D48" s="22" t="s">
        <v>41</v>
      </c>
      <c r="E48" s="25">
        <v>31300</v>
      </c>
      <c r="F48" s="26">
        <v>154.48115000000001</v>
      </c>
      <c r="G48" s="27">
        <v>1.1054731851200261E-2</v>
      </c>
    </row>
    <row r="49" spans="1:7" ht="12.95" customHeight="1" x14ac:dyDescent="0.2">
      <c r="A49" s="16"/>
      <c r="B49" s="24" t="s">
        <v>132</v>
      </c>
      <c r="C49" s="22" t="s">
        <v>133</v>
      </c>
      <c r="D49" s="22" t="s">
        <v>80</v>
      </c>
      <c r="E49" s="25">
        <v>164050</v>
      </c>
      <c r="F49" s="26">
        <v>151.74625</v>
      </c>
      <c r="G49" s="27">
        <v>1.0859021331568269E-2</v>
      </c>
    </row>
    <row r="50" spans="1:7" ht="12.95" customHeight="1" x14ac:dyDescent="0.2">
      <c r="A50" s="16"/>
      <c r="B50" s="24" t="s">
        <v>134</v>
      </c>
      <c r="C50" s="22" t="s">
        <v>135</v>
      </c>
      <c r="D50" s="22" t="s">
        <v>60</v>
      </c>
      <c r="E50" s="25">
        <v>193685</v>
      </c>
      <c r="F50" s="26">
        <v>148.55639500000001</v>
      </c>
      <c r="G50" s="27">
        <v>1.0630754053203172E-2</v>
      </c>
    </row>
    <row r="51" spans="1:7" ht="12.95" customHeight="1" x14ac:dyDescent="0.2">
      <c r="A51" s="16"/>
      <c r="B51" s="24" t="s">
        <v>136</v>
      </c>
      <c r="C51" s="22" t="s">
        <v>137</v>
      </c>
      <c r="D51" s="22" t="s">
        <v>71</v>
      </c>
      <c r="E51" s="25">
        <v>30120</v>
      </c>
      <c r="F51" s="26">
        <v>133.22076000000001</v>
      </c>
      <c r="G51" s="27">
        <v>9.5333299811213579E-3</v>
      </c>
    </row>
    <row r="52" spans="1:7" ht="12.95" customHeight="1" x14ac:dyDescent="0.2">
      <c r="A52" s="16"/>
      <c r="B52" s="24" t="s">
        <v>138</v>
      </c>
      <c r="C52" s="22" t="s">
        <v>139</v>
      </c>
      <c r="D52" s="22" t="s">
        <v>55</v>
      </c>
      <c r="E52" s="25">
        <v>135236</v>
      </c>
      <c r="F52" s="26">
        <v>118.66959</v>
      </c>
      <c r="G52" s="27">
        <v>8.4920425329684298E-3</v>
      </c>
    </row>
    <row r="53" spans="1:7" ht="12.95" customHeight="1" x14ac:dyDescent="0.2">
      <c r="A53" s="16"/>
      <c r="B53" s="24" t="s">
        <v>140</v>
      </c>
      <c r="C53" s="22" t="s">
        <v>141</v>
      </c>
      <c r="D53" s="22" t="s">
        <v>142</v>
      </c>
      <c r="E53" s="25">
        <v>124452</v>
      </c>
      <c r="F53" s="26">
        <v>112.62906</v>
      </c>
      <c r="G53" s="27">
        <v>8.0597798304372099E-3</v>
      </c>
    </row>
    <row r="54" spans="1:7" ht="12.95" customHeight="1" x14ac:dyDescent="0.2">
      <c r="A54" s="16"/>
      <c r="B54" s="24" t="s">
        <v>143</v>
      </c>
      <c r="C54" s="22" t="s">
        <v>144</v>
      </c>
      <c r="D54" s="22" t="s">
        <v>66</v>
      </c>
      <c r="E54" s="25">
        <v>59803</v>
      </c>
      <c r="F54" s="26">
        <v>112.3997385</v>
      </c>
      <c r="G54" s="27">
        <v>8.043369493705415E-3</v>
      </c>
    </row>
    <row r="55" spans="1:7" ht="12.95" customHeight="1" x14ac:dyDescent="0.2">
      <c r="A55" s="16"/>
      <c r="B55" s="24" t="s">
        <v>145</v>
      </c>
      <c r="C55" s="22" t="s">
        <v>146</v>
      </c>
      <c r="D55" s="22" t="s">
        <v>66</v>
      </c>
      <c r="E55" s="25">
        <v>104069</v>
      </c>
      <c r="F55" s="26">
        <v>108.127691</v>
      </c>
      <c r="G55" s="27">
        <v>7.7376600944156606E-3</v>
      </c>
    </row>
    <row r="56" spans="1:7" ht="12.95" customHeight="1" x14ac:dyDescent="0.2">
      <c r="A56" s="16"/>
      <c r="B56" s="24" t="s">
        <v>147</v>
      </c>
      <c r="C56" s="22" t="s">
        <v>148</v>
      </c>
      <c r="D56" s="22" t="s">
        <v>41</v>
      </c>
      <c r="E56" s="25">
        <v>156577</v>
      </c>
      <c r="F56" s="26">
        <v>105.532898</v>
      </c>
      <c r="G56" s="27">
        <v>7.5519756868075386E-3</v>
      </c>
    </row>
    <row r="57" spans="1:7" ht="12.95" customHeight="1" x14ac:dyDescent="0.2">
      <c r="A57" s="16"/>
      <c r="B57" s="24" t="s">
        <v>149</v>
      </c>
      <c r="C57" s="22" t="s">
        <v>150</v>
      </c>
      <c r="D57" s="22" t="s">
        <v>151</v>
      </c>
      <c r="E57" s="25">
        <v>121527</v>
      </c>
      <c r="F57" s="26">
        <v>104.5739835</v>
      </c>
      <c r="G57" s="27">
        <v>7.4833553880479303E-3</v>
      </c>
    </row>
    <row r="58" spans="1:7" ht="12.95" customHeight="1" x14ac:dyDescent="0.2">
      <c r="A58" s="16"/>
      <c r="B58" s="24" t="s">
        <v>152</v>
      </c>
      <c r="C58" s="22" t="s">
        <v>153</v>
      </c>
      <c r="D58" s="22" t="s">
        <v>66</v>
      </c>
      <c r="E58" s="25">
        <v>22000</v>
      </c>
      <c r="F58" s="26">
        <v>83.841999999999999</v>
      </c>
      <c r="G58" s="27">
        <v>5.9997664949304969E-3</v>
      </c>
    </row>
    <row r="59" spans="1:7" ht="12.95" customHeight="1" x14ac:dyDescent="0.2">
      <c r="A59" s="16"/>
      <c r="B59" s="24" t="s">
        <v>154</v>
      </c>
      <c r="C59" s="22" t="s">
        <v>155</v>
      </c>
      <c r="D59" s="22" t="s">
        <v>156</v>
      </c>
      <c r="E59" s="25">
        <v>139000</v>
      </c>
      <c r="F59" s="26">
        <v>75.06</v>
      </c>
      <c r="G59" s="27">
        <v>5.3713231209833144E-3</v>
      </c>
    </row>
    <row r="60" spans="1:7" ht="12.95" customHeight="1" x14ac:dyDescent="0.2">
      <c r="A60" s="16"/>
      <c r="B60" s="24" t="s">
        <v>157</v>
      </c>
      <c r="C60" s="22" t="s">
        <v>158</v>
      </c>
      <c r="D60" s="22" t="s">
        <v>38</v>
      </c>
      <c r="E60" s="25">
        <v>99000</v>
      </c>
      <c r="F60" s="26">
        <v>65.983500000000006</v>
      </c>
      <c r="G60" s="27">
        <v>4.7218052112097328E-3</v>
      </c>
    </row>
    <row r="61" spans="1:7" ht="12.95" customHeight="1" x14ac:dyDescent="0.2">
      <c r="A61" s="16"/>
      <c r="B61" s="24" t="s">
        <v>159</v>
      </c>
      <c r="C61" s="22" t="s">
        <v>160</v>
      </c>
      <c r="D61" s="22" t="s">
        <v>111</v>
      </c>
      <c r="E61" s="25">
        <v>196521</v>
      </c>
      <c r="F61" s="26">
        <v>53.257190999999999</v>
      </c>
      <c r="G61" s="27">
        <v>3.8111055339318479E-3</v>
      </c>
    </row>
    <row r="62" spans="1:7" ht="12.95" customHeight="1" x14ac:dyDescent="0.2">
      <c r="A62" s="16"/>
      <c r="B62" s="24" t="s">
        <v>161</v>
      </c>
      <c r="C62" s="22" t="s">
        <v>162</v>
      </c>
      <c r="D62" s="22" t="s">
        <v>71</v>
      </c>
      <c r="E62" s="25">
        <v>21740</v>
      </c>
      <c r="F62" s="26">
        <v>47.806260000000002</v>
      </c>
      <c r="G62" s="27">
        <v>3.4210347677290144E-3</v>
      </c>
    </row>
    <row r="63" spans="1:7" ht="12.95" customHeight="1" x14ac:dyDescent="0.2">
      <c r="A63" s="16"/>
      <c r="B63" s="24" t="s">
        <v>163</v>
      </c>
      <c r="C63" s="22" t="s">
        <v>164</v>
      </c>
      <c r="D63" s="22" t="s">
        <v>121</v>
      </c>
      <c r="E63" s="25">
        <v>16650</v>
      </c>
      <c r="F63" s="26">
        <v>38.644649999999999</v>
      </c>
      <c r="G63" s="27">
        <v>2.7654263528817994E-3</v>
      </c>
    </row>
    <row r="64" spans="1:7" ht="12.95" customHeight="1" x14ac:dyDescent="0.2">
      <c r="A64" s="16"/>
      <c r="B64" s="24" t="s">
        <v>165</v>
      </c>
      <c r="C64" s="22" t="s">
        <v>166</v>
      </c>
      <c r="D64" s="22" t="s">
        <v>121</v>
      </c>
      <c r="E64" s="25">
        <v>14431</v>
      </c>
      <c r="F64" s="26">
        <v>22.057783499999999</v>
      </c>
      <c r="G64" s="27">
        <v>1.5784636625525482E-3</v>
      </c>
    </row>
    <row r="65" spans="1:7" ht="12.95" customHeight="1" x14ac:dyDescent="0.2">
      <c r="A65" s="2"/>
      <c r="B65" s="21" t="s">
        <v>17</v>
      </c>
      <c r="C65" s="22" t="s">
        <v>1</v>
      </c>
      <c r="D65" s="22" t="s">
        <v>1</v>
      </c>
      <c r="E65" s="22" t="s">
        <v>1</v>
      </c>
      <c r="F65" s="28">
        <v>13619.055861000001</v>
      </c>
      <c r="G65" s="29">
        <v>0.97458499376702135</v>
      </c>
    </row>
    <row r="66" spans="1:7" ht="12.95" customHeight="1" x14ac:dyDescent="0.2">
      <c r="A66" s="2"/>
      <c r="B66" s="21" t="s">
        <v>167</v>
      </c>
      <c r="C66" s="22" t="s">
        <v>1</v>
      </c>
      <c r="D66" s="22" t="s">
        <v>1</v>
      </c>
      <c r="E66" s="46" t="s">
        <v>168</v>
      </c>
      <c r="F66" s="28" t="s">
        <v>168</v>
      </c>
      <c r="G66" s="29" t="s">
        <v>168</v>
      </c>
    </row>
    <row r="67" spans="1:7" ht="12.95" customHeight="1" x14ac:dyDescent="0.2">
      <c r="A67" s="2"/>
      <c r="B67" s="21" t="s">
        <v>17</v>
      </c>
      <c r="C67" s="22" t="s">
        <v>1</v>
      </c>
      <c r="D67" s="22" t="s">
        <v>1</v>
      </c>
      <c r="E67" s="46" t="s">
        <v>168</v>
      </c>
      <c r="F67" s="28" t="s">
        <v>168</v>
      </c>
      <c r="G67" s="29" t="s">
        <v>168</v>
      </c>
    </row>
    <row r="68" spans="1:7" ht="12.95" customHeight="1" x14ac:dyDescent="0.2">
      <c r="A68" s="2"/>
      <c r="B68" s="21" t="s">
        <v>18</v>
      </c>
      <c r="C68" s="22" t="s">
        <v>1</v>
      </c>
      <c r="D68" s="22" t="s">
        <v>1</v>
      </c>
      <c r="E68" s="22" t="s">
        <v>1</v>
      </c>
      <c r="F68" s="28">
        <v>13619.055861000001</v>
      </c>
      <c r="G68" s="29">
        <v>0.97458499376702135</v>
      </c>
    </row>
    <row r="69" spans="1:7" ht="12.95" customHeight="1" x14ac:dyDescent="0.2">
      <c r="A69" s="2"/>
      <c r="B69" s="21"/>
      <c r="C69" s="22"/>
      <c r="D69" s="22"/>
      <c r="E69" s="22"/>
      <c r="F69" s="28"/>
      <c r="G69" s="29"/>
    </row>
    <row r="70" spans="1:7" ht="12.95" customHeight="1" x14ac:dyDescent="0.2">
      <c r="A70" s="2"/>
      <c r="B70" s="68" t="s">
        <v>344</v>
      </c>
      <c r="C70" s="47"/>
      <c r="D70" s="22"/>
      <c r="E70" s="22"/>
      <c r="F70" s="28"/>
      <c r="G70" s="29"/>
    </row>
    <row r="71" spans="1:7" ht="12.95" customHeight="1" x14ac:dyDescent="0.2">
      <c r="A71" s="16"/>
      <c r="B71" s="67" t="s">
        <v>348</v>
      </c>
      <c r="C71" s="47"/>
      <c r="D71" s="22"/>
      <c r="E71" s="46" t="s">
        <v>168</v>
      </c>
      <c r="F71" s="48" t="s">
        <v>168</v>
      </c>
      <c r="G71" s="49" t="s">
        <v>168</v>
      </c>
    </row>
    <row r="72" spans="1:7" ht="12.95" customHeight="1" x14ac:dyDescent="0.2">
      <c r="A72" s="2"/>
      <c r="B72" s="67" t="s">
        <v>346</v>
      </c>
      <c r="C72" s="47"/>
      <c r="D72" s="22"/>
      <c r="E72" s="46" t="s">
        <v>168</v>
      </c>
      <c r="F72" s="48" t="s">
        <v>168</v>
      </c>
      <c r="G72" s="49" t="s">
        <v>168</v>
      </c>
    </row>
    <row r="73" spans="1:7" ht="12.95" customHeight="1" x14ac:dyDescent="0.2">
      <c r="A73" s="2"/>
      <c r="B73" s="67" t="s">
        <v>347</v>
      </c>
      <c r="C73" s="47"/>
      <c r="D73" s="22"/>
      <c r="E73" s="46" t="s">
        <v>168</v>
      </c>
      <c r="F73" s="48" t="s">
        <v>168</v>
      </c>
      <c r="G73" s="49" t="s">
        <v>168</v>
      </c>
    </row>
    <row r="74" spans="1:7" ht="12.95" customHeight="1" x14ac:dyDescent="0.2">
      <c r="A74" s="2"/>
      <c r="B74" s="67"/>
      <c r="C74" s="47"/>
      <c r="D74" s="22"/>
      <c r="E74" s="22"/>
      <c r="F74" s="48"/>
      <c r="G74" s="49"/>
    </row>
    <row r="75" spans="1:7" ht="12.95" customHeight="1" x14ac:dyDescent="0.2">
      <c r="A75" s="2"/>
      <c r="B75" s="21" t="s">
        <v>9</v>
      </c>
      <c r="C75" s="47"/>
      <c r="D75" s="22"/>
      <c r="E75" s="22"/>
      <c r="F75" s="48"/>
      <c r="G75" s="49"/>
    </row>
    <row r="76" spans="1:7" ht="12.95" customHeight="1" x14ac:dyDescent="0.2">
      <c r="A76" s="2"/>
      <c r="B76" s="21" t="s">
        <v>19</v>
      </c>
      <c r="C76" s="22" t="s">
        <v>1</v>
      </c>
      <c r="D76" s="22" t="s">
        <v>1</v>
      </c>
      <c r="E76" s="22" t="s">
        <v>1</v>
      </c>
      <c r="F76" s="30" t="s">
        <v>1</v>
      </c>
      <c r="G76" s="31" t="s">
        <v>1</v>
      </c>
    </row>
    <row r="77" spans="1:7" ht="12.95" customHeight="1" x14ac:dyDescent="0.2">
      <c r="A77" s="16"/>
      <c r="B77" s="24" t="s">
        <v>20</v>
      </c>
      <c r="C77" s="22" t="s">
        <v>1</v>
      </c>
      <c r="D77" s="22" t="s">
        <v>21</v>
      </c>
      <c r="E77" s="25"/>
      <c r="F77" s="26">
        <v>272.05669999999998</v>
      </c>
      <c r="G77" s="27">
        <v>1.9468484451484431E-2</v>
      </c>
    </row>
    <row r="78" spans="1:7" ht="12.95" customHeight="1" x14ac:dyDescent="0.2">
      <c r="A78" s="2"/>
      <c r="B78" s="21" t="s">
        <v>17</v>
      </c>
      <c r="C78" s="22" t="s">
        <v>1</v>
      </c>
      <c r="D78" s="22" t="s">
        <v>1</v>
      </c>
      <c r="E78" s="22" t="s">
        <v>1</v>
      </c>
      <c r="F78" s="28">
        <v>272.05669999999998</v>
      </c>
      <c r="G78" s="29">
        <v>1.9468484451484431E-2</v>
      </c>
    </row>
    <row r="79" spans="1:7" ht="12.95" customHeight="1" x14ac:dyDescent="0.2">
      <c r="A79" s="2"/>
      <c r="B79" s="21" t="s">
        <v>18</v>
      </c>
      <c r="C79" s="22" t="s">
        <v>1</v>
      </c>
      <c r="D79" s="22" t="s">
        <v>1</v>
      </c>
      <c r="E79" s="22" t="s">
        <v>1</v>
      </c>
      <c r="F79" s="28">
        <v>272.05669999999998</v>
      </c>
      <c r="G79" s="29">
        <v>1.9468484451484431E-2</v>
      </c>
    </row>
    <row r="80" spans="1:7" ht="12.95" customHeight="1" x14ac:dyDescent="0.2">
      <c r="A80" s="2"/>
      <c r="B80" s="21"/>
      <c r="C80" s="22"/>
      <c r="D80" s="22"/>
      <c r="E80" s="22"/>
      <c r="F80" s="28"/>
      <c r="G80" s="29"/>
    </row>
    <row r="81" spans="1:7" ht="12.95" customHeight="1" x14ac:dyDescent="0.2">
      <c r="A81" s="2"/>
      <c r="B81" s="21" t="s">
        <v>234</v>
      </c>
      <c r="C81" s="22"/>
      <c r="D81" s="22"/>
      <c r="E81" s="22"/>
      <c r="F81" s="28"/>
      <c r="G81" s="29"/>
    </row>
    <row r="82" spans="1:7" ht="12.95" customHeight="1" thickBot="1" x14ac:dyDescent="0.25">
      <c r="A82" s="2"/>
      <c r="B82" s="32" t="s">
        <v>22</v>
      </c>
      <c r="C82" s="33" t="s">
        <v>1</v>
      </c>
      <c r="D82" s="33" t="s">
        <v>1</v>
      </c>
      <c r="E82" s="33" t="s">
        <v>1</v>
      </c>
      <c r="F82" s="34">
        <v>83.097947165999997</v>
      </c>
      <c r="G82" s="35">
        <v>5.9465217814941842E-3</v>
      </c>
    </row>
    <row r="83" spans="1:7" ht="12.95" customHeight="1" thickTop="1" thickBot="1" x14ac:dyDescent="0.25">
      <c r="A83" s="2"/>
      <c r="B83" s="36" t="s">
        <v>23</v>
      </c>
      <c r="C83" s="37" t="s">
        <v>1</v>
      </c>
      <c r="D83" s="37" t="s">
        <v>1</v>
      </c>
      <c r="E83" s="37" t="s">
        <v>1</v>
      </c>
      <c r="F83" s="38">
        <v>13974.210508165999</v>
      </c>
      <c r="G83" s="39">
        <v>1</v>
      </c>
    </row>
    <row r="84" spans="1:7" ht="12.95" customHeight="1" x14ac:dyDescent="0.2">
      <c r="A84" s="2"/>
      <c r="B84" s="5" t="s">
        <v>1</v>
      </c>
      <c r="C84" s="2"/>
      <c r="D84" s="2"/>
      <c r="E84" s="2"/>
      <c r="F84" s="2"/>
      <c r="G84" s="2"/>
    </row>
    <row r="85" spans="1:7" ht="12.95" customHeight="1" x14ac:dyDescent="0.2">
      <c r="A85" s="2"/>
      <c r="B85" s="40" t="s">
        <v>351</v>
      </c>
      <c r="C85" s="2"/>
      <c r="D85" s="2"/>
      <c r="E85" s="2"/>
      <c r="F85" s="2"/>
      <c r="G85" s="2"/>
    </row>
    <row r="86" spans="1:7" ht="12.95" customHeight="1" thickBot="1" x14ac:dyDescent="0.25">
      <c r="A86" s="2"/>
      <c r="B86" s="40" t="s">
        <v>1</v>
      </c>
      <c r="C86" s="2"/>
      <c r="D86" s="2"/>
      <c r="E86" s="2"/>
      <c r="F86" s="2"/>
      <c r="G86" s="2"/>
    </row>
    <row r="87" spans="1:7" ht="12.95" customHeight="1" thickBot="1" x14ac:dyDescent="0.25">
      <c r="A87" s="2"/>
      <c r="B87" s="50" t="s">
        <v>361</v>
      </c>
      <c r="C87" s="51">
        <v>0.82850000000000001</v>
      </c>
      <c r="D87" s="2"/>
      <c r="E87" s="2"/>
      <c r="F87" s="2"/>
      <c r="G87" s="2"/>
    </row>
    <row r="88" spans="1:7" x14ac:dyDescent="0.2">
      <c r="B88" s="1" t="s">
        <v>362</v>
      </c>
      <c r="C88" s="1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showGridLines="0" zoomScaleNormal="100" workbookViewId="0">
      <selection activeCell="B26" sqref="B26"/>
    </sheetView>
  </sheetViews>
  <sheetFormatPr defaultRowHeight="12.75" x14ac:dyDescent="0.2"/>
  <cols>
    <col min="1" max="1" width="12.42578125" style="3" bestFit="1" customWidth="1"/>
    <col min="2" max="2" width="60.28515625" style="3" bestFit="1" customWidth="1"/>
    <col min="3" max="3" width="18.42578125" style="3" customWidth="1"/>
    <col min="4" max="4" width="32.85546875" style="3" bestFit="1" customWidth="1"/>
    <col min="5" max="7" width="18.42578125" style="3" customWidth="1"/>
    <col min="8" max="16384" width="9.140625" style="3"/>
  </cols>
  <sheetData>
    <row r="1" spans="1:7" ht="18.75" x14ac:dyDescent="0.2">
      <c r="A1" s="2"/>
      <c r="B1" s="88" t="s">
        <v>169</v>
      </c>
      <c r="C1" s="89"/>
      <c r="D1" s="89"/>
      <c r="E1" s="89"/>
      <c r="F1" s="89"/>
      <c r="G1" s="90"/>
    </row>
    <row r="2" spans="1:7" ht="13.5" thickBot="1" x14ac:dyDescent="0.25">
      <c r="A2" s="2"/>
      <c r="B2" s="91" t="s">
        <v>363</v>
      </c>
      <c r="C2" s="92"/>
      <c r="D2" s="92"/>
      <c r="E2" s="92"/>
      <c r="F2" s="92"/>
      <c r="G2" s="93"/>
    </row>
    <row r="3" spans="1:7" ht="12.95" customHeight="1" x14ac:dyDescent="0.2">
      <c r="A3" s="2"/>
      <c r="B3" s="4"/>
      <c r="C3" s="4"/>
      <c r="D3" s="4"/>
      <c r="E3" s="4"/>
      <c r="F3" s="4"/>
      <c r="G3" s="4"/>
    </row>
    <row r="4" spans="1:7" ht="12.95" customHeight="1" thickBot="1" x14ac:dyDescent="0.25">
      <c r="A4" s="5"/>
      <c r="B4" s="6" t="s">
        <v>2</v>
      </c>
      <c r="C4" s="2"/>
      <c r="D4" s="2"/>
      <c r="E4" s="2"/>
      <c r="F4" s="2"/>
      <c r="G4" s="2"/>
    </row>
    <row r="5" spans="1:7" ht="27.95" customHeight="1" thickBot="1" x14ac:dyDescent="0.25">
      <c r="A5" s="2"/>
      <c r="B5" s="7" t="s">
        <v>3</v>
      </c>
      <c r="C5" s="8" t="s">
        <v>4</v>
      </c>
      <c r="D5" s="8" t="s">
        <v>27</v>
      </c>
      <c r="E5" s="8" t="s">
        <v>6</v>
      </c>
      <c r="F5" s="8" t="s">
        <v>7</v>
      </c>
      <c r="G5" s="9" t="s">
        <v>8</v>
      </c>
    </row>
    <row r="6" spans="1:7" ht="12.95" customHeight="1" x14ac:dyDescent="0.2">
      <c r="A6" s="2"/>
      <c r="B6" s="43" t="s">
        <v>28</v>
      </c>
      <c r="C6" s="44" t="s">
        <v>1</v>
      </c>
      <c r="D6" s="44" t="s">
        <v>1</v>
      </c>
      <c r="E6" s="44" t="s">
        <v>1</v>
      </c>
      <c r="F6" s="44" t="s">
        <v>1</v>
      </c>
      <c r="G6" s="45" t="s">
        <v>1</v>
      </c>
    </row>
    <row r="7" spans="1:7" ht="12.95" customHeight="1" x14ac:dyDescent="0.2">
      <c r="A7" s="2"/>
      <c r="B7" s="21" t="s">
        <v>29</v>
      </c>
      <c r="C7" s="22" t="s">
        <v>1</v>
      </c>
      <c r="D7" s="22" t="s">
        <v>1</v>
      </c>
      <c r="E7" s="22" t="s">
        <v>1</v>
      </c>
      <c r="F7" s="22" t="s">
        <v>1</v>
      </c>
      <c r="G7" s="23" t="s">
        <v>1</v>
      </c>
    </row>
    <row r="8" spans="1:7" ht="12.95" customHeight="1" x14ac:dyDescent="0.2">
      <c r="A8" s="2"/>
      <c r="B8" s="52" t="s">
        <v>353</v>
      </c>
      <c r="C8" s="22"/>
      <c r="D8" s="22"/>
      <c r="E8" s="22"/>
      <c r="F8" s="22"/>
      <c r="G8" s="23"/>
    </row>
    <row r="9" spans="1:7" ht="12.95" customHeight="1" x14ac:dyDescent="0.2">
      <c r="A9" s="16"/>
      <c r="B9" s="24" t="s">
        <v>170</v>
      </c>
      <c r="C9" s="22" t="s">
        <v>171</v>
      </c>
      <c r="D9" s="22" t="s">
        <v>71</v>
      </c>
      <c r="E9" s="25">
        <v>37000</v>
      </c>
      <c r="F9" s="26">
        <v>125.94799999999999</v>
      </c>
      <c r="G9" s="27">
        <v>7.2297657499491602E-2</v>
      </c>
    </row>
    <row r="10" spans="1:7" ht="12.95" customHeight="1" x14ac:dyDescent="0.2">
      <c r="A10" s="16"/>
      <c r="B10" s="24" t="s">
        <v>39</v>
      </c>
      <c r="C10" s="22" t="s">
        <v>40</v>
      </c>
      <c r="D10" s="22" t="s">
        <v>41</v>
      </c>
      <c r="E10" s="25">
        <v>9850</v>
      </c>
      <c r="F10" s="26">
        <v>87.039524999999998</v>
      </c>
      <c r="G10" s="27">
        <v>4.9963109913364542E-2</v>
      </c>
    </row>
    <row r="11" spans="1:7" ht="12.95" customHeight="1" x14ac:dyDescent="0.2">
      <c r="A11" s="16"/>
      <c r="B11" s="24" t="s">
        <v>175</v>
      </c>
      <c r="C11" s="22" t="s">
        <v>176</v>
      </c>
      <c r="D11" s="22" t="s">
        <v>102</v>
      </c>
      <c r="E11" s="25">
        <v>26078</v>
      </c>
      <c r="F11" s="26">
        <v>83.097547000000006</v>
      </c>
      <c r="G11" s="27">
        <v>4.7700304824641174E-2</v>
      </c>
    </row>
    <row r="12" spans="1:7" ht="12.95" customHeight="1" x14ac:dyDescent="0.2">
      <c r="A12" s="16"/>
      <c r="B12" s="24" t="s">
        <v>355</v>
      </c>
      <c r="C12" s="22" t="s">
        <v>178</v>
      </c>
      <c r="D12" s="22" t="s">
        <v>179</v>
      </c>
      <c r="E12" s="25">
        <v>47550</v>
      </c>
      <c r="F12" s="26">
        <v>77.839349999999996</v>
      </c>
      <c r="G12" s="27">
        <v>4.4681953395711342E-2</v>
      </c>
    </row>
    <row r="13" spans="1:7" ht="12.95" customHeight="1" x14ac:dyDescent="0.2">
      <c r="A13" s="16"/>
      <c r="B13" s="24" t="s">
        <v>180</v>
      </c>
      <c r="C13" s="22" t="s">
        <v>181</v>
      </c>
      <c r="D13" s="22" t="s">
        <v>71</v>
      </c>
      <c r="E13" s="25">
        <v>2500</v>
      </c>
      <c r="F13" s="26">
        <v>63.33</v>
      </c>
      <c r="G13" s="27">
        <v>3.6353182658262165E-2</v>
      </c>
    </row>
    <row r="14" spans="1:7" ht="12.95" customHeight="1" x14ac:dyDescent="0.2">
      <c r="A14" s="16"/>
      <c r="B14" s="24" t="s">
        <v>182</v>
      </c>
      <c r="C14" s="22" t="s">
        <v>183</v>
      </c>
      <c r="D14" s="22" t="s">
        <v>66</v>
      </c>
      <c r="E14" s="25">
        <v>8000</v>
      </c>
      <c r="F14" s="26">
        <v>61.14</v>
      </c>
      <c r="G14" s="27">
        <v>3.5096061704186783E-2</v>
      </c>
    </row>
    <row r="15" spans="1:7" ht="12.95" customHeight="1" x14ac:dyDescent="0.2">
      <c r="A15" s="16"/>
      <c r="B15" s="24" t="s">
        <v>36</v>
      </c>
      <c r="C15" s="22" t="s">
        <v>37</v>
      </c>
      <c r="D15" s="22" t="s">
        <v>38</v>
      </c>
      <c r="E15" s="25">
        <v>18185</v>
      </c>
      <c r="F15" s="26">
        <v>52.881979999999999</v>
      </c>
      <c r="G15" s="27">
        <v>3.0355728379449973E-2</v>
      </c>
    </row>
    <row r="16" spans="1:7" ht="12.95" customHeight="1" x14ac:dyDescent="0.2">
      <c r="A16" s="16"/>
      <c r="B16" s="24" t="s">
        <v>187</v>
      </c>
      <c r="C16" s="22" t="s">
        <v>188</v>
      </c>
      <c r="D16" s="22" t="s">
        <v>179</v>
      </c>
      <c r="E16" s="25">
        <v>3800</v>
      </c>
      <c r="F16" s="26">
        <v>51.624899999999997</v>
      </c>
      <c r="G16" s="27">
        <v>2.9634129471254045E-2</v>
      </c>
    </row>
    <row r="17" spans="1:7" ht="12.95" customHeight="1" x14ac:dyDescent="0.2">
      <c r="A17" s="16"/>
      <c r="B17" s="24" t="s">
        <v>53</v>
      </c>
      <c r="C17" s="22" t="s">
        <v>54</v>
      </c>
      <c r="D17" s="22" t="s">
        <v>55</v>
      </c>
      <c r="E17" s="25">
        <v>20398</v>
      </c>
      <c r="F17" s="26">
        <v>46.609430000000003</v>
      </c>
      <c r="G17" s="27">
        <v>2.6755110096123233E-2</v>
      </c>
    </row>
    <row r="18" spans="1:7" ht="12.95" customHeight="1" x14ac:dyDescent="0.2">
      <c r="A18" s="16"/>
      <c r="B18" s="24" t="s">
        <v>69</v>
      </c>
      <c r="C18" s="22" t="s">
        <v>70</v>
      </c>
      <c r="D18" s="22" t="s">
        <v>71</v>
      </c>
      <c r="E18" s="25">
        <v>4900</v>
      </c>
      <c r="F18" s="26">
        <v>40.277999999999999</v>
      </c>
      <c r="G18" s="27">
        <v>2.3120693053994688E-2</v>
      </c>
    </row>
    <row r="19" spans="1:7" ht="12.95" customHeight="1" x14ac:dyDescent="0.2">
      <c r="A19" s="16"/>
      <c r="B19" s="24" t="s">
        <v>50</v>
      </c>
      <c r="C19" s="22" t="s">
        <v>51</v>
      </c>
      <c r="D19" s="22" t="s">
        <v>52</v>
      </c>
      <c r="E19" s="25">
        <v>37479</v>
      </c>
      <c r="F19" s="26">
        <v>39.034378500000003</v>
      </c>
      <c r="G19" s="27">
        <v>2.2406819699387993E-2</v>
      </c>
    </row>
    <row r="20" spans="1:7" ht="12.95" customHeight="1" x14ac:dyDescent="0.2">
      <c r="A20" s="16"/>
      <c r="B20" s="24" t="s">
        <v>58</v>
      </c>
      <c r="C20" s="22" t="s">
        <v>59</v>
      </c>
      <c r="D20" s="22" t="s">
        <v>60</v>
      </c>
      <c r="E20" s="25">
        <v>20100</v>
      </c>
      <c r="F20" s="26">
        <v>38.622149999999998</v>
      </c>
      <c r="G20" s="27">
        <v>2.2170189066868785E-2</v>
      </c>
    </row>
    <row r="21" spans="1:7" ht="12.95" customHeight="1" x14ac:dyDescent="0.2">
      <c r="A21" s="16"/>
      <c r="B21" s="24" t="s">
        <v>56</v>
      </c>
      <c r="C21" s="22" t="s">
        <v>57</v>
      </c>
      <c r="D21" s="22" t="s">
        <v>35</v>
      </c>
      <c r="E21" s="25">
        <v>4200</v>
      </c>
      <c r="F21" s="26">
        <v>35.945700000000002</v>
      </c>
      <c r="G21" s="27">
        <v>2.063383227347378E-2</v>
      </c>
    </row>
    <row r="22" spans="1:7" ht="12.95" customHeight="1" x14ac:dyDescent="0.2">
      <c r="A22" s="16"/>
      <c r="B22" s="24" t="s">
        <v>74</v>
      </c>
      <c r="C22" s="22" t="s">
        <v>75</v>
      </c>
      <c r="D22" s="22" t="s">
        <v>71</v>
      </c>
      <c r="E22" s="25">
        <v>1339</v>
      </c>
      <c r="F22" s="26">
        <v>34.178644499999997</v>
      </c>
      <c r="G22" s="27">
        <v>1.9619493234175077E-2</v>
      </c>
    </row>
    <row r="23" spans="1:7" ht="12.95" customHeight="1" x14ac:dyDescent="0.2">
      <c r="A23" s="16"/>
      <c r="B23" s="24" t="s">
        <v>95</v>
      </c>
      <c r="C23" s="22" t="s">
        <v>96</v>
      </c>
      <c r="D23" s="22" t="s">
        <v>71</v>
      </c>
      <c r="E23" s="25">
        <v>10800</v>
      </c>
      <c r="F23" s="26">
        <v>28.366199999999999</v>
      </c>
      <c r="G23" s="27">
        <v>1.6282988313923833E-2</v>
      </c>
    </row>
    <row r="24" spans="1:7" ht="12.95" customHeight="1" x14ac:dyDescent="0.2">
      <c r="A24" s="16"/>
      <c r="B24" s="24" t="s">
        <v>213</v>
      </c>
      <c r="C24" s="22" t="s">
        <v>214</v>
      </c>
      <c r="D24" s="22" t="s">
        <v>71</v>
      </c>
      <c r="E24" s="25">
        <v>525</v>
      </c>
      <c r="F24" s="26">
        <v>27.402637500000001</v>
      </c>
      <c r="G24" s="27">
        <v>1.5729876620174398E-2</v>
      </c>
    </row>
    <row r="25" spans="1:7" ht="12.95" customHeight="1" x14ac:dyDescent="0.2">
      <c r="A25" s="16"/>
      <c r="B25" s="24" t="s">
        <v>215</v>
      </c>
      <c r="C25" s="22" t="s">
        <v>216</v>
      </c>
      <c r="D25" s="22" t="s">
        <v>71</v>
      </c>
      <c r="E25" s="25">
        <v>2200</v>
      </c>
      <c r="F25" s="26">
        <v>27.277799999999999</v>
      </c>
      <c r="G25" s="27">
        <v>1.5658216420583352E-2</v>
      </c>
    </row>
    <row r="26" spans="1:7" ht="12.95" customHeight="1" x14ac:dyDescent="0.2">
      <c r="A26" s="16"/>
      <c r="B26" s="24" t="s">
        <v>33</v>
      </c>
      <c r="C26" s="22" t="s">
        <v>34</v>
      </c>
      <c r="D26" s="22" t="s">
        <v>35</v>
      </c>
      <c r="E26" s="25">
        <v>3650</v>
      </c>
      <c r="F26" s="26">
        <v>26.112100000000002</v>
      </c>
      <c r="G26" s="27">
        <v>1.4989072175758842E-2</v>
      </c>
    </row>
    <row r="27" spans="1:7" ht="12.95" customHeight="1" x14ac:dyDescent="0.2">
      <c r="A27" s="16"/>
      <c r="B27" s="24" t="s">
        <v>72</v>
      </c>
      <c r="C27" s="22" t="s">
        <v>73</v>
      </c>
      <c r="D27" s="22" t="s">
        <v>35</v>
      </c>
      <c r="E27" s="25">
        <v>3799</v>
      </c>
      <c r="F27" s="26">
        <v>25.821802999999999</v>
      </c>
      <c r="G27" s="27">
        <v>1.4822433617948239E-2</v>
      </c>
    </row>
    <row r="28" spans="1:7" ht="12.95" customHeight="1" x14ac:dyDescent="0.2">
      <c r="A28" s="16"/>
      <c r="B28" s="24" t="s">
        <v>61</v>
      </c>
      <c r="C28" s="22" t="s">
        <v>62</v>
      </c>
      <c r="D28" s="22" t="s">
        <v>63</v>
      </c>
      <c r="E28" s="25">
        <v>2000</v>
      </c>
      <c r="F28" s="26">
        <v>24.844000000000001</v>
      </c>
      <c r="G28" s="27">
        <v>1.4261147480844233E-2</v>
      </c>
    </row>
    <row r="29" spans="1:7" ht="12.95" customHeight="1" x14ac:dyDescent="0.2">
      <c r="A29" s="16"/>
      <c r="B29" s="24" t="s">
        <v>103</v>
      </c>
      <c r="C29" s="22" t="s">
        <v>104</v>
      </c>
      <c r="D29" s="22" t="s">
        <v>105</v>
      </c>
      <c r="E29" s="25">
        <v>70000</v>
      </c>
      <c r="F29" s="26">
        <v>22.785</v>
      </c>
      <c r="G29" s="27">
        <v>1.3079224172880207E-2</v>
      </c>
    </row>
    <row r="30" spans="1:7" ht="12.95" customHeight="1" x14ac:dyDescent="0.2">
      <c r="A30" s="16"/>
      <c r="B30" s="24" t="s">
        <v>227</v>
      </c>
      <c r="C30" s="22" t="s">
        <v>228</v>
      </c>
      <c r="D30" s="22" t="s">
        <v>179</v>
      </c>
      <c r="E30" s="25">
        <v>1000</v>
      </c>
      <c r="F30" s="26">
        <v>20.092500000000001</v>
      </c>
      <c r="G30" s="27">
        <v>1.1533654232766977E-2</v>
      </c>
    </row>
    <row r="31" spans="1:7" ht="12.95" customHeight="1" x14ac:dyDescent="0.2">
      <c r="A31" s="16"/>
      <c r="B31" s="24" t="s">
        <v>44</v>
      </c>
      <c r="C31" s="22" t="s">
        <v>45</v>
      </c>
      <c r="D31" s="22" t="s">
        <v>41</v>
      </c>
      <c r="E31" s="25">
        <v>7000</v>
      </c>
      <c r="F31" s="26">
        <v>19.922000000000001</v>
      </c>
      <c r="G31" s="27">
        <v>1.1435782487255628E-2</v>
      </c>
    </row>
    <row r="32" spans="1:7" ht="12.95" customHeight="1" x14ac:dyDescent="0.2">
      <c r="A32" s="16"/>
      <c r="B32" s="24" t="s">
        <v>134</v>
      </c>
      <c r="C32" s="22" t="s">
        <v>135</v>
      </c>
      <c r="D32" s="22" t="s">
        <v>60</v>
      </c>
      <c r="E32" s="25">
        <v>24000</v>
      </c>
      <c r="F32" s="26">
        <v>18.408000000000001</v>
      </c>
      <c r="G32" s="27">
        <v>1.056670434822817E-2</v>
      </c>
    </row>
    <row r="33" spans="1:7" ht="12.95" customHeight="1" x14ac:dyDescent="0.2">
      <c r="A33" s="16"/>
      <c r="B33" s="24" t="s">
        <v>81</v>
      </c>
      <c r="C33" s="22" t="s">
        <v>82</v>
      </c>
      <c r="D33" s="22" t="s">
        <v>38</v>
      </c>
      <c r="E33" s="25">
        <v>13000</v>
      </c>
      <c r="F33" s="26">
        <v>16.8155</v>
      </c>
      <c r="G33" s="27">
        <v>9.6525650243171873E-3</v>
      </c>
    </row>
    <row r="34" spans="1:7" ht="12.95" customHeight="1" x14ac:dyDescent="0.2">
      <c r="A34" s="16"/>
      <c r="B34" s="24" t="s">
        <v>109</v>
      </c>
      <c r="C34" s="22" t="s">
        <v>110</v>
      </c>
      <c r="D34" s="22" t="s">
        <v>111</v>
      </c>
      <c r="E34" s="25">
        <v>8850</v>
      </c>
      <c r="F34" s="26">
        <v>16.598175000000001</v>
      </c>
      <c r="G34" s="27">
        <v>9.5278144255297754E-3</v>
      </c>
    </row>
    <row r="35" spans="1:7" ht="12.95" customHeight="1" x14ac:dyDescent="0.2">
      <c r="A35" s="16"/>
      <c r="B35" s="24" t="s">
        <v>119</v>
      </c>
      <c r="C35" s="22" t="s">
        <v>120</v>
      </c>
      <c r="D35" s="22" t="s">
        <v>121</v>
      </c>
      <c r="E35" s="25">
        <v>31542</v>
      </c>
      <c r="F35" s="26">
        <v>15.818313</v>
      </c>
      <c r="G35" s="27">
        <v>9.0801519317000312E-3</v>
      </c>
    </row>
    <row r="36" spans="1:7" ht="12.95" customHeight="1" x14ac:dyDescent="0.2">
      <c r="A36" s="16"/>
      <c r="B36" s="24" t="s">
        <v>145</v>
      </c>
      <c r="C36" s="22" t="s">
        <v>146</v>
      </c>
      <c r="D36" s="22" t="s">
        <v>66</v>
      </c>
      <c r="E36" s="25">
        <v>15000</v>
      </c>
      <c r="F36" s="26">
        <v>15.585000000000001</v>
      </c>
      <c r="G36" s="27">
        <v>8.9462237759200362E-3</v>
      </c>
    </row>
    <row r="37" spans="1:7" ht="12.95" customHeight="1" x14ac:dyDescent="0.2">
      <c r="A37" s="16"/>
      <c r="B37" s="24" t="s">
        <v>136</v>
      </c>
      <c r="C37" s="22" t="s">
        <v>137</v>
      </c>
      <c r="D37" s="22" t="s">
        <v>71</v>
      </c>
      <c r="E37" s="25">
        <v>3018</v>
      </c>
      <c r="F37" s="26">
        <v>13.348614</v>
      </c>
      <c r="G37" s="27">
        <v>7.6624759667872347E-3</v>
      </c>
    </row>
    <row r="38" spans="1:7" ht="12.95" customHeight="1" x14ac:dyDescent="0.2">
      <c r="A38" s="16"/>
      <c r="B38" s="24" t="s">
        <v>126</v>
      </c>
      <c r="C38" s="22" t="s">
        <v>127</v>
      </c>
      <c r="D38" s="22" t="s">
        <v>71</v>
      </c>
      <c r="E38" s="25">
        <v>1601</v>
      </c>
      <c r="F38" s="26">
        <v>13.142609</v>
      </c>
      <c r="G38" s="27">
        <v>7.5442233630683767E-3</v>
      </c>
    </row>
    <row r="39" spans="1:7" ht="12.95" customHeight="1" x14ac:dyDescent="0.2">
      <c r="A39" s="16"/>
      <c r="B39" s="24" t="s">
        <v>163</v>
      </c>
      <c r="C39" s="22" t="s">
        <v>164</v>
      </c>
      <c r="D39" s="22" t="s">
        <v>121</v>
      </c>
      <c r="E39" s="25">
        <v>1650</v>
      </c>
      <c r="F39" s="26">
        <v>3.82965</v>
      </c>
      <c r="G39" s="27">
        <v>2.1983256903081276E-3</v>
      </c>
    </row>
    <row r="40" spans="1:7" ht="12.95" customHeight="1" x14ac:dyDescent="0.2">
      <c r="A40" s="16"/>
      <c r="B40" s="24" t="s">
        <v>138</v>
      </c>
      <c r="C40" s="22" t="s">
        <v>139</v>
      </c>
      <c r="D40" s="22" t="s">
        <v>55</v>
      </c>
      <c r="E40" s="25">
        <v>2087</v>
      </c>
      <c r="F40" s="26">
        <v>1.8313425000000001</v>
      </c>
      <c r="G40" s="27">
        <v>1.0512415665930599E-3</v>
      </c>
    </row>
    <row r="41" spans="1:7" ht="12.95" customHeight="1" x14ac:dyDescent="0.2">
      <c r="A41" s="16"/>
      <c r="B41" s="53" t="s">
        <v>17</v>
      </c>
      <c r="C41" s="22"/>
      <c r="D41" s="22"/>
      <c r="E41" s="25"/>
      <c r="F41" s="48">
        <f>SUM(F9:F40)</f>
        <v>1175.570849</v>
      </c>
      <c r="G41" s="49">
        <f>SUM(G9:G40)</f>
        <v>0.67481038688497308</v>
      </c>
    </row>
    <row r="42" spans="1:7" ht="12.95" customHeight="1" x14ac:dyDescent="0.2">
      <c r="A42" s="16"/>
      <c r="B42" s="24"/>
      <c r="C42" s="22"/>
      <c r="D42" s="22"/>
      <c r="E42" s="25"/>
      <c r="F42" s="26"/>
      <c r="G42" s="27"/>
    </row>
    <row r="43" spans="1:7" ht="12.95" customHeight="1" x14ac:dyDescent="0.2">
      <c r="A43" s="16"/>
      <c r="B43" s="53" t="s">
        <v>349</v>
      </c>
      <c r="C43" s="22"/>
      <c r="D43" s="22"/>
      <c r="E43" s="25"/>
      <c r="F43" s="26"/>
      <c r="G43" s="27"/>
    </row>
    <row r="44" spans="1:7" ht="12.95" customHeight="1" x14ac:dyDescent="0.2">
      <c r="A44" s="16"/>
      <c r="B44" s="53" t="s">
        <v>350</v>
      </c>
      <c r="C44" s="22"/>
      <c r="D44" s="22"/>
      <c r="E44" s="25"/>
      <c r="F44" s="26"/>
      <c r="G44" s="27"/>
    </row>
    <row r="45" spans="1:7" ht="12.95" customHeight="1" x14ac:dyDescent="0.2">
      <c r="A45" s="16"/>
      <c r="B45" s="24" t="s">
        <v>172</v>
      </c>
      <c r="C45" s="22" t="s">
        <v>173</v>
      </c>
      <c r="D45" s="22" t="s">
        <v>174</v>
      </c>
      <c r="E45" s="25">
        <v>15500</v>
      </c>
      <c r="F45" s="26">
        <v>108.3780941</v>
      </c>
      <c r="G45" s="27">
        <v>6.2212042491262047E-2</v>
      </c>
    </row>
    <row r="46" spans="1:7" ht="12.95" customHeight="1" x14ac:dyDescent="0.2">
      <c r="A46" s="16"/>
      <c r="B46" s="24" t="s">
        <v>184</v>
      </c>
      <c r="C46" s="22" t="s">
        <v>185</v>
      </c>
      <c r="D46" s="22" t="s">
        <v>186</v>
      </c>
      <c r="E46" s="25">
        <v>13000</v>
      </c>
      <c r="F46" s="26">
        <v>57.066796799999999</v>
      </c>
      <c r="G46" s="27">
        <v>3.2757929698284081E-2</v>
      </c>
    </row>
    <row r="47" spans="1:7" ht="12.95" customHeight="1" x14ac:dyDescent="0.2">
      <c r="A47" s="16"/>
      <c r="B47" s="24" t="s">
        <v>189</v>
      </c>
      <c r="C47" s="22" t="s">
        <v>190</v>
      </c>
      <c r="D47" s="22" t="s">
        <v>191</v>
      </c>
      <c r="E47" s="25">
        <v>1500</v>
      </c>
      <c r="F47" s="26">
        <v>49.239478800000001</v>
      </c>
      <c r="G47" s="27">
        <v>2.8264831309237765E-2</v>
      </c>
    </row>
    <row r="48" spans="1:7" ht="12.95" customHeight="1" x14ac:dyDescent="0.2">
      <c r="A48" s="16"/>
      <c r="B48" s="24" t="s">
        <v>192</v>
      </c>
      <c r="C48" s="22" t="s">
        <v>193</v>
      </c>
      <c r="D48" s="22" t="s">
        <v>194</v>
      </c>
      <c r="E48" s="25">
        <v>6500</v>
      </c>
      <c r="F48" s="26">
        <v>47.5731477</v>
      </c>
      <c r="G48" s="27">
        <v>2.7308310878992336E-2</v>
      </c>
    </row>
    <row r="49" spans="1:7" ht="12.95" customHeight="1" x14ac:dyDescent="0.2">
      <c r="A49" s="16"/>
      <c r="B49" s="24" t="s">
        <v>195</v>
      </c>
      <c r="C49" s="22" t="s">
        <v>196</v>
      </c>
      <c r="D49" s="22" t="s">
        <v>197</v>
      </c>
      <c r="E49" s="25">
        <v>40000</v>
      </c>
      <c r="F49" s="26">
        <v>35.892691200000002</v>
      </c>
      <c r="G49" s="27">
        <v>2.0603403746884557E-2</v>
      </c>
    </row>
    <row r="50" spans="1:7" ht="12.95" customHeight="1" x14ac:dyDescent="0.2">
      <c r="A50" s="16"/>
      <c r="B50" s="24" t="s">
        <v>198</v>
      </c>
      <c r="C50" s="22" t="s">
        <v>199</v>
      </c>
      <c r="D50" s="22" t="s">
        <v>200</v>
      </c>
      <c r="E50" s="25">
        <v>69000</v>
      </c>
      <c r="F50" s="26">
        <v>33.240279399999999</v>
      </c>
      <c r="G50" s="27">
        <v>1.9080845549342636E-2</v>
      </c>
    </row>
    <row r="51" spans="1:7" ht="12.95" customHeight="1" x14ac:dyDescent="0.2">
      <c r="A51" s="16"/>
      <c r="B51" s="24" t="s">
        <v>201</v>
      </c>
      <c r="C51" s="22" t="s">
        <v>202</v>
      </c>
      <c r="D51" s="22" t="s">
        <v>203</v>
      </c>
      <c r="E51" s="25">
        <v>5000</v>
      </c>
      <c r="F51" s="26">
        <v>30.320770499999998</v>
      </c>
      <c r="G51" s="27">
        <v>1.7404966182310865E-2</v>
      </c>
    </row>
    <row r="52" spans="1:7" ht="12.95" customHeight="1" x14ac:dyDescent="0.2">
      <c r="A52" s="16"/>
      <c r="B52" s="24" t="s">
        <v>204</v>
      </c>
      <c r="C52" s="22" t="s">
        <v>205</v>
      </c>
      <c r="D52" s="22" t="s">
        <v>206</v>
      </c>
      <c r="E52" s="25">
        <v>18000</v>
      </c>
      <c r="F52" s="26">
        <v>29.8487106</v>
      </c>
      <c r="G52" s="27">
        <v>1.7133990660909617E-2</v>
      </c>
    </row>
    <row r="53" spans="1:7" ht="12.95" customHeight="1" x14ac:dyDescent="0.2">
      <c r="A53" s="16"/>
      <c r="B53" s="24" t="s">
        <v>207</v>
      </c>
      <c r="C53" s="22" t="s">
        <v>208</v>
      </c>
      <c r="D53" s="22" t="s">
        <v>209</v>
      </c>
      <c r="E53" s="25">
        <v>16000</v>
      </c>
      <c r="F53" s="26">
        <v>29.501726399999999</v>
      </c>
      <c r="G53" s="27">
        <v>1.6934812072529216E-2</v>
      </c>
    </row>
    <row r="54" spans="1:7" ht="12.95" customHeight="1" x14ac:dyDescent="0.2">
      <c r="A54" s="16"/>
      <c r="B54" s="24" t="s">
        <v>210</v>
      </c>
      <c r="C54" s="22" t="s">
        <v>211</v>
      </c>
      <c r="D54" s="22" t="s">
        <v>212</v>
      </c>
      <c r="E54" s="25">
        <v>30000</v>
      </c>
      <c r="F54" s="26">
        <v>28.178344800000001</v>
      </c>
      <c r="G54" s="27">
        <v>1.6175154200566744E-2</v>
      </c>
    </row>
    <row r="55" spans="1:7" ht="12.95" customHeight="1" x14ac:dyDescent="0.2">
      <c r="A55" s="16"/>
      <c r="B55" s="24" t="s">
        <v>217</v>
      </c>
      <c r="C55" s="22" t="s">
        <v>218</v>
      </c>
      <c r="D55" s="22" t="s">
        <v>203</v>
      </c>
      <c r="E55" s="25">
        <v>15000</v>
      </c>
      <c r="F55" s="26">
        <v>26.2053765</v>
      </c>
      <c r="G55" s="27">
        <v>1.5042615482915378E-2</v>
      </c>
    </row>
    <row r="56" spans="1:7" ht="12.95" customHeight="1" x14ac:dyDescent="0.2">
      <c r="A56" s="16"/>
      <c r="B56" s="24" t="s">
        <v>219</v>
      </c>
      <c r="C56" s="22" t="s">
        <v>220</v>
      </c>
      <c r="D56" s="22" t="s">
        <v>221</v>
      </c>
      <c r="E56" s="25">
        <v>28000</v>
      </c>
      <c r="F56" s="26">
        <v>25.441204299999999</v>
      </c>
      <c r="G56" s="27">
        <v>1.4603959370978444E-2</v>
      </c>
    </row>
    <row r="57" spans="1:7" ht="12.95" customHeight="1" x14ac:dyDescent="0.2">
      <c r="A57" s="16"/>
      <c r="B57" s="24" t="s">
        <v>222</v>
      </c>
      <c r="C57" s="22" t="s">
        <v>223</v>
      </c>
      <c r="D57" s="22" t="s">
        <v>200</v>
      </c>
      <c r="E57" s="25">
        <v>55000</v>
      </c>
      <c r="F57" s="26">
        <v>24.0104997</v>
      </c>
      <c r="G57" s="27">
        <v>1.3782695109904453E-2</v>
      </c>
    </row>
    <row r="58" spans="1:7" ht="12.95" customHeight="1" x14ac:dyDescent="0.2">
      <c r="A58" s="16"/>
      <c r="B58" s="24" t="s">
        <v>224</v>
      </c>
      <c r="C58" s="22" t="s">
        <v>225</v>
      </c>
      <c r="D58" s="22" t="s">
        <v>226</v>
      </c>
      <c r="E58" s="25">
        <v>4500</v>
      </c>
      <c r="F58" s="26">
        <v>20.934041000000001</v>
      </c>
      <c r="G58" s="27">
        <v>1.2016722189302845E-2</v>
      </c>
    </row>
    <row r="59" spans="1:7" ht="12.95" customHeight="1" x14ac:dyDescent="0.2">
      <c r="A59" s="16"/>
      <c r="B59" s="24" t="s">
        <v>229</v>
      </c>
      <c r="C59" s="22" t="s">
        <v>230</v>
      </c>
      <c r="D59" s="22" t="s">
        <v>231</v>
      </c>
      <c r="E59" s="25">
        <v>16000</v>
      </c>
      <c r="F59" s="26">
        <v>9.8253014000000007</v>
      </c>
      <c r="G59" s="27">
        <v>5.639996470340739E-3</v>
      </c>
    </row>
    <row r="60" spans="1:7" ht="12.95" customHeight="1" x14ac:dyDescent="0.2">
      <c r="A60" s="2"/>
      <c r="B60" s="21" t="s">
        <v>17</v>
      </c>
      <c r="C60" s="22" t="s">
        <v>1</v>
      </c>
      <c r="D60" s="22" t="s">
        <v>1</v>
      </c>
      <c r="E60" s="22" t="s">
        <v>1</v>
      </c>
      <c r="F60" s="28">
        <f>SUM(F45:F59)</f>
        <v>555.65646319999996</v>
      </c>
      <c r="G60" s="29">
        <f>SUM(G45:G59)</f>
        <v>0.31896227541376171</v>
      </c>
    </row>
    <row r="61" spans="1:7" ht="12.95" customHeight="1" x14ac:dyDescent="0.2">
      <c r="A61" s="2"/>
      <c r="B61" s="21" t="s">
        <v>167</v>
      </c>
      <c r="C61" s="22" t="s">
        <v>1</v>
      </c>
      <c r="D61" s="22" t="s">
        <v>1</v>
      </c>
      <c r="E61" s="28" t="s">
        <v>168</v>
      </c>
      <c r="F61" s="28" t="s">
        <v>168</v>
      </c>
      <c r="G61" s="29" t="s">
        <v>168</v>
      </c>
    </row>
    <row r="62" spans="1:7" ht="12.95" customHeight="1" x14ac:dyDescent="0.2">
      <c r="A62" s="2"/>
      <c r="B62" s="21" t="s">
        <v>17</v>
      </c>
      <c r="C62" s="22" t="s">
        <v>1</v>
      </c>
      <c r="D62" s="22" t="s">
        <v>1</v>
      </c>
      <c r="E62" s="28" t="s">
        <v>168</v>
      </c>
      <c r="F62" s="28" t="s">
        <v>168</v>
      </c>
      <c r="G62" s="29" t="s">
        <v>168</v>
      </c>
    </row>
    <row r="63" spans="1:7" ht="12.95" customHeight="1" x14ac:dyDescent="0.2">
      <c r="A63" s="2"/>
      <c r="B63" s="21" t="s">
        <v>18</v>
      </c>
      <c r="C63" s="22" t="s">
        <v>1</v>
      </c>
      <c r="D63" s="22" t="s">
        <v>1</v>
      </c>
      <c r="E63" s="22" t="s">
        <v>1</v>
      </c>
      <c r="F63" s="28">
        <v>1731.2273121999999</v>
      </c>
      <c r="G63" s="29">
        <v>0.99377266229873462</v>
      </c>
    </row>
    <row r="64" spans="1:7" ht="12.95" customHeight="1" x14ac:dyDescent="0.2">
      <c r="A64" s="2"/>
      <c r="B64" s="21"/>
      <c r="C64" s="22"/>
      <c r="D64" s="22"/>
      <c r="E64" s="22"/>
      <c r="F64" s="28"/>
      <c r="G64" s="29"/>
    </row>
    <row r="65" spans="1:7" ht="12.95" customHeight="1" x14ac:dyDescent="0.2">
      <c r="A65" s="2"/>
      <c r="B65" s="68" t="s">
        <v>344</v>
      </c>
      <c r="C65" s="47"/>
      <c r="D65" s="22"/>
      <c r="E65" s="22"/>
      <c r="F65" s="46"/>
      <c r="G65" s="29"/>
    </row>
    <row r="66" spans="1:7" ht="12.95" customHeight="1" x14ac:dyDescent="0.2">
      <c r="A66" s="16"/>
      <c r="B66" s="67" t="s">
        <v>348</v>
      </c>
      <c r="C66" s="47"/>
      <c r="D66" s="22"/>
      <c r="E66" s="28" t="s">
        <v>168</v>
      </c>
      <c r="F66" s="46" t="s">
        <v>168</v>
      </c>
      <c r="G66" s="49" t="s">
        <v>168</v>
      </c>
    </row>
    <row r="67" spans="1:7" ht="12.95" customHeight="1" x14ac:dyDescent="0.2">
      <c r="A67" s="2"/>
      <c r="B67" s="67" t="s">
        <v>346</v>
      </c>
      <c r="C67" s="47"/>
      <c r="D67" s="22"/>
      <c r="E67" s="28" t="s">
        <v>168</v>
      </c>
      <c r="F67" s="46" t="s">
        <v>168</v>
      </c>
      <c r="G67" s="49" t="s">
        <v>168</v>
      </c>
    </row>
    <row r="68" spans="1:7" ht="12.95" customHeight="1" x14ac:dyDescent="0.2">
      <c r="A68" s="2"/>
      <c r="B68" s="67" t="s">
        <v>347</v>
      </c>
      <c r="C68" s="47"/>
      <c r="D68" s="22"/>
      <c r="E68" s="28" t="s">
        <v>168</v>
      </c>
      <c r="F68" s="46" t="s">
        <v>168</v>
      </c>
      <c r="G68" s="49" t="s">
        <v>168</v>
      </c>
    </row>
    <row r="69" spans="1:7" ht="12.95" customHeight="1" x14ac:dyDescent="0.2">
      <c r="A69" s="2"/>
      <c r="B69" s="67"/>
      <c r="C69" s="47"/>
      <c r="D69" s="22"/>
      <c r="E69" s="54"/>
      <c r="F69" s="46"/>
      <c r="G69" s="49"/>
    </row>
    <row r="70" spans="1:7" ht="12.95" customHeight="1" x14ac:dyDescent="0.2">
      <c r="A70" s="2"/>
      <c r="B70" s="87" t="s">
        <v>9</v>
      </c>
      <c r="C70" s="47"/>
      <c r="D70" s="22"/>
      <c r="E70" s="54"/>
      <c r="F70" s="46"/>
      <c r="G70" s="49"/>
    </row>
    <row r="71" spans="1:7" ht="12.95" customHeight="1" x14ac:dyDescent="0.2">
      <c r="A71" s="2"/>
      <c r="B71" s="21" t="s">
        <v>19</v>
      </c>
      <c r="C71" s="22" t="s">
        <v>1</v>
      </c>
      <c r="D71" s="22" t="s">
        <v>1</v>
      </c>
      <c r="E71" s="22"/>
      <c r="F71" s="30" t="s">
        <v>1</v>
      </c>
      <c r="G71" s="31" t="s">
        <v>1</v>
      </c>
    </row>
    <row r="72" spans="1:7" ht="12.95" customHeight="1" x14ac:dyDescent="0.2">
      <c r="A72" s="16"/>
      <c r="B72" s="24" t="s">
        <v>20</v>
      </c>
      <c r="C72" s="22" t="s">
        <v>1</v>
      </c>
      <c r="D72" s="22" t="s">
        <v>21</v>
      </c>
      <c r="E72" s="25"/>
      <c r="F72" s="26">
        <v>2.7967</v>
      </c>
      <c r="G72" s="27">
        <v>1.6053836403025707E-3</v>
      </c>
    </row>
    <row r="73" spans="1:7" ht="12.95" customHeight="1" x14ac:dyDescent="0.2">
      <c r="A73" s="2"/>
      <c r="B73" s="21" t="s">
        <v>17</v>
      </c>
      <c r="C73" s="22" t="s">
        <v>1</v>
      </c>
      <c r="D73" s="22" t="s">
        <v>1</v>
      </c>
      <c r="E73" s="22" t="s">
        <v>1</v>
      </c>
      <c r="F73" s="28">
        <v>2.7967</v>
      </c>
      <c r="G73" s="29">
        <v>1.6053836403025707E-3</v>
      </c>
    </row>
    <row r="74" spans="1:7" ht="12.95" customHeight="1" x14ac:dyDescent="0.2">
      <c r="A74" s="2"/>
      <c r="B74" s="21" t="s">
        <v>18</v>
      </c>
      <c r="C74" s="22" t="s">
        <v>1</v>
      </c>
      <c r="D74" s="22" t="s">
        <v>1</v>
      </c>
      <c r="E74" s="22" t="s">
        <v>1</v>
      </c>
      <c r="F74" s="28">
        <v>2.7967</v>
      </c>
      <c r="G74" s="29">
        <v>1.6053836403025707E-3</v>
      </c>
    </row>
    <row r="75" spans="1:7" ht="12.95" customHeight="1" x14ac:dyDescent="0.2">
      <c r="A75" s="2"/>
      <c r="B75" s="21"/>
      <c r="C75" s="22"/>
      <c r="D75" s="22"/>
      <c r="E75" s="22"/>
      <c r="F75" s="28"/>
      <c r="G75" s="29"/>
    </row>
    <row r="76" spans="1:7" ht="12.95" customHeight="1" x14ac:dyDescent="0.2">
      <c r="A76" s="2"/>
      <c r="B76" s="21" t="s">
        <v>234</v>
      </c>
      <c r="C76" s="22"/>
      <c r="D76" s="22"/>
      <c r="E76" s="22"/>
      <c r="F76" s="28"/>
      <c r="G76" s="29"/>
    </row>
    <row r="77" spans="1:7" ht="12.95" customHeight="1" thickBot="1" x14ac:dyDescent="0.25">
      <c r="A77" s="2"/>
      <c r="B77" s="32" t="s">
        <v>22</v>
      </c>
      <c r="C77" s="33" t="s">
        <v>1</v>
      </c>
      <c r="D77" s="33" t="s">
        <v>1</v>
      </c>
      <c r="E77" s="33" t="s">
        <v>1</v>
      </c>
      <c r="F77" s="34">
        <v>8.0517943485999997</v>
      </c>
      <c r="G77" s="35">
        <v>4.62195406096282E-3</v>
      </c>
    </row>
    <row r="78" spans="1:7" ht="12.95" customHeight="1" thickTop="1" thickBot="1" x14ac:dyDescent="0.25">
      <c r="A78" s="2"/>
      <c r="B78" s="36" t="s">
        <v>23</v>
      </c>
      <c r="C78" s="37" t="s">
        <v>1</v>
      </c>
      <c r="D78" s="37" t="s">
        <v>1</v>
      </c>
      <c r="E78" s="37" t="s">
        <v>1</v>
      </c>
      <c r="F78" s="38">
        <v>1742.0758065486</v>
      </c>
      <c r="G78" s="39">
        <v>1</v>
      </c>
    </row>
    <row r="79" spans="1:7" ht="12.95" customHeight="1" x14ac:dyDescent="0.2">
      <c r="A79" s="2"/>
      <c r="B79" s="5" t="s">
        <v>1</v>
      </c>
      <c r="C79" s="65"/>
      <c r="D79" s="65"/>
      <c r="E79" s="65"/>
      <c r="F79" s="65"/>
      <c r="G79" s="65"/>
    </row>
    <row r="80" spans="1:7" ht="12.95" customHeight="1" x14ac:dyDescent="0.2">
      <c r="A80" s="2"/>
      <c r="B80" s="5"/>
      <c r="C80" s="2"/>
      <c r="D80" s="2"/>
      <c r="E80" s="2"/>
      <c r="F80" s="2"/>
      <c r="G80" s="2"/>
    </row>
    <row r="81" spans="1:7" ht="12.95" customHeight="1" x14ac:dyDescent="0.2">
      <c r="A81" s="2"/>
      <c r="B81" s="40" t="s">
        <v>351</v>
      </c>
      <c r="C81" s="2"/>
      <c r="D81" s="2"/>
      <c r="E81" s="2"/>
      <c r="F81" s="2"/>
      <c r="G81" s="2"/>
    </row>
    <row r="82" spans="1:7" ht="12.95" customHeight="1" x14ac:dyDescent="0.2">
      <c r="A82" s="2"/>
      <c r="B82" s="40" t="s">
        <v>352</v>
      </c>
      <c r="C82" s="2"/>
      <c r="D82" s="2"/>
      <c r="E82" s="2"/>
      <c r="F82" s="2"/>
      <c r="G82" s="2"/>
    </row>
    <row r="83" spans="1:7" ht="12.95" customHeight="1" thickBot="1" x14ac:dyDescent="0.25">
      <c r="A83" s="2"/>
      <c r="B83" s="40" t="s">
        <v>1</v>
      </c>
      <c r="C83" s="2"/>
      <c r="D83" s="2"/>
      <c r="E83" s="2"/>
      <c r="F83" s="2"/>
      <c r="G83" s="2"/>
    </row>
    <row r="84" spans="1:7" ht="13.5" thickBot="1" x14ac:dyDescent="0.25">
      <c r="B84" s="55" t="s">
        <v>361</v>
      </c>
      <c r="C84" s="56">
        <v>0.95089999999999997</v>
      </c>
    </row>
    <row r="85" spans="1:7" x14ac:dyDescent="0.2">
      <c r="B85" s="5" t="s">
        <v>362</v>
      </c>
      <c r="C85" s="5"/>
    </row>
  </sheetData>
  <sortState ref="A43:I57">
    <sortCondition descending="1" ref="G43:G57"/>
  </sortState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zoomScaleNormal="100" workbookViewId="0">
      <selection activeCell="D18" sqref="D18"/>
    </sheetView>
  </sheetViews>
  <sheetFormatPr defaultRowHeight="12.75" x14ac:dyDescent="0.2"/>
  <cols>
    <col min="1" max="1" width="11.42578125" style="3" bestFit="1" customWidth="1"/>
    <col min="2" max="2" width="53.7109375" style="3" customWidth="1"/>
    <col min="3" max="3" width="16.85546875" style="3" bestFit="1" customWidth="1"/>
    <col min="4" max="4" width="14.140625" style="3" customWidth="1"/>
    <col min="5" max="7" width="16.85546875" style="3" bestFit="1" customWidth="1"/>
    <col min="8" max="16384" width="9.140625" style="3"/>
  </cols>
  <sheetData>
    <row r="1" spans="1:7" ht="18.75" x14ac:dyDescent="0.2">
      <c r="A1" s="2"/>
      <c r="B1" s="88" t="s">
        <v>232</v>
      </c>
      <c r="C1" s="89"/>
      <c r="D1" s="89"/>
      <c r="E1" s="89"/>
      <c r="F1" s="89"/>
      <c r="G1" s="90"/>
    </row>
    <row r="2" spans="1:7" ht="13.5" thickBot="1" x14ac:dyDescent="0.25">
      <c r="A2" s="2"/>
      <c r="B2" s="91" t="s">
        <v>365</v>
      </c>
      <c r="C2" s="92"/>
      <c r="D2" s="92"/>
      <c r="E2" s="92"/>
      <c r="F2" s="92"/>
      <c r="G2" s="93"/>
    </row>
    <row r="3" spans="1:7" x14ac:dyDescent="0.2">
      <c r="A3" s="2"/>
      <c r="B3" s="4" t="s">
        <v>1</v>
      </c>
      <c r="C3" s="2"/>
      <c r="D3" s="2"/>
      <c r="E3" s="2"/>
      <c r="F3" s="2"/>
      <c r="G3" s="2"/>
    </row>
    <row r="4" spans="1:7" ht="13.5" thickBot="1" x14ac:dyDescent="0.25">
      <c r="A4" s="5"/>
      <c r="B4" s="40" t="s">
        <v>2</v>
      </c>
      <c r="C4" s="65"/>
      <c r="D4" s="65"/>
      <c r="E4" s="65"/>
      <c r="F4" s="65"/>
      <c r="G4" s="65"/>
    </row>
    <row r="5" spans="1:7" ht="23.25" thickBot="1" x14ac:dyDescent="0.25">
      <c r="A5" s="2"/>
      <c r="B5" s="7" t="s">
        <v>3</v>
      </c>
      <c r="C5" s="8" t="s">
        <v>4</v>
      </c>
      <c r="D5" s="8" t="s">
        <v>233</v>
      </c>
      <c r="E5" s="8" t="s">
        <v>6</v>
      </c>
      <c r="F5" s="8" t="s">
        <v>7</v>
      </c>
      <c r="G5" s="9" t="s">
        <v>8</v>
      </c>
    </row>
    <row r="6" spans="1:7" x14ac:dyDescent="0.2">
      <c r="A6" s="2"/>
      <c r="B6" s="66" t="s">
        <v>342</v>
      </c>
      <c r="C6" s="62"/>
      <c r="D6" s="63"/>
      <c r="E6" s="63"/>
      <c r="F6" s="63"/>
      <c r="G6" s="64"/>
    </row>
    <row r="7" spans="1:7" x14ac:dyDescent="0.2">
      <c r="A7" s="2"/>
      <c r="B7" s="67" t="s">
        <v>343</v>
      </c>
      <c r="C7" s="57"/>
      <c r="D7" s="58"/>
      <c r="E7" s="58" t="s">
        <v>168</v>
      </c>
      <c r="F7" s="58" t="s">
        <v>168</v>
      </c>
      <c r="G7" s="60" t="s">
        <v>168</v>
      </c>
    </row>
    <row r="8" spans="1:7" x14ac:dyDescent="0.2">
      <c r="A8" s="2"/>
      <c r="B8" s="67" t="s">
        <v>167</v>
      </c>
      <c r="C8" s="57"/>
      <c r="D8" s="58"/>
      <c r="E8" s="58" t="s">
        <v>168</v>
      </c>
      <c r="F8" s="58" t="s">
        <v>168</v>
      </c>
      <c r="G8" s="60" t="s">
        <v>168</v>
      </c>
    </row>
    <row r="9" spans="1:7" x14ac:dyDescent="0.2">
      <c r="A9" s="2"/>
      <c r="B9" s="52"/>
      <c r="C9" s="12"/>
      <c r="D9" s="13"/>
      <c r="E9" s="13"/>
      <c r="F9" s="13"/>
      <c r="G9" s="61"/>
    </row>
    <row r="10" spans="1:7" x14ac:dyDescent="0.2">
      <c r="A10" s="2"/>
      <c r="B10" s="52" t="s">
        <v>364</v>
      </c>
      <c r="C10" s="22" t="s">
        <v>1</v>
      </c>
      <c r="D10" s="22" t="s">
        <v>1</v>
      </c>
      <c r="E10" s="22" t="s">
        <v>1</v>
      </c>
      <c r="F10" s="22" t="s">
        <v>1</v>
      </c>
      <c r="G10" s="23" t="s">
        <v>1</v>
      </c>
    </row>
    <row r="11" spans="1:7" x14ac:dyDescent="0.2">
      <c r="A11" s="2"/>
      <c r="B11" s="21" t="s">
        <v>235</v>
      </c>
      <c r="C11" s="22" t="s">
        <v>1</v>
      </c>
      <c r="D11" s="22" t="s">
        <v>1</v>
      </c>
      <c r="E11" s="22" t="s">
        <v>1</v>
      </c>
      <c r="F11" s="22" t="s">
        <v>1</v>
      </c>
      <c r="G11" s="23" t="s">
        <v>1</v>
      </c>
    </row>
    <row r="12" spans="1:7" x14ac:dyDescent="0.2">
      <c r="A12" s="16"/>
      <c r="B12" s="24" t="s">
        <v>236</v>
      </c>
      <c r="C12" s="22" t="s">
        <v>237</v>
      </c>
      <c r="D12" s="22" t="s">
        <v>1</v>
      </c>
      <c r="E12" s="59">
        <v>423663.0677823</v>
      </c>
      <c r="F12" s="26">
        <v>2425.5822334</v>
      </c>
      <c r="G12" s="27">
        <v>0.99114347835118444</v>
      </c>
    </row>
    <row r="13" spans="1:7" x14ac:dyDescent="0.2">
      <c r="A13" s="2"/>
      <c r="B13" s="21" t="s">
        <v>17</v>
      </c>
      <c r="C13" s="22" t="s">
        <v>1</v>
      </c>
      <c r="D13" s="22" t="s">
        <v>1</v>
      </c>
      <c r="E13" s="22" t="s">
        <v>1</v>
      </c>
      <c r="F13" s="28">
        <v>2425.5822334</v>
      </c>
      <c r="G13" s="29">
        <v>0.99114347835118444</v>
      </c>
    </row>
    <row r="14" spans="1:7" x14ac:dyDescent="0.2">
      <c r="A14" s="2"/>
      <c r="B14" s="21" t="s">
        <v>18</v>
      </c>
      <c r="C14" s="22" t="s">
        <v>1</v>
      </c>
      <c r="D14" s="22" t="s">
        <v>1</v>
      </c>
      <c r="E14" s="22" t="s">
        <v>1</v>
      </c>
      <c r="F14" s="28">
        <v>2425.5822334</v>
      </c>
      <c r="G14" s="29">
        <v>0.99114347835118444</v>
      </c>
    </row>
    <row r="15" spans="1:7" x14ac:dyDescent="0.2">
      <c r="A15" s="2"/>
      <c r="B15" s="21"/>
      <c r="C15" s="22"/>
      <c r="D15" s="22"/>
      <c r="E15" s="22"/>
      <c r="F15" s="28"/>
      <c r="G15" s="29"/>
    </row>
    <row r="16" spans="1:7" x14ac:dyDescent="0.2">
      <c r="A16" s="2"/>
      <c r="B16" s="68" t="s">
        <v>344</v>
      </c>
      <c r="C16" s="22"/>
      <c r="D16" s="22"/>
      <c r="E16" s="22"/>
      <c r="F16" s="28"/>
      <c r="G16" s="29"/>
    </row>
    <row r="17" spans="1:7" x14ac:dyDescent="0.2">
      <c r="A17" s="2"/>
      <c r="B17" s="69" t="s">
        <v>348</v>
      </c>
      <c r="C17" s="22"/>
      <c r="D17" s="22"/>
      <c r="E17" s="58" t="s">
        <v>168</v>
      </c>
      <c r="F17" s="58" t="s">
        <v>168</v>
      </c>
      <c r="G17" s="60" t="s">
        <v>168</v>
      </c>
    </row>
    <row r="18" spans="1:7" x14ac:dyDescent="0.2">
      <c r="A18" s="2"/>
      <c r="B18" s="69" t="s">
        <v>346</v>
      </c>
      <c r="C18" s="22"/>
      <c r="D18" s="22"/>
      <c r="E18" s="58" t="s">
        <v>168</v>
      </c>
      <c r="F18" s="58" t="s">
        <v>168</v>
      </c>
      <c r="G18" s="60" t="s">
        <v>168</v>
      </c>
    </row>
    <row r="19" spans="1:7" x14ac:dyDescent="0.2">
      <c r="A19" s="2"/>
      <c r="B19" s="69" t="s">
        <v>347</v>
      </c>
      <c r="C19" s="22"/>
      <c r="D19" s="22"/>
      <c r="E19" s="58" t="s">
        <v>168</v>
      </c>
      <c r="F19" s="58" t="s">
        <v>168</v>
      </c>
      <c r="G19" s="60" t="s">
        <v>168</v>
      </c>
    </row>
    <row r="20" spans="1:7" x14ac:dyDescent="0.2">
      <c r="A20" s="2"/>
      <c r="B20" s="21"/>
      <c r="C20" s="22"/>
      <c r="D20" s="22"/>
      <c r="E20" s="22"/>
      <c r="F20" s="28"/>
      <c r="G20" s="29"/>
    </row>
    <row r="21" spans="1:7" x14ac:dyDescent="0.2">
      <c r="A21" s="2"/>
      <c r="B21" s="21" t="s">
        <v>9</v>
      </c>
      <c r="C21" s="22"/>
      <c r="D21" s="22"/>
      <c r="E21" s="22"/>
      <c r="F21" s="28"/>
      <c r="G21" s="29"/>
    </row>
    <row r="22" spans="1:7" x14ac:dyDescent="0.2">
      <c r="A22" s="2"/>
      <c r="B22" s="21" t="s">
        <v>19</v>
      </c>
      <c r="C22" s="22" t="s">
        <v>1</v>
      </c>
      <c r="D22" s="22" t="s">
        <v>1</v>
      </c>
      <c r="E22" s="22" t="s">
        <v>1</v>
      </c>
      <c r="F22" s="30" t="s">
        <v>1</v>
      </c>
      <c r="G22" s="31" t="s">
        <v>1</v>
      </c>
    </row>
    <row r="23" spans="1:7" x14ac:dyDescent="0.2">
      <c r="A23" s="16"/>
      <c r="B23" s="24" t="s">
        <v>20</v>
      </c>
      <c r="C23" s="22" t="s">
        <v>1</v>
      </c>
      <c r="D23" s="22" t="s">
        <v>21</v>
      </c>
      <c r="E23" s="25"/>
      <c r="F23" s="26">
        <v>44.191499999999998</v>
      </c>
      <c r="G23" s="27">
        <v>1.8057568372835842E-2</v>
      </c>
    </row>
    <row r="24" spans="1:7" x14ac:dyDescent="0.2">
      <c r="A24" s="2"/>
      <c r="B24" s="21" t="s">
        <v>17</v>
      </c>
      <c r="C24" s="22" t="s">
        <v>1</v>
      </c>
      <c r="D24" s="22" t="s">
        <v>1</v>
      </c>
      <c r="E24" s="22" t="s">
        <v>1</v>
      </c>
      <c r="F24" s="28">
        <v>44.191499999999998</v>
      </c>
      <c r="G24" s="29">
        <v>1.8057568372835842E-2</v>
      </c>
    </row>
    <row r="25" spans="1:7" x14ac:dyDescent="0.2">
      <c r="A25" s="2"/>
      <c r="B25" s="21" t="s">
        <v>18</v>
      </c>
      <c r="C25" s="22" t="s">
        <v>1</v>
      </c>
      <c r="D25" s="22" t="s">
        <v>1</v>
      </c>
      <c r="E25" s="22" t="s">
        <v>1</v>
      </c>
      <c r="F25" s="28">
        <v>44.191499999999998</v>
      </c>
      <c r="G25" s="29">
        <v>1.8057568372835842E-2</v>
      </c>
    </row>
    <row r="26" spans="1:7" x14ac:dyDescent="0.2">
      <c r="A26" s="2"/>
      <c r="B26" s="21"/>
      <c r="C26" s="22"/>
      <c r="D26" s="22"/>
      <c r="E26" s="22"/>
      <c r="F26" s="28"/>
      <c r="G26" s="29"/>
    </row>
    <row r="27" spans="1:7" x14ac:dyDescent="0.2">
      <c r="A27" s="2"/>
      <c r="B27" s="21" t="s">
        <v>234</v>
      </c>
      <c r="C27" s="22"/>
      <c r="D27" s="22"/>
      <c r="E27" s="22"/>
      <c r="F27" s="28"/>
      <c r="G27" s="29"/>
    </row>
    <row r="28" spans="1:7" ht="13.5" thickBot="1" x14ac:dyDescent="0.25">
      <c r="A28" s="2"/>
      <c r="B28" s="32" t="s">
        <v>22</v>
      </c>
      <c r="C28" s="33" t="s">
        <v>1</v>
      </c>
      <c r="D28" s="33" t="s">
        <v>1</v>
      </c>
      <c r="E28" s="33" t="s">
        <v>1</v>
      </c>
      <c r="F28" s="34">
        <v>-22.517320599800001</v>
      </c>
      <c r="G28" s="35">
        <v>-9.201046724020237E-3</v>
      </c>
    </row>
    <row r="29" spans="1:7" ht="14.25" thickTop="1" thickBot="1" x14ac:dyDescent="0.25">
      <c r="A29" s="2"/>
      <c r="B29" s="36" t="s">
        <v>23</v>
      </c>
      <c r="C29" s="37" t="s">
        <v>1</v>
      </c>
      <c r="D29" s="37" t="s">
        <v>1</v>
      </c>
      <c r="E29" s="37" t="s">
        <v>1</v>
      </c>
      <c r="F29" s="38">
        <v>2447.2564128002</v>
      </c>
      <c r="G29" s="39">
        <v>1</v>
      </c>
    </row>
    <row r="30" spans="1:7" x14ac:dyDescent="0.2">
      <c r="A30" s="2"/>
      <c r="B30" s="5" t="s">
        <v>1</v>
      </c>
      <c r="C30" s="2"/>
      <c r="D30" s="2"/>
      <c r="E30" s="2"/>
      <c r="F30" s="2"/>
      <c r="G30" s="2"/>
    </row>
    <row r="31" spans="1:7" x14ac:dyDescent="0.2">
      <c r="A31" s="2"/>
      <c r="B31" s="40" t="s">
        <v>21</v>
      </c>
      <c r="C31" s="2"/>
      <c r="D31" s="2"/>
      <c r="E31" s="2"/>
      <c r="F31" s="2"/>
      <c r="G31" s="2"/>
    </row>
    <row r="32" spans="1:7" x14ac:dyDescent="0.2">
      <c r="A32" s="2"/>
      <c r="B32" s="40" t="s">
        <v>1</v>
      </c>
      <c r="C32" s="2"/>
      <c r="D32" s="2"/>
      <c r="E32" s="2"/>
      <c r="F32" s="2"/>
      <c r="G32" s="2"/>
    </row>
    <row r="33" spans="1:7" x14ac:dyDescent="0.2">
      <c r="A33" s="2"/>
      <c r="B33" s="40" t="s">
        <v>1</v>
      </c>
      <c r="C33" s="2"/>
      <c r="D33" s="2"/>
      <c r="E33" s="2"/>
      <c r="F33" s="2"/>
      <c r="G33" s="2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showGridLines="0" zoomScaleNormal="100" workbookViewId="0">
      <selection activeCell="B11" sqref="B11"/>
    </sheetView>
  </sheetViews>
  <sheetFormatPr defaultRowHeight="12.75" x14ac:dyDescent="0.2"/>
  <cols>
    <col min="1" max="1" width="11.5703125" style="3" bestFit="1" customWidth="1"/>
    <col min="2" max="2" width="60.28515625" style="3" bestFit="1" customWidth="1"/>
    <col min="3" max="3" width="16.85546875" style="3" customWidth="1"/>
    <col min="4" max="4" width="28.5703125" style="3" bestFit="1" customWidth="1"/>
    <col min="5" max="7" width="16.85546875" style="3" customWidth="1"/>
    <col min="8" max="16384" width="9.140625" style="3"/>
  </cols>
  <sheetData>
    <row r="1" spans="1:7" ht="18.75" x14ac:dyDescent="0.2">
      <c r="A1" s="2"/>
      <c r="B1" s="88" t="s">
        <v>238</v>
      </c>
      <c r="C1" s="89"/>
      <c r="D1" s="89"/>
      <c r="E1" s="89"/>
      <c r="F1" s="89"/>
      <c r="G1" s="90"/>
    </row>
    <row r="2" spans="1:7" ht="15.95" customHeight="1" thickBot="1" x14ac:dyDescent="0.25">
      <c r="A2" s="2"/>
      <c r="B2" s="91" t="s">
        <v>363</v>
      </c>
      <c r="C2" s="92"/>
      <c r="D2" s="92"/>
      <c r="E2" s="92"/>
      <c r="F2" s="92"/>
      <c r="G2" s="93"/>
    </row>
    <row r="3" spans="1:7" ht="12.95" customHeight="1" x14ac:dyDescent="0.2">
      <c r="A3" s="2"/>
      <c r="B3" s="4" t="s">
        <v>1</v>
      </c>
      <c r="C3" s="2"/>
      <c r="D3" s="2"/>
      <c r="E3" s="2"/>
      <c r="F3" s="2"/>
      <c r="G3" s="2"/>
    </row>
    <row r="4" spans="1:7" ht="12.95" customHeight="1" thickBot="1" x14ac:dyDescent="0.25">
      <c r="A4" s="5"/>
      <c r="B4" s="6" t="s">
        <v>2</v>
      </c>
      <c r="C4" s="2"/>
      <c r="D4" s="2"/>
      <c r="E4" s="2"/>
      <c r="F4" s="2"/>
      <c r="G4" s="2"/>
    </row>
    <row r="5" spans="1:7" ht="27.95" customHeight="1" thickBot="1" x14ac:dyDescent="0.25">
      <c r="A5" s="2"/>
      <c r="B5" s="7" t="s">
        <v>3</v>
      </c>
      <c r="C5" s="8" t="s">
        <v>4</v>
      </c>
      <c r="D5" s="8" t="s">
        <v>27</v>
      </c>
      <c r="E5" s="8" t="s">
        <v>6</v>
      </c>
      <c r="F5" s="8" t="s">
        <v>7</v>
      </c>
      <c r="G5" s="9" t="s">
        <v>8</v>
      </c>
    </row>
    <row r="6" spans="1:7" ht="12.95" customHeight="1" x14ac:dyDescent="0.2">
      <c r="A6" s="2"/>
      <c r="B6" s="70" t="s">
        <v>28</v>
      </c>
      <c r="C6" s="71" t="s">
        <v>1</v>
      </c>
      <c r="D6" s="71" t="s">
        <v>1</v>
      </c>
      <c r="E6" s="71" t="s">
        <v>1</v>
      </c>
      <c r="F6" s="71" t="s">
        <v>1</v>
      </c>
      <c r="G6" s="72" t="s">
        <v>1</v>
      </c>
    </row>
    <row r="7" spans="1:7" ht="12.95" customHeight="1" x14ac:dyDescent="0.2">
      <c r="A7" s="2"/>
      <c r="B7" s="21" t="s">
        <v>29</v>
      </c>
      <c r="C7" s="22" t="s">
        <v>1</v>
      </c>
      <c r="D7" s="22" t="s">
        <v>1</v>
      </c>
      <c r="E7" s="22" t="s">
        <v>1</v>
      </c>
      <c r="F7" s="22" t="s">
        <v>1</v>
      </c>
      <c r="G7" s="23" t="s">
        <v>1</v>
      </c>
    </row>
    <row r="8" spans="1:7" ht="12.95" customHeight="1" x14ac:dyDescent="0.2">
      <c r="A8" s="2"/>
      <c r="B8" s="21" t="s">
        <v>353</v>
      </c>
      <c r="C8" s="22"/>
      <c r="D8" s="22"/>
      <c r="E8" s="22"/>
      <c r="F8" s="22"/>
      <c r="G8" s="23"/>
    </row>
    <row r="9" spans="1:7" ht="12.95" customHeight="1" x14ac:dyDescent="0.2">
      <c r="A9" s="16"/>
      <c r="B9" s="24" t="s">
        <v>242</v>
      </c>
      <c r="C9" s="22" t="s">
        <v>243</v>
      </c>
      <c r="D9" s="22" t="s">
        <v>60</v>
      </c>
      <c r="E9" s="25">
        <v>18500</v>
      </c>
      <c r="F9" s="26">
        <v>152.14400000000001</v>
      </c>
      <c r="G9" s="27">
        <v>9.4194515511773047E-2</v>
      </c>
    </row>
    <row r="10" spans="1:7" ht="12.95" customHeight="1" x14ac:dyDescent="0.2">
      <c r="A10" s="16"/>
      <c r="B10" s="24" t="s">
        <v>250</v>
      </c>
      <c r="C10" s="22" t="s">
        <v>251</v>
      </c>
      <c r="D10" s="22" t="s">
        <v>99</v>
      </c>
      <c r="E10" s="25">
        <v>32000</v>
      </c>
      <c r="F10" s="26">
        <v>85.712000000000003</v>
      </c>
      <c r="G10" s="27">
        <v>5.3065518939590731E-2</v>
      </c>
    </row>
    <row r="11" spans="1:7" ht="12.95" customHeight="1" x14ac:dyDescent="0.2">
      <c r="A11" s="16"/>
      <c r="B11" s="24" t="s">
        <v>271</v>
      </c>
      <c r="C11" s="22" t="s">
        <v>272</v>
      </c>
      <c r="D11" s="22" t="s">
        <v>273</v>
      </c>
      <c r="E11" s="25">
        <v>35000</v>
      </c>
      <c r="F11" s="26">
        <v>39.164999999999999</v>
      </c>
      <c r="G11" s="27">
        <v>2.4247608844375011E-2</v>
      </c>
    </row>
    <row r="12" spans="1:7" ht="12.95" customHeight="1" x14ac:dyDescent="0.2">
      <c r="A12" s="16"/>
      <c r="B12" s="24" t="s">
        <v>274</v>
      </c>
      <c r="C12" s="22" t="s">
        <v>275</v>
      </c>
      <c r="D12" s="22" t="s">
        <v>276</v>
      </c>
      <c r="E12" s="25">
        <v>14000</v>
      </c>
      <c r="F12" s="26">
        <v>38.017000000000003</v>
      </c>
      <c r="G12" s="27">
        <v>2.3536865707560441E-2</v>
      </c>
    </row>
    <row r="13" spans="1:7" ht="12.95" customHeight="1" x14ac:dyDescent="0.2">
      <c r="A13" s="16"/>
      <c r="B13" s="24" t="s">
        <v>277</v>
      </c>
      <c r="C13" s="22" t="s">
        <v>278</v>
      </c>
      <c r="D13" s="22" t="s">
        <v>91</v>
      </c>
      <c r="E13" s="25">
        <v>21000</v>
      </c>
      <c r="F13" s="26">
        <v>37.957500000000003</v>
      </c>
      <c r="G13" s="27">
        <v>2.3500028410835299E-2</v>
      </c>
    </row>
    <row r="14" spans="1:7" ht="12.95" customHeight="1" x14ac:dyDescent="0.2">
      <c r="A14" s="16"/>
      <c r="B14" s="24" t="s">
        <v>279</v>
      </c>
      <c r="C14" s="22" t="s">
        <v>280</v>
      </c>
      <c r="D14" s="22" t="s">
        <v>91</v>
      </c>
      <c r="E14" s="25">
        <v>12000</v>
      </c>
      <c r="F14" s="26">
        <v>35.334000000000003</v>
      </c>
      <c r="G14" s="27">
        <v>2.1875782226660197E-2</v>
      </c>
    </row>
    <row r="15" spans="1:7" ht="12.95" customHeight="1" x14ac:dyDescent="0.2">
      <c r="A15" s="16"/>
      <c r="B15" s="24" t="s">
        <v>289</v>
      </c>
      <c r="C15" s="22" t="s">
        <v>290</v>
      </c>
      <c r="D15" s="22" t="s">
        <v>99</v>
      </c>
      <c r="E15" s="25">
        <v>8000</v>
      </c>
      <c r="F15" s="26">
        <v>25.507999999999999</v>
      </c>
      <c r="G15" s="27">
        <v>1.5792365796050499E-2</v>
      </c>
    </row>
    <row r="16" spans="1:7" ht="12.95" customHeight="1" x14ac:dyDescent="0.2">
      <c r="A16" s="16"/>
      <c r="B16" s="24" t="s">
        <v>303</v>
      </c>
      <c r="C16" s="22" t="s">
        <v>304</v>
      </c>
      <c r="D16" s="22" t="s">
        <v>111</v>
      </c>
      <c r="E16" s="25">
        <v>1100</v>
      </c>
      <c r="F16" s="26">
        <v>19.9023</v>
      </c>
      <c r="G16" s="27">
        <v>1.2321797153157277E-2</v>
      </c>
    </row>
    <row r="17" spans="1:7" ht="12.95" customHeight="1" x14ac:dyDescent="0.2">
      <c r="A17" s="16"/>
      <c r="B17" s="24" t="s">
        <v>309</v>
      </c>
      <c r="C17" s="22" t="s">
        <v>310</v>
      </c>
      <c r="D17" s="22" t="s">
        <v>60</v>
      </c>
      <c r="E17" s="25">
        <v>4000</v>
      </c>
      <c r="F17" s="26">
        <v>13.25</v>
      </c>
      <c r="G17" s="27">
        <v>8.2032635564399051E-3</v>
      </c>
    </row>
    <row r="18" spans="1:7" ht="12.95" customHeight="1" x14ac:dyDescent="0.2">
      <c r="A18" s="16"/>
      <c r="B18" s="24" t="s">
        <v>315</v>
      </c>
      <c r="C18" s="22" t="s">
        <v>316</v>
      </c>
      <c r="D18" s="22" t="s">
        <v>276</v>
      </c>
      <c r="E18" s="25">
        <v>1000</v>
      </c>
      <c r="F18" s="26">
        <v>7.2965</v>
      </c>
      <c r="G18" s="27">
        <v>4.5173669841180198E-3</v>
      </c>
    </row>
    <row r="19" spans="1:7" ht="12.95" customHeight="1" x14ac:dyDescent="0.2">
      <c r="A19" s="16"/>
      <c r="B19" s="24" t="s">
        <v>89</v>
      </c>
      <c r="C19" s="22" t="s">
        <v>90</v>
      </c>
      <c r="D19" s="22" t="s">
        <v>91</v>
      </c>
      <c r="E19" s="25">
        <v>7000</v>
      </c>
      <c r="F19" s="26">
        <v>6.2930000000000001</v>
      </c>
      <c r="G19" s="27">
        <v>3.8960858536359489E-3</v>
      </c>
    </row>
    <row r="20" spans="1:7" ht="12.95" customHeight="1" x14ac:dyDescent="0.2">
      <c r="A20" s="16"/>
      <c r="B20" s="53" t="s">
        <v>17</v>
      </c>
      <c r="C20" s="22"/>
      <c r="D20" s="22"/>
      <c r="E20" s="25"/>
      <c r="F20" s="48">
        <f>SUM(F9:F19)</f>
        <v>460.57929999999999</v>
      </c>
      <c r="G20" s="49">
        <f>SUM(G9:G19)</f>
        <v>0.28515119898419639</v>
      </c>
    </row>
    <row r="21" spans="1:7" ht="12.95" customHeight="1" x14ac:dyDescent="0.2">
      <c r="A21" s="16"/>
      <c r="B21" s="24"/>
      <c r="C21" s="22"/>
      <c r="D21" s="22"/>
      <c r="E21" s="25"/>
      <c r="F21" s="26"/>
      <c r="G21" s="27"/>
    </row>
    <row r="22" spans="1:7" ht="12.95" customHeight="1" x14ac:dyDescent="0.2">
      <c r="A22" s="16"/>
      <c r="B22" s="53" t="s">
        <v>349</v>
      </c>
      <c r="C22" s="22"/>
      <c r="D22" s="22"/>
      <c r="E22" s="25"/>
      <c r="F22" s="26"/>
      <c r="G22" s="27"/>
    </row>
    <row r="23" spans="1:7" ht="12.95" customHeight="1" x14ac:dyDescent="0.2">
      <c r="A23" s="16"/>
      <c r="B23" s="53" t="s">
        <v>350</v>
      </c>
      <c r="C23" s="22"/>
      <c r="D23" s="22"/>
      <c r="E23" s="25"/>
      <c r="F23" s="26"/>
      <c r="G23" s="27"/>
    </row>
    <row r="24" spans="1:7" ht="12.95" customHeight="1" x14ac:dyDescent="0.2">
      <c r="A24" s="16"/>
      <c r="B24" s="24" t="s">
        <v>239</v>
      </c>
      <c r="C24" s="22" t="s">
        <v>240</v>
      </c>
      <c r="D24" s="22" t="s">
        <v>241</v>
      </c>
      <c r="E24" s="25">
        <v>8350</v>
      </c>
      <c r="F24" s="26">
        <v>174.09452569999999</v>
      </c>
      <c r="G24" s="27">
        <v>0.10778439834343399</v>
      </c>
    </row>
    <row r="25" spans="1:7" ht="12.95" customHeight="1" x14ac:dyDescent="0.2">
      <c r="A25" s="16"/>
      <c r="B25" s="24" t="s">
        <v>244</v>
      </c>
      <c r="C25" s="22" t="s">
        <v>245</v>
      </c>
      <c r="D25" s="22" t="s">
        <v>246</v>
      </c>
      <c r="E25" s="25">
        <v>89000</v>
      </c>
      <c r="F25" s="26">
        <v>113.3282675</v>
      </c>
      <c r="G25" s="27">
        <v>7.0163143146960219E-2</v>
      </c>
    </row>
    <row r="26" spans="1:7" ht="12.95" customHeight="1" x14ac:dyDescent="0.2">
      <c r="A26" s="16"/>
      <c r="B26" s="24" t="s">
        <v>247</v>
      </c>
      <c r="C26" s="22" t="s">
        <v>248</v>
      </c>
      <c r="D26" s="22" t="s">
        <v>249</v>
      </c>
      <c r="E26" s="25">
        <v>128000</v>
      </c>
      <c r="F26" s="26">
        <v>88.414801900000001</v>
      </c>
      <c r="G26" s="27">
        <v>5.4738862058575373E-2</v>
      </c>
    </row>
    <row r="27" spans="1:7" ht="12.95" customHeight="1" x14ac:dyDescent="0.2">
      <c r="A27" s="16"/>
      <c r="B27" s="24" t="s">
        <v>252</v>
      </c>
      <c r="C27" s="22" t="s">
        <v>253</v>
      </c>
      <c r="D27" s="22" t="s">
        <v>254</v>
      </c>
      <c r="E27" s="25">
        <v>470</v>
      </c>
      <c r="F27" s="26">
        <v>84.185812499999997</v>
      </c>
      <c r="G27" s="27">
        <v>5.2120634539662869E-2</v>
      </c>
    </row>
    <row r="28" spans="1:7" ht="12.95" customHeight="1" x14ac:dyDescent="0.2">
      <c r="A28" s="16"/>
      <c r="B28" s="24" t="s">
        <v>255</v>
      </c>
      <c r="C28" s="22" t="s">
        <v>256</v>
      </c>
      <c r="D28" s="22" t="s">
        <v>241</v>
      </c>
      <c r="E28" s="25">
        <v>2266</v>
      </c>
      <c r="F28" s="26">
        <v>81.615119800000002</v>
      </c>
      <c r="G28" s="27">
        <v>5.052908210640128E-2</v>
      </c>
    </row>
    <row r="29" spans="1:7" ht="12.95" customHeight="1" x14ac:dyDescent="0.2">
      <c r="A29" s="16"/>
      <c r="B29" s="24" t="s">
        <v>257</v>
      </c>
      <c r="C29" s="22" t="s">
        <v>258</v>
      </c>
      <c r="D29" s="22" t="s">
        <v>246</v>
      </c>
      <c r="E29" s="25">
        <v>3400</v>
      </c>
      <c r="F29" s="26">
        <v>75.986276000000004</v>
      </c>
      <c r="G29" s="27">
        <v>4.7044184807576168E-2</v>
      </c>
    </row>
    <row r="30" spans="1:7" ht="12.95" customHeight="1" x14ac:dyDescent="0.2">
      <c r="A30" s="16"/>
      <c r="B30" s="24" t="s">
        <v>259</v>
      </c>
      <c r="C30" s="22" t="s">
        <v>260</v>
      </c>
      <c r="D30" s="22" t="s">
        <v>261</v>
      </c>
      <c r="E30" s="25">
        <v>390</v>
      </c>
      <c r="F30" s="26">
        <v>72.582412500000004</v>
      </c>
      <c r="G30" s="27">
        <v>4.4936804475451939E-2</v>
      </c>
    </row>
    <row r="31" spans="1:7" ht="12.95" customHeight="1" x14ac:dyDescent="0.2">
      <c r="A31" s="16"/>
      <c r="B31" s="24" t="s">
        <v>262</v>
      </c>
      <c r="C31" s="22" t="s">
        <v>263</v>
      </c>
      <c r="D31" s="22" t="s">
        <v>249</v>
      </c>
      <c r="E31" s="25">
        <v>130000</v>
      </c>
      <c r="F31" s="26">
        <v>63.675635399999997</v>
      </c>
      <c r="G31" s="27">
        <v>3.9422492023394318E-2</v>
      </c>
    </row>
    <row r="32" spans="1:7" ht="12.95" customHeight="1" x14ac:dyDescent="0.2">
      <c r="A32" s="16"/>
      <c r="B32" s="24" t="s">
        <v>264</v>
      </c>
      <c r="C32" s="22" t="s">
        <v>265</v>
      </c>
      <c r="D32" s="22" t="s">
        <v>249</v>
      </c>
      <c r="E32" s="25">
        <v>5569</v>
      </c>
      <c r="F32" s="26">
        <v>45.807904200000003</v>
      </c>
      <c r="G32" s="27">
        <v>2.8360325367603807E-2</v>
      </c>
    </row>
    <row r="33" spans="1:7" ht="12.95" customHeight="1" x14ac:dyDescent="0.2">
      <c r="A33" s="16"/>
      <c r="B33" s="24" t="s">
        <v>266</v>
      </c>
      <c r="C33" s="22" t="s">
        <v>267</v>
      </c>
      <c r="D33" s="22" t="s">
        <v>246</v>
      </c>
      <c r="E33" s="25">
        <v>5110</v>
      </c>
      <c r="F33" s="26">
        <v>44.953792200000002</v>
      </c>
      <c r="G33" s="27">
        <v>2.7831532473813772E-2</v>
      </c>
    </row>
    <row r="34" spans="1:7" ht="12.95" customHeight="1" x14ac:dyDescent="0.2">
      <c r="A34" s="16"/>
      <c r="B34" s="24" t="s">
        <v>268</v>
      </c>
      <c r="C34" s="22" t="s">
        <v>269</v>
      </c>
      <c r="D34" s="22" t="s">
        <v>270</v>
      </c>
      <c r="E34" s="25">
        <v>475</v>
      </c>
      <c r="F34" s="26">
        <v>40.396374999999999</v>
      </c>
      <c r="G34" s="27">
        <v>2.5009970630172081E-2</v>
      </c>
    </row>
    <row r="35" spans="1:7" ht="12.95" customHeight="1" x14ac:dyDescent="0.2">
      <c r="A35" s="16"/>
      <c r="B35" s="24" t="s">
        <v>281</v>
      </c>
      <c r="C35" s="22" t="s">
        <v>282</v>
      </c>
      <c r="D35" s="22" t="s">
        <v>283</v>
      </c>
      <c r="E35" s="25">
        <v>16000</v>
      </c>
      <c r="F35" s="26">
        <v>30.470054399999999</v>
      </c>
      <c r="G35" s="27">
        <v>1.8864444288472556E-2</v>
      </c>
    </row>
    <row r="36" spans="1:7" ht="12.95" customHeight="1" x14ac:dyDescent="0.2">
      <c r="A36" s="16"/>
      <c r="B36" s="24" t="s">
        <v>284</v>
      </c>
      <c r="C36" s="22" t="s">
        <v>285</v>
      </c>
      <c r="D36" s="22" t="s">
        <v>246</v>
      </c>
      <c r="E36" s="25">
        <v>6015</v>
      </c>
      <c r="F36" s="26">
        <v>30.177146700000002</v>
      </c>
      <c r="G36" s="27">
        <v>1.8683100963128359E-2</v>
      </c>
    </row>
    <row r="37" spans="1:7" ht="12.95" customHeight="1" x14ac:dyDescent="0.2">
      <c r="A37" s="16"/>
      <c r="B37" s="24" t="s">
        <v>286</v>
      </c>
      <c r="C37" s="22" t="s">
        <v>287</v>
      </c>
      <c r="D37" s="22" t="s">
        <v>288</v>
      </c>
      <c r="E37" s="25">
        <v>4493</v>
      </c>
      <c r="F37" s="26">
        <v>27.416511499999999</v>
      </c>
      <c r="G37" s="27">
        <v>1.6973952425106836E-2</v>
      </c>
    </row>
    <row r="38" spans="1:7" ht="12.95" customHeight="1" x14ac:dyDescent="0.2">
      <c r="A38" s="16"/>
      <c r="B38" s="24" t="s">
        <v>291</v>
      </c>
      <c r="C38" s="22" t="s">
        <v>292</v>
      </c>
      <c r="D38" s="22" t="s">
        <v>254</v>
      </c>
      <c r="E38" s="25">
        <v>2100</v>
      </c>
      <c r="F38" s="26">
        <v>24.575044599999998</v>
      </c>
      <c r="G38" s="27">
        <v>1.5214759831325681E-2</v>
      </c>
    </row>
    <row r="39" spans="1:7" ht="12.95" customHeight="1" x14ac:dyDescent="0.2">
      <c r="A39" s="16"/>
      <c r="B39" s="24" t="s">
        <v>293</v>
      </c>
      <c r="C39" s="22" t="s">
        <v>294</v>
      </c>
      <c r="D39" s="22" t="s">
        <v>261</v>
      </c>
      <c r="E39" s="25">
        <v>8300</v>
      </c>
      <c r="F39" s="26">
        <v>22.999362300000001</v>
      </c>
      <c r="G39" s="27">
        <v>1.4239232496373424E-2</v>
      </c>
    </row>
    <row r="40" spans="1:7" ht="12.95" customHeight="1" x14ac:dyDescent="0.2">
      <c r="A40" s="16"/>
      <c r="B40" s="24" t="s">
        <v>295</v>
      </c>
      <c r="C40" s="22" t="s">
        <v>296</v>
      </c>
      <c r="D40" s="22" t="s">
        <v>246</v>
      </c>
      <c r="E40" s="25">
        <v>26000</v>
      </c>
      <c r="F40" s="26">
        <v>22.742796999999999</v>
      </c>
      <c r="G40" s="27">
        <v>1.4080389268046098E-2</v>
      </c>
    </row>
    <row r="41" spans="1:7" ht="12.95" customHeight="1" x14ac:dyDescent="0.2">
      <c r="A41" s="16"/>
      <c r="B41" s="24" t="s">
        <v>297</v>
      </c>
      <c r="C41" s="22" t="s">
        <v>298</v>
      </c>
      <c r="D41" s="22" t="s">
        <v>299</v>
      </c>
      <c r="E41" s="25">
        <v>3218</v>
      </c>
      <c r="F41" s="26">
        <v>21.964230499999999</v>
      </c>
      <c r="G41" s="27">
        <v>1.3598367668369497E-2</v>
      </c>
    </row>
    <row r="42" spans="1:7" ht="12.95" customHeight="1" x14ac:dyDescent="0.2">
      <c r="A42" s="16"/>
      <c r="B42" s="24" t="s">
        <v>300</v>
      </c>
      <c r="C42" s="22" t="s">
        <v>301</v>
      </c>
      <c r="D42" s="22" t="s">
        <v>302</v>
      </c>
      <c r="E42" s="25">
        <v>30000</v>
      </c>
      <c r="F42" s="26">
        <v>21.056100000000001</v>
      </c>
      <c r="G42" s="27">
        <v>1.3036131152509758E-2</v>
      </c>
    </row>
    <row r="43" spans="1:7" ht="12.95" customHeight="1" x14ac:dyDescent="0.2">
      <c r="A43" s="16"/>
      <c r="B43" s="24" t="s">
        <v>305</v>
      </c>
      <c r="C43" s="22" t="s">
        <v>306</v>
      </c>
      <c r="D43" s="22" t="s">
        <v>241</v>
      </c>
      <c r="E43" s="25">
        <v>16000</v>
      </c>
      <c r="F43" s="26">
        <v>19.676424999999998</v>
      </c>
      <c r="G43" s="27">
        <v>1.2181954726303627E-2</v>
      </c>
    </row>
    <row r="44" spans="1:7" ht="12.95" customHeight="1" x14ac:dyDescent="0.2">
      <c r="A44" s="16"/>
      <c r="B44" s="24" t="s">
        <v>307</v>
      </c>
      <c r="C44" s="22" t="s">
        <v>308</v>
      </c>
      <c r="D44" s="22" t="s">
        <v>302</v>
      </c>
      <c r="E44" s="25">
        <v>9000</v>
      </c>
      <c r="F44" s="26">
        <v>18.083525399999999</v>
      </c>
      <c r="G44" s="27">
        <v>1.1195767915907574E-2</v>
      </c>
    </row>
    <row r="45" spans="1:7" ht="12.95" customHeight="1" x14ac:dyDescent="0.2">
      <c r="A45" s="16"/>
      <c r="B45" s="24" t="s">
        <v>311</v>
      </c>
      <c r="C45" s="22" t="s">
        <v>312</v>
      </c>
      <c r="D45" s="22" t="s">
        <v>302</v>
      </c>
      <c r="E45" s="25">
        <v>16000</v>
      </c>
      <c r="F45" s="26">
        <v>9.6187248000000007</v>
      </c>
      <c r="G45" s="27">
        <v>5.9550894046237523E-3</v>
      </c>
    </row>
    <row r="46" spans="1:7" ht="12.95" customHeight="1" x14ac:dyDescent="0.2">
      <c r="A46" s="16"/>
      <c r="B46" s="24" t="s">
        <v>313</v>
      </c>
      <c r="C46" s="22" t="s">
        <v>314</v>
      </c>
      <c r="D46" s="22" t="s">
        <v>299</v>
      </c>
      <c r="E46" s="25">
        <v>51000</v>
      </c>
      <c r="F46" s="26">
        <v>7.6546327999999999</v>
      </c>
      <c r="G46" s="27">
        <v>4.7390920970693997E-3</v>
      </c>
    </row>
    <row r="47" spans="1:7" ht="12.95" customHeight="1" x14ac:dyDescent="0.2">
      <c r="A47" s="2"/>
      <c r="B47" s="21" t="s">
        <v>17</v>
      </c>
      <c r="C47" s="22" t="s">
        <v>1</v>
      </c>
      <c r="D47" s="22" t="s">
        <v>1</v>
      </c>
      <c r="E47" s="22" t="s">
        <v>1</v>
      </c>
      <c r="F47" s="28">
        <f>SUM(F24:F46)</f>
        <v>1141.4754777000003</v>
      </c>
      <c r="G47" s="29">
        <f>SUM(G24:G46)</f>
        <v>0.70670371221028239</v>
      </c>
    </row>
    <row r="48" spans="1:7" ht="12.95" customHeight="1" x14ac:dyDescent="0.2">
      <c r="A48" s="2"/>
      <c r="B48" s="21"/>
      <c r="C48" s="22"/>
      <c r="D48" s="22"/>
      <c r="E48" s="22"/>
      <c r="F48" s="28"/>
      <c r="G48" s="29"/>
    </row>
    <row r="49" spans="1:7" ht="12.95" customHeight="1" x14ac:dyDescent="0.2">
      <c r="A49" s="2"/>
      <c r="B49" s="21" t="s">
        <v>167</v>
      </c>
      <c r="C49" s="22" t="s">
        <v>1</v>
      </c>
      <c r="D49" s="22" t="s">
        <v>1</v>
      </c>
      <c r="E49" s="28" t="s">
        <v>168</v>
      </c>
      <c r="F49" s="28" t="s">
        <v>168</v>
      </c>
      <c r="G49" s="29" t="s">
        <v>168</v>
      </c>
    </row>
    <row r="50" spans="1:7" ht="12.95" customHeight="1" x14ac:dyDescent="0.2">
      <c r="A50" s="2"/>
      <c r="B50" s="21" t="s">
        <v>17</v>
      </c>
      <c r="C50" s="22" t="s">
        <v>1</v>
      </c>
      <c r="D50" s="22" t="s">
        <v>1</v>
      </c>
      <c r="E50" s="28" t="s">
        <v>168</v>
      </c>
      <c r="F50" s="28" t="s">
        <v>168</v>
      </c>
      <c r="G50" s="29" t="s">
        <v>168</v>
      </c>
    </row>
    <row r="51" spans="1:7" ht="12.95" customHeight="1" x14ac:dyDescent="0.2">
      <c r="A51" s="2"/>
      <c r="B51" s="21" t="s">
        <v>18</v>
      </c>
      <c r="C51" s="22" t="s">
        <v>1</v>
      </c>
      <c r="D51" s="22" t="s">
        <v>1</v>
      </c>
      <c r="E51" s="22" t="s">
        <v>1</v>
      </c>
      <c r="F51" s="28">
        <v>1602.0547776999999</v>
      </c>
      <c r="G51" s="29">
        <v>0.99185491119447877</v>
      </c>
    </row>
    <row r="52" spans="1:7" ht="12.95" customHeight="1" x14ac:dyDescent="0.2">
      <c r="A52" s="2"/>
      <c r="B52" s="21"/>
      <c r="C52" s="22"/>
      <c r="D52" s="22"/>
      <c r="E52" s="22"/>
      <c r="F52" s="28"/>
      <c r="G52" s="29"/>
    </row>
    <row r="53" spans="1:7" ht="12.95" customHeight="1" x14ac:dyDescent="0.2">
      <c r="A53" s="2"/>
      <c r="B53" s="68" t="s">
        <v>344</v>
      </c>
      <c r="C53" s="47"/>
      <c r="D53" s="22"/>
      <c r="E53" s="22"/>
      <c r="F53" s="46"/>
      <c r="G53" s="29"/>
    </row>
    <row r="54" spans="1:7" ht="12.95" customHeight="1" x14ac:dyDescent="0.2">
      <c r="A54" s="16"/>
      <c r="B54" s="67" t="s">
        <v>348</v>
      </c>
      <c r="C54" s="47"/>
      <c r="D54" s="22"/>
      <c r="E54" s="28" t="s">
        <v>168</v>
      </c>
      <c r="F54" s="46" t="s">
        <v>168</v>
      </c>
      <c r="G54" s="49" t="s">
        <v>168</v>
      </c>
    </row>
    <row r="55" spans="1:7" ht="12.95" customHeight="1" x14ac:dyDescent="0.2">
      <c r="A55" s="2"/>
      <c r="B55" s="67" t="s">
        <v>346</v>
      </c>
      <c r="C55" s="47"/>
      <c r="D55" s="22"/>
      <c r="E55" s="28" t="s">
        <v>168</v>
      </c>
      <c r="F55" s="46" t="s">
        <v>168</v>
      </c>
      <c r="G55" s="49" t="s">
        <v>168</v>
      </c>
    </row>
    <row r="56" spans="1:7" ht="12.95" customHeight="1" x14ac:dyDescent="0.2">
      <c r="A56" s="2"/>
      <c r="B56" s="67" t="s">
        <v>347</v>
      </c>
      <c r="C56" s="47"/>
      <c r="D56" s="22"/>
      <c r="E56" s="28" t="s">
        <v>168</v>
      </c>
      <c r="F56" s="46" t="s">
        <v>168</v>
      </c>
      <c r="G56" s="49" t="s">
        <v>168</v>
      </c>
    </row>
    <row r="57" spans="1:7" ht="12.95" customHeight="1" x14ac:dyDescent="0.2">
      <c r="A57" s="2"/>
      <c r="B57" s="67"/>
      <c r="C57" s="47"/>
      <c r="D57" s="22"/>
      <c r="E57" s="54"/>
      <c r="F57" s="46"/>
      <c r="G57" s="49"/>
    </row>
    <row r="58" spans="1:7" ht="12.95" customHeight="1" x14ac:dyDescent="0.2">
      <c r="A58" s="2"/>
      <c r="B58" s="21" t="s">
        <v>9</v>
      </c>
      <c r="C58" s="47"/>
      <c r="D58" s="22"/>
      <c r="E58" s="54"/>
      <c r="F58" s="46"/>
      <c r="G58" s="49"/>
    </row>
    <row r="59" spans="1:7" ht="12.95" customHeight="1" x14ac:dyDescent="0.2">
      <c r="A59" s="2"/>
      <c r="B59" s="21" t="s">
        <v>19</v>
      </c>
      <c r="C59" s="22" t="s">
        <v>1</v>
      </c>
      <c r="D59" s="22" t="s">
        <v>1</v>
      </c>
      <c r="E59" s="22" t="s">
        <v>1</v>
      </c>
      <c r="F59" s="30" t="s">
        <v>1</v>
      </c>
      <c r="G59" s="31" t="s">
        <v>1</v>
      </c>
    </row>
    <row r="60" spans="1:7" ht="12.95" customHeight="1" x14ac:dyDescent="0.2">
      <c r="A60" s="16"/>
      <c r="B60" s="24" t="s">
        <v>20</v>
      </c>
      <c r="C60" s="22" t="s">
        <v>1</v>
      </c>
      <c r="D60" s="22" t="s">
        <v>21</v>
      </c>
      <c r="E60" s="25"/>
      <c r="F60" s="26">
        <v>13.2081</v>
      </c>
      <c r="G60" s="27">
        <v>8.1773226701746353E-3</v>
      </c>
    </row>
    <row r="61" spans="1:7" ht="12.95" customHeight="1" x14ac:dyDescent="0.2">
      <c r="A61" s="2"/>
      <c r="B61" s="21" t="s">
        <v>17</v>
      </c>
      <c r="C61" s="22" t="s">
        <v>1</v>
      </c>
      <c r="D61" s="22" t="s">
        <v>1</v>
      </c>
      <c r="E61" s="22" t="s">
        <v>1</v>
      </c>
      <c r="F61" s="28">
        <v>13.2081</v>
      </c>
      <c r="G61" s="29">
        <v>8.1773226701746353E-3</v>
      </c>
    </row>
    <row r="62" spans="1:7" ht="12.95" customHeight="1" x14ac:dyDescent="0.2">
      <c r="A62" s="2"/>
      <c r="B62" s="21" t="s">
        <v>18</v>
      </c>
      <c r="C62" s="22" t="s">
        <v>1</v>
      </c>
      <c r="D62" s="22" t="s">
        <v>1</v>
      </c>
      <c r="E62" s="22" t="s">
        <v>1</v>
      </c>
      <c r="F62" s="28">
        <v>13.2081</v>
      </c>
      <c r="G62" s="29">
        <v>8.1773226701746353E-3</v>
      </c>
    </row>
    <row r="63" spans="1:7" ht="12.95" customHeight="1" x14ac:dyDescent="0.2">
      <c r="A63" s="2"/>
      <c r="B63" s="21"/>
      <c r="C63" s="22"/>
      <c r="D63" s="22"/>
      <c r="E63" s="22"/>
      <c r="F63" s="28"/>
      <c r="G63" s="29"/>
    </row>
    <row r="64" spans="1:7" ht="12.95" customHeight="1" x14ac:dyDescent="0.2">
      <c r="A64" s="2"/>
      <c r="B64" s="21" t="s">
        <v>234</v>
      </c>
      <c r="C64" s="22"/>
      <c r="D64" s="22"/>
      <c r="E64" s="22"/>
      <c r="F64" s="28"/>
      <c r="G64" s="29"/>
    </row>
    <row r="65" spans="1:7" ht="12.95" customHeight="1" thickBot="1" x14ac:dyDescent="0.25">
      <c r="A65" s="2"/>
      <c r="B65" s="32" t="s">
        <v>22</v>
      </c>
      <c r="C65" s="33" t="s">
        <v>1</v>
      </c>
      <c r="D65" s="33" t="s">
        <v>1</v>
      </c>
      <c r="E65" s="33" t="s">
        <v>1</v>
      </c>
      <c r="F65" s="34">
        <v>-5.2064486700000003E-2</v>
      </c>
      <c r="G65" s="35" t="s">
        <v>356</v>
      </c>
    </row>
    <row r="66" spans="1:7" ht="12.95" customHeight="1" thickTop="1" thickBot="1" x14ac:dyDescent="0.25">
      <c r="A66" s="2"/>
      <c r="B66" s="36" t="s">
        <v>23</v>
      </c>
      <c r="C66" s="37" t="s">
        <v>1</v>
      </c>
      <c r="D66" s="37" t="s">
        <v>1</v>
      </c>
      <c r="E66" s="37" t="s">
        <v>1</v>
      </c>
      <c r="F66" s="38">
        <v>1615.2108132133001</v>
      </c>
      <c r="G66" s="39">
        <v>1</v>
      </c>
    </row>
    <row r="67" spans="1:7" ht="12.95" customHeight="1" x14ac:dyDescent="0.2">
      <c r="A67" s="2"/>
      <c r="B67" s="5" t="s">
        <v>1</v>
      </c>
      <c r="C67" s="2"/>
      <c r="D67" s="2"/>
      <c r="E67" s="2"/>
      <c r="F67" s="2"/>
      <c r="G67" s="2"/>
    </row>
    <row r="68" spans="1:7" ht="12.95" customHeight="1" x14ac:dyDescent="0.2">
      <c r="A68" s="2"/>
      <c r="B68" s="5"/>
      <c r="C68" s="2"/>
      <c r="D68" s="2"/>
      <c r="E68" s="2"/>
      <c r="F68" s="2"/>
      <c r="G68" s="2"/>
    </row>
    <row r="69" spans="1:7" ht="12.95" customHeight="1" x14ac:dyDescent="0.2">
      <c r="A69" s="2"/>
      <c r="B69" s="40" t="s">
        <v>351</v>
      </c>
      <c r="C69" s="2"/>
      <c r="D69" s="2"/>
      <c r="E69" s="2"/>
      <c r="F69" s="2"/>
      <c r="G69" s="2"/>
    </row>
    <row r="70" spans="1:7" ht="12.95" customHeight="1" x14ac:dyDescent="0.2">
      <c r="A70" s="2"/>
      <c r="B70" s="40" t="s">
        <v>352</v>
      </c>
      <c r="C70" s="2"/>
      <c r="D70" s="2"/>
      <c r="E70" s="2"/>
      <c r="F70" s="2"/>
      <c r="G70" s="2"/>
    </row>
    <row r="71" spans="1:7" ht="12.95" customHeight="1" x14ac:dyDescent="0.2">
      <c r="A71" s="2"/>
      <c r="B71" s="40" t="s">
        <v>357</v>
      </c>
      <c r="C71" s="2"/>
      <c r="D71" s="2"/>
      <c r="E71" s="2"/>
      <c r="F71" s="2"/>
      <c r="G71" s="2"/>
    </row>
    <row r="72" spans="1:7" ht="13.5" thickBot="1" x14ac:dyDescent="0.25"/>
    <row r="73" spans="1:7" ht="13.5" thickBot="1" x14ac:dyDescent="0.25">
      <c r="B73" s="55" t="s">
        <v>361</v>
      </c>
      <c r="C73" s="56">
        <v>0.2555</v>
      </c>
    </row>
    <row r="74" spans="1:7" x14ac:dyDescent="0.2">
      <c r="B74" s="5" t="s">
        <v>362</v>
      </c>
      <c r="C74" s="5"/>
    </row>
  </sheetData>
  <sortState ref="A18:I40">
    <sortCondition descending="1" ref="G18:G40"/>
  </sortState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showGridLines="0" zoomScaleNormal="100" workbookViewId="0">
      <selection activeCell="C87" sqref="C87"/>
    </sheetView>
  </sheetViews>
  <sheetFormatPr defaultRowHeight="12.75" x14ac:dyDescent="0.2"/>
  <cols>
    <col min="1" max="1" width="11.42578125" style="3" bestFit="1" customWidth="1"/>
    <col min="2" max="2" width="50.42578125" style="3" bestFit="1" customWidth="1"/>
    <col min="3" max="3" width="18.140625" style="3" customWidth="1"/>
    <col min="4" max="4" width="21.140625" style="3" bestFit="1" customWidth="1"/>
    <col min="5" max="7" width="18.140625" style="3" customWidth="1"/>
    <col min="8" max="16384" width="9.140625" style="3"/>
  </cols>
  <sheetData>
    <row r="1" spans="1:7" ht="18.75" x14ac:dyDescent="0.2">
      <c r="A1" s="2"/>
      <c r="B1" s="88" t="s">
        <v>317</v>
      </c>
      <c r="C1" s="89"/>
      <c r="D1" s="89"/>
      <c r="E1" s="89"/>
      <c r="F1" s="89"/>
      <c r="G1" s="90"/>
    </row>
    <row r="2" spans="1:7" ht="12.95" customHeight="1" thickBot="1" x14ac:dyDescent="0.25">
      <c r="A2" s="2"/>
      <c r="B2" s="91" t="s">
        <v>363</v>
      </c>
      <c r="C2" s="92"/>
      <c r="D2" s="92"/>
      <c r="E2" s="92"/>
      <c r="F2" s="92"/>
      <c r="G2" s="93"/>
    </row>
    <row r="3" spans="1:7" ht="12.95" customHeight="1" x14ac:dyDescent="0.2">
      <c r="A3" s="2"/>
      <c r="B3" s="4"/>
      <c r="C3" s="4"/>
      <c r="D3" s="4"/>
      <c r="E3" s="4"/>
      <c r="F3" s="4"/>
      <c r="G3" s="4"/>
    </row>
    <row r="4" spans="1:7" ht="12.95" customHeight="1" thickBot="1" x14ac:dyDescent="0.25">
      <c r="A4" s="5"/>
      <c r="B4" s="40" t="s">
        <v>2</v>
      </c>
      <c r="C4" s="65"/>
      <c r="D4" s="65"/>
      <c r="E4" s="65"/>
      <c r="F4" s="65"/>
      <c r="G4" s="65"/>
    </row>
    <row r="5" spans="1:7" ht="27.95" customHeight="1" thickBot="1" x14ac:dyDescent="0.25">
      <c r="A5" s="2"/>
      <c r="B5" s="7" t="s">
        <v>3</v>
      </c>
      <c r="C5" s="8" t="s">
        <v>4</v>
      </c>
      <c r="D5" s="8" t="s">
        <v>354</v>
      </c>
      <c r="E5" s="8" t="s">
        <v>6</v>
      </c>
      <c r="F5" s="8" t="s">
        <v>7</v>
      </c>
      <c r="G5" s="9" t="s">
        <v>8</v>
      </c>
    </row>
    <row r="6" spans="1:7" ht="12.95" customHeight="1" x14ac:dyDescent="0.2">
      <c r="A6" s="2"/>
      <c r="B6" s="43" t="s">
        <v>28</v>
      </c>
      <c r="C6" s="44" t="s">
        <v>1</v>
      </c>
      <c r="D6" s="44" t="s">
        <v>1</v>
      </c>
      <c r="E6" s="44" t="s">
        <v>1</v>
      </c>
      <c r="F6" s="44" t="s">
        <v>1</v>
      </c>
      <c r="G6" s="45" t="s">
        <v>1</v>
      </c>
    </row>
    <row r="7" spans="1:7" ht="12.95" customHeight="1" x14ac:dyDescent="0.2">
      <c r="A7" s="2"/>
      <c r="B7" s="21" t="s">
        <v>29</v>
      </c>
      <c r="C7" s="22" t="s">
        <v>1</v>
      </c>
      <c r="D7" s="22" t="s">
        <v>1</v>
      </c>
      <c r="E7" s="22" t="s">
        <v>1</v>
      </c>
      <c r="F7" s="22" t="s">
        <v>1</v>
      </c>
      <c r="G7" s="23" t="s">
        <v>1</v>
      </c>
    </row>
    <row r="8" spans="1:7" ht="12.95" customHeight="1" x14ac:dyDescent="0.2">
      <c r="A8" s="16"/>
      <c r="B8" s="24" t="s">
        <v>318</v>
      </c>
      <c r="C8" s="22" t="s">
        <v>319</v>
      </c>
      <c r="D8" s="22" t="s">
        <v>32</v>
      </c>
      <c r="E8" s="25">
        <v>62453</v>
      </c>
      <c r="F8" s="26">
        <v>1881.7088900000001</v>
      </c>
      <c r="G8" s="27">
        <v>6.8853526413095875E-2</v>
      </c>
    </row>
    <row r="9" spans="1:7" ht="12.95" customHeight="1" x14ac:dyDescent="0.2">
      <c r="A9" s="16"/>
      <c r="B9" s="24" t="s">
        <v>39</v>
      </c>
      <c r="C9" s="22" t="s">
        <v>40</v>
      </c>
      <c r="D9" s="22" t="s">
        <v>41</v>
      </c>
      <c r="E9" s="25">
        <v>196000</v>
      </c>
      <c r="F9" s="26">
        <v>1731.954</v>
      </c>
      <c r="G9" s="27">
        <v>6.3373851884850826E-2</v>
      </c>
    </row>
    <row r="10" spans="1:7" ht="12.95" customHeight="1" x14ac:dyDescent="0.2">
      <c r="A10" s="16"/>
      <c r="B10" s="24" t="s">
        <v>170</v>
      </c>
      <c r="C10" s="22" t="s">
        <v>171</v>
      </c>
      <c r="D10" s="22" t="s">
        <v>71</v>
      </c>
      <c r="E10" s="25">
        <v>452000</v>
      </c>
      <c r="F10" s="26">
        <v>1538.6079999999999</v>
      </c>
      <c r="G10" s="27">
        <v>5.6299136986805977E-2</v>
      </c>
    </row>
    <row r="11" spans="1:7" ht="12.95" customHeight="1" x14ac:dyDescent="0.2">
      <c r="A11" s="16"/>
      <c r="B11" s="24" t="s">
        <v>182</v>
      </c>
      <c r="C11" s="22" t="s">
        <v>183</v>
      </c>
      <c r="D11" s="22" t="s">
        <v>66</v>
      </c>
      <c r="E11" s="25">
        <v>188275</v>
      </c>
      <c r="F11" s="26">
        <v>1438.8916875</v>
      </c>
      <c r="G11" s="27">
        <v>5.2650421825272527E-2</v>
      </c>
    </row>
    <row r="12" spans="1:7" ht="12.95" customHeight="1" x14ac:dyDescent="0.2">
      <c r="A12" s="16"/>
      <c r="B12" s="24" t="s">
        <v>242</v>
      </c>
      <c r="C12" s="22" t="s">
        <v>243</v>
      </c>
      <c r="D12" s="22" t="s">
        <v>60</v>
      </c>
      <c r="E12" s="25">
        <v>168900</v>
      </c>
      <c r="F12" s="26">
        <v>1389.0336</v>
      </c>
      <c r="G12" s="27">
        <v>5.0826066760134E-2</v>
      </c>
    </row>
    <row r="13" spans="1:7" ht="12.95" customHeight="1" x14ac:dyDescent="0.2">
      <c r="A13" s="16"/>
      <c r="B13" s="24" t="s">
        <v>320</v>
      </c>
      <c r="C13" s="22" t="s">
        <v>321</v>
      </c>
      <c r="D13" s="22" t="s">
        <v>41</v>
      </c>
      <c r="E13" s="25">
        <v>232000</v>
      </c>
      <c r="F13" s="26">
        <v>1375.876</v>
      </c>
      <c r="G13" s="27">
        <v>5.0344617602962327E-2</v>
      </c>
    </row>
    <row r="14" spans="1:7" ht="12.95" customHeight="1" x14ac:dyDescent="0.2">
      <c r="A14" s="16"/>
      <c r="B14" s="24" t="s">
        <v>322</v>
      </c>
      <c r="C14" s="22" t="s">
        <v>323</v>
      </c>
      <c r="D14" s="22" t="s">
        <v>32</v>
      </c>
      <c r="E14" s="25">
        <v>55700</v>
      </c>
      <c r="F14" s="26">
        <v>1073.7846</v>
      </c>
      <c r="G14" s="27">
        <v>3.9290804603721453E-2</v>
      </c>
    </row>
    <row r="15" spans="1:7" ht="12.95" customHeight="1" x14ac:dyDescent="0.2">
      <c r="A15" s="16"/>
      <c r="B15" s="24" t="s">
        <v>175</v>
      </c>
      <c r="C15" s="22" t="s">
        <v>176</v>
      </c>
      <c r="D15" s="22" t="s">
        <v>102</v>
      </c>
      <c r="E15" s="25">
        <v>311791</v>
      </c>
      <c r="F15" s="26">
        <v>993.52202150000005</v>
      </c>
      <c r="G15" s="27">
        <v>3.6353920158894854E-2</v>
      </c>
    </row>
    <row r="16" spans="1:7" ht="12.95" customHeight="1" x14ac:dyDescent="0.2">
      <c r="A16" s="16"/>
      <c r="B16" s="24" t="s">
        <v>56</v>
      </c>
      <c r="C16" s="22" t="s">
        <v>57</v>
      </c>
      <c r="D16" s="22" t="s">
        <v>35</v>
      </c>
      <c r="E16" s="25">
        <v>93120</v>
      </c>
      <c r="F16" s="26">
        <v>796.96752000000004</v>
      </c>
      <c r="G16" s="27">
        <v>2.9161803124977272E-2</v>
      </c>
    </row>
    <row r="17" spans="1:7" ht="12.95" customHeight="1" x14ac:dyDescent="0.2">
      <c r="A17" s="16"/>
      <c r="B17" s="24" t="s">
        <v>36</v>
      </c>
      <c r="C17" s="22" t="s">
        <v>37</v>
      </c>
      <c r="D17" s="22" t="s">
        <v>38</v>
      </c>
      <c r="E17" s="25">
        <v>273429</v>
      </c>
      <c r="F17" s="26">
        <v>795.13153199999999</v>
      </c>
      <c r="G17" s="27">
        <v>2.9094622569619356E-2</v>
      </c>
    </row>
    <row r="18" spans="1:7" ht="12.95" customHeight="1" x14ac:dyDescent="0.2">
      <c r="A18" s="16"/>
      <c r="B18" s="24" t="s">
        <v>53</v>
      </c>
      <c r="C18" s="22" t="s">
        <v>54</v>
      </c>
      <c r="D18" s="22" t="s">
        <v>55</v>
      </c>
      <c r="E18" s="25">
        <v>320730</v>
      </c>
      <c r="F18" s="26">
        <v>732.86805000000004</v>
      </c>
      <c r="G18" s="27">
        <v>2.6816342265348531E-2</v>
      </c>
    </row>
    <row r="19" spans="1:7" ht="12.95" customHeight="1" x14ac:dyDescent="0.2">
      <c r="A19" s="16"/>
      <c r="B19" s="24" t="s">
        <v>324</v>
      </c>
      <c r="C19" s="22" t="s">
        <v>325</v>
      </c>
      <c r="D19" s="22" t="s">
        <v>326</v>
      </c>
      <c r="E19" s="25">
        <v>83250</v>
      </c>
      <c r="F19" s="26">
        <v>656.63437499999998</v>
      </c>
      <c r="G19" s="27">
        <v>2.4026879249536417E-2</v>
      </c>
    </row>
    <row r="20" spans="1:7" ht="12.95" customHeight="1" x14ac:dyDescent="0.2">
      <c r="A20" s="16"/>
      <c r="B20" s="24" t="s">
        <v>187</v>
      </c>
      <c r="C20" s="22" t="s">
        <v>188</v>
      </c>
      <c r="D20" s="22" t="s">
        <v>179</v>
      </c>
      <c r="E20" s="25">
        <v>45600</v>
      </c>
      <c r="F20" s="26">
        <v>619.49879999999996</v>
      </c>
      <c r="G20" s="27">
        <v>2.2668053074182584E-2</v>
      </c>
    </row>
    <row r="21" spans="1:7" ht="12.95" customHeight="1" x14ac:dyDescent="0.2">
      <c r="A21" s="16"/>
      <c r="B21" s="24" t="s">
        <v>355</v>
      </c>
      <c r="C21" s="22" t="s">
        <v>178</v>
      </c>
      <c r="D21" s="22" t="s">
        <v>179</v>
      </c>
      <c r="E21" s="25">
        <v>366550</v>
      </c>
      <c r="F21" s="26">
        <v>600.04235000000006</v>
      </c>
      <c r="G21" s="27">
        <v>2.1956122976440378E-2</v>
      </c>
    </row>
    <row r="22" spans="1:7" ht="12.95" customHeight="1" x14ac:dyDescent="0.2">
      <c r="A22" s="16"/>
      <c r="B22" s="24" t="s">
        <v>42</v>
      </c>
      <c r="C22" s="22" t="s">
        <v>43</v>
      </c>
      <c r="D22" s="22" t="s">
        <v>35</v>
      </c>
      <c r="E22" s="25">
        <v>61106</v>
      </c>
      <c r="F22" s="26">
        <v>592.94207100000006</v>
      </c>
      <c r="G22" s="27">
        <v>2.1696316982928357E-2</v>
      </c>
    </row>
    <row r="23" spans="1:7" ht="12.95" customHeight="1" x14ac:dyDescent="0.2">
      <c r="A23" s="16"/>
      <c r="B23" s="24" t="s">
        <v>30</v>
      </c>
      <c r="C23" s="22" t="s">
        <v>31</v>
      </c>
      <c r="D23" s="22" t="s">
        <v>32</v>
      </c>
      <c r="E23" s="25">
        <v>41400</v>
      </c>
      <c r="F23" s="26">
        <v>553.00049999999999</v>
      </c>
      <c r="G23" s="27">
        <v>2.0234816732573987E-2</v>
      </c>
    </row>
    <row r="24" spans="1:7" ht="12.95" customHeight="1" x14ac:dyDescent="0.2">
      <c r="A24" s="16"/>
      <c r="B24" s="24" t="s">
        <v>327</v>
      </c>
      <c r="C24" s="22" t="s">
        <v>328</v>
      </c>
      <c r="D24" s="22" t="s">
        <v>35</v>
      </c>
      <c r="E24" s="25">
        <v>91200</v>
      </c>
      <c r="F24" s="26">
        <v>541.08960000000002</v>
      </c>
      <c r="G24" s="27">
        <v>1.9798985519726954E-2</v>
      </c>
    </row>
    <row r="25" spans="1:7" ht="12.95" customHeight="1" x14ac:dyDescent="0.2">
      <c r="A25" s="16"/>
      <c r="B25" s="24" t="s">
        <v>48</v>
      </c>
      <c r="C25" s="22" t="s">
        <v>49</v>
      </c>
      <c r="D25" s="22" t="s">
        <v>38</v>
      </c>
      <c r="E25" s="25">
        <v>232577</v>
      </c>
      <c r="F25" s="26">
        <v>534.8108115</v>
      </c>
      <c r="G25" s="27">
        <v>1.9569238648611841E-2</v>
      </c>
    </row>
    <row r="26" spans="1:7" ht="12.95" customHeight="1" x14ac:dyDescent="0.2">
      <c r="A26" s="16"/>
      <c r="B26" s="24" t="s">
        <v>180</v>
      </c>
      <c r="C26" s="22" t="s">
        <v>181</v>
      </c>
      <c r="D26" s="22" t="s">
        <v>71</v>
      </c>
      <c r="E26" s="25">
        <v>20600</v>
      </c>
      <c r="F26" s="26">
        <v>521.83920000000001</v>
      </c>
      <c r="G26" s="27">
        <v>1.9094594988382511E-2</v>
      </c>
    </row>
    <row r="27" spans="1:7" ht="12.95" customHeight="1" x14ac:dyDescent="0.2">
      <c r="A27" s="16"/>
      <c r="B27" s="24" t="s">
        <v>72</v>
      </c>
      <c r="C27" s="22" t="s">
        <v>73</v>
      </c>
      <c r="D27" s="22" t="s">
        <v>35</v>
      </c>
      <c r="E27" s="25">
        <v>70555</v>
      </c>
      <c r="F27" s="26">
        <v>479.56233500000002</v>
      </c>
      <c r="G27" s="27">
        <v>1.7547644099002176E-2</v>
      </c>
    </row>
    <row r="28" spans="1:7" ht="12.95" customHeight="1" x14ac:dyDescent="0.2">
      <c r="A28" s="16"/>
      <c r="B28" s="24" t="s">
        <v>50</v>
      </c>
      <c r="C28" s="22" t="s">
        <v>51</v>
      </c>
      <c r="D28" s="22" t="s">
        <v>52</v>
      </c>
      <c r="E28" s="25">
        <v>451789</v>
      </c>
      <c r="F28" s="26">
        <v>470.53824350000002</v>
      </c>
      <c r="G28" s="27">
        <v>1.7217443967753689E-2</v>
      </c>
    </row>
    <row r="29" spans="1:7" ht="12.95" customHeight="1" x14ac:dyDescent="0.2">
      <c r="A29" s="16"/>
      <c r="B29" s="24" t="s">
        <v>58</v>
      </c>
      <c r="C29" s="22" t="s">
        <v>59</v>
      </c>
      <c r="D29" s="22" t="s">
        <v>60</v>
      </c>
      <c r="E29" s="25">
        <v>239500</v>
      </c>
      <c r="F29" s="26">
        <v>460.19925000000001</v>
      </c>
      <c r="G29" s="27">
        <v>1.6839130315827924E-2</v>
      </c>
    </row>
    <row r="30" spans="1:7" ht="12.95" customHeight="1" x14ac:dyDescent="0.2">
      <c r="A30" s="16"/>
      <c r="B30" s="24" t="s">
        <v>329</v>
      </c>
      <c r="C30" s="22" t="s">
        <v>330</v>
      </c>
      <c r="D30" s="22" t="s">
        <v>41</v>
      </c>
      <c r="E30" s="25">
        <v>28100</v>
      </c>
      <c r="F30" s="26">
        <v>453.7869</v>
      </c>
      <c r="G30" s="27">
        <v>1.6604496301798784E-2</v>
      </c>
    </row>
    <row r="31" spans="1:7" ht="12.95" customHeight="1" x14ac:dyDescent="0.2">
      <c r="A31" s="16"/>
      <c r="B31" s="24" t="s">
        <v>250</v>
      </c>
      <c r="C31" s="22" t="s">
        <v>251</v>
      </c>
      <c r="D31" s="22" t="s">
        <v>99</v>
      </c>
      <c r="E31" s="25">
        <v>169096</v>
      </c>
      <c r="F31" s="26">
        <v>452.92363599999999</v>
      </c>
      <c r="G31" s="27">
        <v>1.6572908647118856E-2</v>
      </c>
    </row>
    <row r="32" spans="1:7" ht="12.95" customHeight="1" x14ac:dyDescent="0.2">
      <c r="A32" s="16"/>
      <c r="B32" s="24" t="s">
        <v>61</v>
      </c>
      <c r="C32" s="22" t="s">
        <v>62</v>
      </c>
      <c r="D32" s="22" t="s">
        <v>63</v>
      </c>
      <c r="E32" s="25">
        <v>35953</v>
      </c>
      <c r="F32" s="26">
        <v>446.60816599999998</v>
      </c>
      <c r="G32" s="27">
        <v>1.6341819564866543E-2</v>
      </c>
    </row>
    <row r="33" spans="1:7" ht="12.95" customHeight="1" x14ac:dyDescent="0.2">
      <c r="A33" s="16"/>
      <c r="B33" s="24" t="s">
        <v>289</v>
      </c>
      <c r="C33" s="22" t="s">
        <v>290</v>
      </c>
      <c r="D33" s="22" t="s">
        <v>99</v>
      </c>
      <c r="E33" s="25">
        <v>136000</v>
      </c>
      <c r="F33" s="26">
        <v>433.63600000000002</v>
      </c>
      <c r="G33" s="27">
        <v>1.5867155614952343E-2</v>
      </c>
    </row>
    <row r="34" spans="1:7" ht="12.95" customHeight="1" x14ac:dyDescent="0.2">
      <c r="A34" s="16"/>
      <c r="B34" s="24" t="s">
        <v>44</v>
      </c>
      <c r="C34" s="22" t="s">
        <v>45</v>
      </c>
      <c r="D34" s="22" t="s">
        <v>41</v>
      </c>
      <c r="E34" s="25">
        <v>145160</v>
      </c>
      <c r="F34" s="26">
        <v>413.12536</v>
      </c>
      <c r="G34" s="27">
        <v>1.5116651697744671E-2</v>
      </c>
    </row>
    <row r="35" spans="1:7" ht="12.95" customHeight="1" x14ac:dyDescent="0.2">
      <c r="A35" s="16"/>
      <c r="B35" s="24" t="s">
        <v>81</v>
      </c>
      <c r="C35" s="22" t="s">
        <v>82</v>
      </c>
      <c r="D35" s="22" t="s">
        <v>38</v>
      </c>
      <c r="E35" s="25">
        <v>314500</v>
      </c>
      <c r="F35" s="26">
        <v>406.80574999999999</v>
      </c>
      <c r="G35" s="27">
        <v>1.488541112893625E-2</v>
      </c>
    </row>
    <row r="36" spans="1:7" ht="12.95" customHeight="1" x14ac:dyDescent="0.2">
      <c r="A36" s="16"/>
      <c r="B36" s="24" t="s">
        <v>331</v>
      </c>
      <c r="C36" s="22" t="s">
        <v>332</v>
      </c>
      <c r="D36" s="22" t="s">
        <v>35</v>
      </c>
      <c r="E36" s="25">
        <v>82000</v>
      </c>
      <c r="F36" s="26">
        <v>354.65</v>
      </c>
      <c r="G36" s="27">
        <v>1.2976982397316756E-2</v>
      </c>
    </row>
    <row r="37" spans="1:7" ht="12.95" customHeight="1" x14ac:dyDescent="0.2">
      <c r="A37" s="16"/>
      <c r="B37" s="24" t="s">
        <v>92</v>
      </c>
      <c r="C37" s="22" t="s">
        <v>93</v>
      </c>
      <c r="D37" s="22" t="s">
        <v>94</v>
      </c>
      <c r="E37" s="25">
        <v>93850</v>
      </c>
      <c r="F37" s="26">
        <v>318.05765000000002</v>
      </c>
      <c r="G37" s="27">
        <v>1.1638033343809202E-2</v>
      </c>
    </row>
    <row r="38" spans="1:7" ht="12.95" customHeight="1" x14ac:dyDescent="0.2">
      <c r="A38" s="16"/>
      <c r="B38" s="24" t="s">
        <v>83</v>
      </c>
      <c r="C38" s="22" t="s">
        <v>84</v>
      </c>
      <c r="D38" s="22" t="s">
        <v>52</v>
      </c>
      <c r="E38" s="25">
        <v>226000</v>
      </c>
      <c r="F38" s="26">
        <v>311.99299999999999</v>
      </c>
      <c r="G38" s="27">
        <v>1.1416122005036082E-2</v>
      </c>
    </row>
    <row r="39" spans="1:7" ht="12.95" customHeight="1" x14ac:dyDescent="0.2">
      <c r="A39" s="16"/>
      <c r="B39" s="24" t="s">
        <v>130</v>
      </c>
      <c r="C39" s="22" t="s">
        <v>131</v>
      </c>
      <c r="D39" s="22" t="s">
        <v>41</v>
      </c>
      <c r="E39" s="25">
        <v>60700</v>
      </c>
      <c r="F39" s="26">
        <v>299.58485000000002</v>
      </c>
      <c r="G39" s="27">
        <v>1.0962095939525676E-2</v>
      </c>
    </row>
    <row r="40" spans="1:7" ht="12.95" customHeight="1" x14ac:dyDescent="0.2">
      <c r="A40" s="16"/>
      <c r="B40" s="24" t="s">
        <v>109</v>
      </c>
      <c r="C40" s="22" t="s">
        <v>110</v>
      </c>
      <c r="D40" s="22" t="s">
        <v>111</v>
      </c>
      <c r="E40" s="25">
        <v>151733</v>
      </c>
      <c r="F40" s="26">
        <v>284.5752415</v>
      </c>
      <c r="G40" s="27">
        <v>1.0412880021592175E-2</v>
      </c>
    </row>
    <row r="41" spans="1:7" ht="12.95" customHeight="1" x14ac:dyDescent="0.2">
      <c r="A41" s="16"/>
      <c r="B41" s="24" t="s">
        <v>95</v>
      </c>
      <c r="C41" s="22" t="s">
        <v>96</v>
      </c>
      <c r="D41" s="22" t="s">
        <v>71</v>
      </c>
      <c r="E41" s="25">
        <v>107300</v>
      </c>
      <c r="F41" s="26">
        <v>281.82344999999998</v>
      </c>
      <c r="G41" s="27">
        <v>1.0312189341043505E-2</v>
      </c>
    </row>
    <row r="42" spans="1:7" ht="12.95" customHeight="1" x14ac:dyDescent="0.2">
      <c r="A42" s="16"/>
      <c r="B42" s="24" t="s">
        <v>74</v>
      </c>
      <c r="C42" s="22" t="s">
        <v>75</v>
      </c>
      <c r="D42" s="22" t="s">
        <v>71</v>
      </c>
      <c r="E42" s="25">
        <v>10877</v>
      </c>
      <c r="F42" s="26">
        <v>277.64086350000002</v>
      </c>
      <c r="G42" s="27">
        <v>1.0159144504202239E-2</v>
      </c>
    </row>
    <row r="43" spans="1:7" ht="12.95" customHeight="1" x14ac:dyDescent="0.2">
      <c r="A43" s="16"/>
      <c r="B43" s="24" t="s">
        <v>76</v>
      </c>
      <c r="C43" s="22" t="s">
        <v>77</v>
      </c>
      <c r="D43" s="22" t="s">
        <v>35</v>
      </c>
      <c r="E43" s="25">
        <v>134000</v>
      </c>
      <c r="F43" s="26">
        <v>271.149</v>
      </c>
      <c r="G43" s="27">
        <v>9.9216010152263952E-3</v>
      </c>
    </row>
    <row r="44" spans="1:7" ht="12.95" customHeight="1" x14ac:dyDescent="0.2">
      <c r="A44" s="16"/>
      <c r="B44" s="24" t="s">
        <v>215</v>
      </c>
      <c r="C44" s="22" t="s">
        <v>216</v>
      </c>
      <c r="D44" s="22" t="s">
        <v>71</v>
      </c>
      <c r="E44" s="25">
        <v>21780</v>
      </c>
      <c r="F44" s="26">
        <v>270.05022000000002</v>
      </c>
      <c r="G44" s="27">
        <v>9.8813956050515083E-3</v>
      </c>
    </row>
    <row r="45" spans="1:7" ht="12.95" customHeight="1" x14ac:dyDescent="0.2">
      <c r="A45" s="16"/>
      <c r="B45" s="24" t="s">
        <v>112</v>
      </c>
      <c r="C45" s="22" t="s">
        <v>113</v>
      </c>
      <c r="D45" s="22" t="s">
        <v>32</v>
      </c>
      <c r="E45" s="25">
        <v>20197</v>
      </c>
      <c r="F45" s="26">
        <v>256.48170299999998</v>
      </c>
      <c r="G45" s="27">
        <v>9.3849106021847567E-3</v>
      </c>
    </row>
    <row r="46" spans="1:7" ht="12.95" customHeight="1" x14ac:dyDescent="0.2">
      <c r="A46" s="16"/>
      <c r="B46" s="24" t="s">
        <v>78</v>
      </c>
      <c r="C46" s="22" t="s">
        <v>79</v>
      </c>
      <c r="D46" s="22" t="s">
        <v>80</v>
      </c>
      <c r="E46" s="25">
        <v>104000</v>
      </c>
      <c r="F46" s="26">
        <v>247.416</v>
      </c>
      <c r="G46" s="27">
        <v>9.0531878663880523E-3</v>
      </c>
    </row>
    <row r="47" spans="1:7" ht="12.95" customHeight="1" x14ac:dyDescent="0.2">
      <c r="A47" s="16"/>
      <c r="B47" s="24" t="s">
        <v>274</v>
      </c>
      <c r="C47" s="22" t="s">
        <v>275</v>
      </c>
      <c r="D47" s="22" t="s">
        <v>276</v>
      </c>
      <c r="E47" s="25">
        <v>84400</v>
      </c>
      <c r="F47" s="26">
        <v>229.18819999999999</v>
      </c>
      <c r="G47" s="27">
        <v>8.3862152462222256E-3</v>
      </c>
    </row>
    <row r="48" spans="1:7" ht="12.95" customHeight="1" x14ac:dyDescent="0.2">
      <c r="A48" s="16"/>
      <c r="B48" s="24" t="s">
        <v>103</v>
      </c>
      <c r="C48" s="22" t="s">
        <v>104</v>
      </c>
      <c r="D48" s="22" t="s">
        <v>105</v>
      </c>
      <c r="E48" s="25">
        <v>701959</v>
      </c>
      <c r="F48" s="26">
        <v>228.48765449999999</v>
      </c>
      <c r="G48" s="27">
        <v>8.3605816169482379E-3</v>
      </c>
    </row>
    <row r="49" spans="1:7" ht="12.95" customHeight="1" x14ac:dyDescent="0.2">
      <c r="A49" s="16"/>
      <c r="B49" s="24" t="s">
        <v>333</v>
      </c>
      <c r="C49" s="22" t="s">
        <v>334</v>
      </c>
      <c r="D49" s="22" t="s">
        <v>35</v>
      </c>
      <c r="E49" s="25">
        <v>9139</v>
      </c>
      <c r="F49" s="26">
        <v>217.61329850000001</v>
      </c>
      <c r="G49" s="27">
        <v>7.9626785395644634E-3</v>
      </c>
    </row>
    <row r="50" spans="1:7" ht="12.95" customHeight="1" x14ac:dyDescent="0.2">
      <c r="A50" s="16"/>
      <c r="B50" s="24" t="s">
        <v>138</v>
      </c>
      <c r="C50" s="22" t="s">
        <v>139</v>
      </c>
      <c r="D50" s="22" t="s">
        <v>55</v>
      </c>
      <c r="E50" s="25">
        <v>239809</v>
      </c>
      <c r="F50" s="26">
        <v>210.43239750000001</v>
      </c>
      <c r="G50" s="27">
        <v>7.6999225100314751E-3</v>
      </c>
    </row>
    <row r="51" spans="1:7" ht="12.95" customHeight="1" x14ac:dyDescent="0.2">
      <c r="A51" s="16"/>
      <c r="B51" s="24" t="s">
        <v>149</v>
      </c>
      <c r="C51" s="22" t="s">
        <v>150</v>
      </c>
      <c r="D51" s="22" t="s">
        <v>151</v>
      </c>
      <c r="E51" s="25">
        <v>167500</v>
      </c>
      <c r="F51" s="26">
        <v>144.13374999999999</v>
      </c>
      <c r="G51" s="27">
        <v>5.2739916441823034E-3</v>
      </c>
    </row>
    <row r="52" spans="1:7" ht="12.95" customHeight="1" x14ac:dyDescent="0.2">
      <c r="A52" s="16"/>
      <c r="B52" s="24" t="s">
        <v>132</v>
      </c>
      <c r="C52" s="22" t="s">
        <v>133</v>
      </c>
      <c r="D52" s="22" t="s">
        <v>80</v>
      </c>
      <c r="E52" s="25">
        <v>146274</v>
      </c>
      <c r="F52" s="26">
        <v>135.30345</v>
      </c>
      <c r="G52" s="27">
        <v>4.9508825291025736E-3</v>
      </c>
    </row>
    <row r="53" spans="1:7" ht="12.95" customHeight="1" x14ac:dyDescent="0.2">
      <c r="A53" s="16"/>
      <c r="B53" s="24" t="s">
        <v>159</v>
      </c>
      <c r="C53" s="22" t="s">
        <v>160</v>
      </c>
      <c r="D53" s="22" t="s">
        <v>111</v>
      </c>
      <c r="E53" s="25">
        <v>392535</v>
      </c>
      <c r="F53" s="26">
        <v>106.376985</v>
      </c>
      <c r="G53" s="27">
        <v>3.8924355331302089E-3</v>
      </c>
    </row>
    <row r="54" spans="1:7" ht="12.95" customHeight="1" x14ac:dyDescent="0.2">
      <c r="A54" s="16"/>
      <c r="B54" s="24" t="s">
        <v>163</v>
      </c>
      <c r="C54" s="22" t="s">
        <v>164</v>
      </c>
      <c r="D54" s="22" t="s">
        <v>121</v>
      </c>
      <c r="E54" s="25">
        <v>44700</v>
      </c>
      <c r="F54" s="26">
        <v>103.7487</v>
      </c>
      <c r="G54" s="27">
        <v>3.7962640734371827E-3</v>
      </c>
    </row>
    <row r="55" spans="1:7" ht="12.95" customHeight="1" x14ac:dyDescent="0.2">
      <c r="A55" s="16"/>
      <c r="B55" s="24" t="s">
        <v>147</v>
      </c>
      <c r="C55" s="22" t="s">
        <v>148</v>
      </c>
      <c r="D55" s="22" t="s">
        <v>41</v>
      </c>
      <c r="E55" s="25">
        <v>145578</v>
      </c>
      <c r="F55" s="26">
        <v>98.119572000000005</v>
      </c>
      <c r="G55" s="27">
        <v>3.5902889008212436E-3</v>
      </c>
    </row>
    <row r="56" spans="1:7" ht="12.95" customHeight="1" x14ac:dyDescent="0.2">
      <c r="A56" s="16"/>
      <c r="B56" s="24" t="s">
        <v>157</v>
      </c>
      <c r="C56" s="22" t="s">
        <v>158</v>
      </c>
      <c r="D56" s="22" t="s">
        <v>38</v>
      </c>
      <c r="E56" s="25">
        <v>145500</v>
      </c>
      <c r="F56" s="26">
        <v>96.975750000000005</v>
      </c>
      <c r="G56" s="27">
        <v>3.5484353608250118E-3</v>
      </c>
    </row>
    <row r="57" spans="1:7" ht="12.95" customHeight="1" x14ac:dyDescent="0.2">
      <c r="A57" s="16"/>
      <c r="B57" s="24" t="s">
        <v>177</v>
      </c>
      <c r="C57" s="22" t="s">
        <v>335</v>
      </c>
      <c r="D57" s="22" t="s">
        <v>179</v>
      </c>
      <c r="E57" s="25">
        <v>26000</v>
      </c>
      <c r="F57" s="26">
        <v>86.45</v>
      </c>
      <c r="G57" s="27">
        <v>3.1632881101030129E-3</v>
      </c>
    </row>
    <row r="58" spans="1:7" ht="12.95" customHeight="1" x14ac:dyDescent="0.2">
      <c r="A58" s="16"/>
      <c r="B58" s="24" t="s">
        <v>152</v>
      </c>
      <c r="C58" s="22" t="s">
        <v>153</v>
      </c>
      <c r="D58" s="22" t="s">
        <v>66</v>
      </c>
      <c r="E58" s="25">
        <v>11000</v>
      </c>
      <c r="F58" s="26">
        <v>41.920999999999999</v>
      </c>
      <c r="G58" s="27">
        <v>1.5339294489719886E-3</v>
      </c>
    </row>
    <row r="59" spans="1:7" ht="12.95" customHeight="1" x14ac:dyDescent="0.2">
      <c r="A59" s="16"/>
      <c r="B59" s="24" t="s">
        <v>165</v>
      </c>
      <c r="C59" s="22" t="s">
        <v>166</v>
      </c>
      <c r="D59" s="22" t="s">
        <v>121</v>
      </c>
      <c r="E59" s="25">
        <v>17129</v>
      </c>
      <c r="F59" s="26">
        <v>26.181676499999998</v>
      </c>
      <c r="G59" s="27">
        <v>9.5801256188563877E-4</v>
      </c>
    </row>
    <row r="60" spans="1:7" ht="12.95" customHeight="1" x14ac:dyDescent="0.2">
      <c r="A60" s="16"/>
      <c r="B60" s="24" t="s">
        <v>336</v>
      </c>
      <c r="C60" s="22" t="s">
        <v>337</v>
      </c>
      <c r="D60" s="22" t="s">
        <v>66</v>
      </c>
      <c r="E60" s="25">
        <v>1925</v>
      </c>
      <c r="F60" s="26">
        <v>4.9597625000000001</v>
      </c>
      <c r="G60" s="27">
        <v>1.8148244933701324E-4</v>
      </c>
    </row>
    <row r="61" spans="1:7" ht="12.95" customHeight="1" x14ac:dyDescent="0.2">
      <c r="A61" s="16"/>
      <c r="B61" s="24" t="s">
        <v>338</v>
      </c>
      <c r="C61" s="22" t="s">
        <v>339</v>
      </c>
      <c r="D61" s="22" t="s">
        <v>94</v>
      </c>
      <c r="E61" s="25">
        <v>1514</v>
      </c>
      <c r="F61" s="26">
        <v>1.484477</v>
      </c>
      <c r="G61" s="27">
        <v>5.4318431970172242E-5</v>
      </c>
    </row>
    <row r="62" spans="1:7" ht="12.95" customHeight="1" x14ac:dyDescent="0.2">
      <c r="A62" s="2"/>
      <c r="B62" s="21" t="s">
        <v>17</v>
      </c>
      <c r="C62" s="22" t="s">
        <v>1</v>
      </c>
      <c r="D62" s="22" t="s">
        <v>1</v>
      </c>
      <c r="E62" s="22" t="s">
        <v>1</v>
      </c>
      <c r="F62" s="28">
        <v>27290.187900500001</v>
      </c>
      <c r="G62" s="29">
        <v>0.99857405330397631</v>
      </c>
    </row>
    <row r="63" spans="1:7" ht="12.95" customHeight="1" x14ac:dyDescent="0.2">
      <c r="A63" s="2"/>
      <c r="B63" s="21"/>
      <c r="C63" s="22"/>
      <c r="D63" s="22"/>
      <c r="E63" s="22"/>
      <c r="F63" s="28"/>
      <c r="G63" s="29"/>
    </row>
    <row r="64" spans="1:7" ht="12.95" customHeight="1" x14ac:dyDescent="0.2">
      <c r="A64" s="2"/>
      <c r="B64" s="21" t="s">
        <v>167</v>
      </c>
      <c r="C64" s="22" t="s">
        <v>1</v>
      </c>
      <c r="D64" s="22" t="s">
        <v>1</v>
      </c>
      <c r="E64" s="28" t="s">
        <v>168</v>
      </c>
      <c r="F64" s="28" t="s">
        <v>168</v>
      </c>
      <c r="G64" s="29" t="s">
        <v>168</v>
      </c>
    </row>
    <row r="65" spans="1:7" ht="12.95" customHeight="1" x14ac:dyDescent="0.2">
      <c r="A65" s="2"/>
      <c r="B65" s="21" t="s">
        <v>17</v>
      </c>
      <c r="C65" s="22" t="s">
        <v>1</v>
      </c>
      <c r="D65" s="22" t="s">
        <v>1</v>
      </c>
      <c r="E65" s="28" t="s">
        <v>168</v>
      </c>
      <c r="F65" s="28" t="s">
        <v>168</v>
      </c>
      <c r="G65" s="29" t="s">
        <v>168</v>
      </c>
    </row>
    <row r="66" spans="1:7" ht="12.95" customHeight="1" x14ac:dyDescent="0.2">
      <c r="A66" s="2"/>
      <c r="B66" s="21" t="s">
        <v>18</v>
      </c>
      <c r="C66" s="22" t="s">
        <v>1</v>
      </c>
      <c r="D66" s="22" t="s">
        <v>1</v>
      </c>
      <c r="E66" s="22" t="s">
        <v>1</v>
      </c>
      <c r="F66" s="28">
        <v>27290.187900500001</v>
      </c>
      <c r="G66" s="29">
        <v>0.99857405330397631</v>
      </c>
    </row>
    <row r="67" spans="1:7" ht="12.95" customHeight="1" x14ac:dyDescent="0.2">
      <c r="A67" s="2"/>
      <c r="B67" s="21"/>
      <c r="C67" s="22"/>
      <c r="D67" s="22"/>
      <c r="E67" s="22"/>
      <c r="F67" s="28"/>
      <c r="G67" s="29"/>
    </row>
    <row r="68" spans="1:7" ht="12.95" customHeight="1" x14ac:dyDescent="0.2">
      <c r="A68" s="2"/>
      <c r="B68" s="68" t="s">
        <v>344</v>
      </c>
      <c r="C68" s="47"/>
      <c r="D68" s="22"/>
      <c r="E68" s="22"/>
      <c r="F68" s="46"/>
      <c r="G68" s="29"/>
    </row>
    <row r="69" spans="1:7" ht="12.95" customHeight="1" x14ac:dyDescent="0.2">
      <c r="A69" s="16"/>
      <c r="B69" s="67" t="s">
        <v>348</v>
      </c>
      <c r="C69" s="47"/>
      <c r="D69" s="22"/>
      <c r="E69" s="28" t="s">
        <v>168</v>
      </c>
      <c r="F69" s="46" t="s">
        <v>168</v>
      </c>
      <c r="G69" s="49" t="s">
        <v>168</v>
      </c>
    </row>
    <row r="70" spans="1:7" ht="12.95" customHeight="1" x14ac:dyDescent="0.2">
      <c r="A70" s="2"/>
      <c r="B70" s="67" t="s">
        <v>346</v>
      </c>
      <c r="C70" s="47"/>
      <c r="D70" s="22"/>
      <c r="E70" s="28" t="s">
        <v>168</v>
      </c>
      <c r="F70" s="46" t="s">
        <v>168</v>
      </c>
      <c r="G70" s="49" t="s">
        <v>168</v>
      </c>
    </row>
    <row r="71" spans="1:7" ht="12.95" customHeight="1" x14ac:dyDescent="0.2">
      <c r="A71" s="2"/>
      <c r="B71" s="67" t="s">
        <v>347</v>
      </c>
      <c r="C71" s="47"/>
      <c r="D71" s="22"/>
      <c r="E71" s="28" t="s">
        <v>168</v>
      </c>
      <c r="F71" s="46" t="s">
        <v>168</v>
      </c>
      <c r="G71" s="49" t="s">
        <v>168</v>
      </c>
    </row>
    <row r="72" spans="1:7" ht="12.95" customHeight="1" x14ac:dyDescent="0.2">
      <c r="A72" s="2"/>
      <c r="B72" s="67"/>
      <c r="C72" s="47"/>
      <c r="D72" s="22"/>
      <c r="E72" s="54"/>
      <c r="F72" s="46"/>
      <c r="G72" s="49"/>
    </row>
    <row r="73" spans="1:7" ht="12.95" customHeight="1" x14ac:dyDescent="0.2">
      <c r="A73" s="2"/>
      <c r="B73" s="21" t="s">
        <v>9</v>
      </c>
      <c r="C73" s="47"/>
      <c r="D73" s="22"/>
      <c r="E73" s="54"/>
      <c r="F73" s="46"/>
      <c r="G73" s="49"/>
    </row>
    <row r="74" spans="1:7" ht="12.95" customHeight="1" x14ac:dyDescent="0.2">
      <c r="A74" s="2"/>
      <c r="B74" s="21" t="s">
        <v>19</v>
      </c>
      <c r="C74" s="22" t="s">
        <v>1</v>
      </c>
      <c r="D74" s="22" t="s">
        <v>1</v>
      </c>
      <c r="E74" s="22" t="s">
        <v>1</v>
      </c>
      <c r="F74" s="30" t="s">
        <v>1</v>
      </c>
      <c r="G74" s="31" t="s">
        <v>1</v>
      </c>
    </row>
    <row r="75" spans="1:7" ht="12.95" customHeight="1" x14ac:dyDescent="0.2">
      <c r="A75" s="16"/>
      <c r="B75" s="24" t="s">
        <v>20</v>
      </c>
      <c r="C75" s="22" t="s">
        <v>1</v>
      </c>
      <c r="D75" s="22" t="s">
        <v>21</v>
      </c>
      <c r="E75" s="25"/>
      <c r="F75" s="26">
        <v>69.08</v>
      </c>
      <c r="G75" s="27">
        <v>2.527703211635814E-3</v>
      </c>
    </row>
    <row r="76" spans="1:7" ht="12.95" customHeight="1" x14ac:dyDescent="0.2">
      <c r="A76" s="2"/>
      <c r="B76" s="21" t="s">
        <v>17</v>
      </c>
      <c r="C76" s="22" t="s">
        <v>1</v>
      </c>
      <c r="D76" s="22" t="s">
        <v>1</v>
      </c>
      <c r="E76" s="22" t="s">
        <v>1</v>
      </c>
      <c r="F76" s="28">
        <v>69.08</v>
      </c>
      <c r="G76" s="29">
        <v>2.527703211635814E-3</v>
      </c>
    </row>
    <row r="77" spans="1:7" ht="12.95" customHeight="1" x14ac:dyDescent="0.2">
      <c r="A77" s="2"/>
      <c r="B77" s="21" t="s">
        <v>18</v>
      </c>
      <c r="C77" s="22" t="s">
        <v>1</v>
      </c>
      <c r="D77" s="22" t="s">
        <v>1</v>
      </c>
      <c r="E77" s="22" t="s">
        <v>1</v>
      </c>
      <c r="F77" s="28">
        <v>69.08</v>
      </c>
      <c r="G77" s="29">
        <v>2.527703211635814E-3</v>
      </c>
    </row>
    <row r="78" spans="1:7" ht="12.95" customHeight="1" x14ac:dyDescent="0.2">
      <c r="A78" s="2"/>
      <c r="B78" s="21"/>
      <c r="C78" s="22"/>
      <c r="D78" s="22"/>
      <c r="E78" s="22"/>
      <c r="F78" s="28"/>
      <c r="G78" s="29"/>
    </row>
    <row r="79" spans="1:7" ht="12.95" customHeight="1" x14ac:dyDescent="0.2">
      <c r="A79" s="2"/>
      <c r="B79" s="21" t="s">
        <v>234</v>
      </c>
      <c r="C79" s="22"/>
      <c r="D79" s="22"/>
      <c r="E79" s="22"/>
      <c r="F79" s="28"/>
      <c r="G79" s="29"/>
    </row>
    <row r="80" spans="1:7" ht="12.95" customHeight="1" thickBot="1" x14ac:dyDescent="0.25">
      <c r="A80" s="2"/>
      <c r="B80" s="32" t="s">
        <v>22</v>
      </c>
      <c r="C80" s="33" t="s">
        <v>1</v>
      </c>
      <c r="D80" s="33" t="s">
        <v>1</v>
      </c>
      <c r="E80" s="33" t="s">
        <v>1</v>
      </c>
      <c r="F80" s="34">
        <v>-30.1100776975</v>
      </c>
      <c r="G80" s="35">
        <v>-1.1017565156121701E-3</v>
      </c>
    </row>
    <row r="81" spans="1:7" ht="12.95" customHeight="1" thickTop="1" thickBot="1" x14ac:dyDescent="0.25">
      <c r="A81" s="2"/>
      <c r="B81" s="36" t="s">
        <v>23</v>
      </c>
      <c r="C81" s="37" t="s">
        <v>1</v>
      </c>
      <c r="D81" s="37" t="s">
        <v>1</v>
      </c>
      <c r="E81" s="37" t="s">
        <v>1</v>
      </c>
      <c r="F81" s="38">
        <v>27329.157822802499</v>
      </c>
      <c r="G81" s="39">
        <v>1</v>
      </c>
    </row>
    <row r="82" spans="1:7" ht="12.95" customHeight="1" x14ac:dyDescent="0.2">
      <c r="A82" s="2"/>
      <c r="B82" s="5" t="s">
        <v>1</v>
      </c>
      <c r="C82" s="65"/>
      <c r="D82" s="65"/>
      <c r="E82" s="65"/>
      <c r="F82" s="65"/>
      <c r="G82" s="65"/>
    </row>
    <row r="83" spans="1:7" ht="12.95" customHeight="1" x14ac:dyDescent="0.2">
      <c r="A83" s="2"/>
      <c r="B83" s="5"/>
      <c r="C83" s="2"/>
      <c r="D83" s="2"/>
      <c r="E83" s="2"/>
      <c r="F83" s="2"/>
      <c r="G83" s="2"/>
    </row>
    <row r="84" spans="1:7" ht="12.95" customHeight="1" x14ac:dyDescent="0.2">
      <c r="A84" s="2"/>
      <c r="B84" s="40" t="s">
        <v>351</v>
      </c>
      <c r="C84" s="2"/>
      <c r="D84" s="2"/>
      <c r="E84" s="2"/>
      <c r="F84" s="2"/>
      <c r="G84" s="2"/>
    </row>
    <row r="85" spans="1:7" ht="12.95" customHeight="1" thickBot="1" x14ac:dyDescent="0.25">
      <c r="A85" s="2"/>
      <c r="B85" s="40" t="s">
        <v>1</v>
      </c>
      <c r="C85" s="2"/>
      <c r="D85" s="2"/>
      <c r="E85" s="2"/>
      <c r="F85" s="2"/>
      <c r="G85" s="2"/>
    </row>
    <row r="86" spans="1:7" ht="12.95" customHeight="1" thickBot="1" x14ac:dyDescent="0.25">
      <c r="A86" s="2"/>
      <c r="B86" s="55" t="s">
        <v>361</v>
      </c>
      <c r="C86" s="56">
        <v>0.52180000000000004</v>
      </c>
      <c r="D86" s="2"/>
      <c r="E86" s="2"/>
      <c r="F86" s="2"/>
      <c r="G86" s="2"/>
    </row>
    <row r="87" spans="1:7" x14ac:dyDescent="0.2">
      <c r="B87" s="5" t="s">
        <v>362</v>
      </c>
      <c r="C87" s="5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zoomScaleNormal="100" workbookViewId="0">
      <selection activeCell="D38" sqref="D38"/>
    </sheetView>
  </sheetViews>
  <sheetFormatPr defaultRowHeight="11.25" x14ac:dyDescent="0.15"/>
  <cols>
    <col min="1" max="1" width="11.42578125" style="75" bestFit="1" customWidth="1"/>
    <col min="2" max="2" width="50.85546875" style="75" bestFit="1" customWidth="1"/>
    <col min="3" max="5" width="15.5703125" style="75" customWidth="1"/>
    <col min="6" max="6" width="17.42578125" style="75" customWidth="1"/>
    <col min="7" max="7" width="15.5703125" style="75" customWidth="1"/>
    <col min="8" max="16384" width="9.140625" style="75"/>
  </cols>
  <sheetData>
    <row r="1" spans="1:7" ht="18" x14ac:dyDescent="0.15">
      <c r="A1" s="65"/>
      <c r="B1" s="94" t="s">
        <v>340</v>
      </c>
      <c r="C1" s="95"/>
      <c r="D1" s="95"/>
      <c r="E1" s="95"/>
      <c r="F1" s="95"/>
      <c r="G1" s="96"/>
    </row>
    <row r="2" spans="1:7" ht="12.95" customHeight="1" thickBot="1" x14ac:dyDescent="0.2">
      <c r="A2" s="65"/>
      <c r="B2" s="91" t="s">
        <v>366</v>
      </c>
      <c r="C2" s="92"/>
      <c r="D2" s="92"/>
      <c r="E2" s="92"/>
      <c r="F2" s="92"/>
      <c r="G2" s="93"/>
    </row>
    <row r="3" spans="1:7" ht="12.95" customHeight="1" x14ac:dyDescent="0.15">
      <c r="A3" s="65"/>
      <c r="B3" s="4"/>
      <c r="C3" s="4"/>
      <c r="D3" s="4"/>
      <c r="E3" s="4"/>
      <c r="F3" s="4"/>
      <c r="G3" s="4"/>
    </row>
    <row r="4" spans="1:7" ht="12.95" customHeight="1" thickBot="1" x14ac:dyDescent="0.2">
      <c r="A4" s="5"/>
      <c r="B4" s="40" t="s">
        <v>2</v>
      </c>
      <c r="C4" s="65"/>
      <c r="D4" s="65"/>
      <c r="E4" s="65"/>
      <c r="F4" s="65"/>
      <c r="G4" s="65"/>
    </row>
    <row r="5" spans="1:7" ht="23.25" thickBot="1" x14ac:dyDescent="0.2">
      <c r="A5" s="65"/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9" t="s">
        <v>8</v>
      </c>
    </row>
    <row r="6" spans="1:7" ht="12.95" customHeight="1" x14ac:dyDescent="0.15">
      <c r="A6" s="65"/>
      <c r="B6" s="80" t="s">
        <v>342</v>
      </c>
      <c r="C6" s="81"/>
      <c r="D6" s="10"/>
      <c r="E6" s="10"/>
      <c r="F6" s="82"/>
      <c r="G6" s="11"/>
    </row>
    <row r="7" spans="1:7" ht="12.95" customHeight="1" x14ac:dyDescent="0.15">
      <c r="A7" s="65"/>
      <c r="B7" s="67" t="s">
        <v>343</v>
      </c>
      <c r="C7" s="77"/>
      <c r="D7" s="13"/>
      <c r="E7" s="73" t="s">
        <v>168</v>
      </c>
      <c r="F7" s="73" t="s">
        <v>168</v>
      </c>
      <c r="G7" s="83" t="s">
        <v>168</v>
      </c>
    </row>
    <row r="8" spans="1:7" ht="12.95" customHeight="1" x14ac:dyDescent="0.15">
      <c r="A8" s="16"/>
      <c r="B8" s="67" t="s">
        <v>167</v>
      </c>
      <c r="C8" s="77"/>
      <c r="D8" s="13"/>
      <c r="E8" s="73" t="s">
        <v>168</v>
      </c>
      <c r="F8" s="73" t="s">
        <v>168</v>
      </c>
      <c r="G8" s="83" t="s">
        <v>168</v>
      </c>
    </row>
    <row r="9" spans="1:7" ht="12.95" customHeight="1" x14ac:dyDescent="0.15">
      <c r="A9" s="16"/>
      <c r="B9" s="52"/>
      <c r="C9" s="12"/>
      <c r="D9" s="13"/>
      <c r="E9" s="13"/>
      <c r="F9" s="74"/>
      <c r="G9" s="84"/>
    </row>
    <row r="10" spans="1:7" ht="12.95" customHeight="1" x14ac:dyDescent="0.15">
      <c r="A10" s="16"/>
      <c r="B10" s="68" t="s">
        <v>344</v>
      </c>
      <c r="C10" s="76"/>
      <c r="D10" s="13"/>
      <c r="E10" s="13"/>
      <c r="F10" s="74"/>
      <c r="G10" s="84"/>
    </row>
    <row r="11" spans="1:7" ht="12.95" customHeight="1" x14ac:dyDescent="0.15">
      <c r="A11" s="16"/>
      <c r="B11" s="67" t="s">
        <v>348</v>
      </c>
      <c r="C11" s="77"/>
      <c r="D11" s="13"/>
      <c r="E11" s="73" t="s">
        <v>168</v>
      </c>
      <c r="F11" s="73" t="s">
        <v>168</v>
      </c>
      <c r="G11" s="83" t="s">
        <v>168</v>
      </c>
    </row>
    <row r="12" spans="1:7" ht="12.95" customHeight="1" x14ac:dyDescent="0.15">
      <c r="A12" s="16"/>
      <c r="B12" s="67" t="s">
        <v>346</v>
      </c>
      <c r="C12" s="77"/>
      <c r="D12" s="13"/>
      <c r="E12" s="73" t="s">
        <v>168</v>
      </c>
      <c r="F12" s="73" t="s">
        <v>168</v>
      </c>
      <c r="G12" s="83" t="s">
        <v>168</v>
      </c>
    </row>
    <row r="13" spans="1:7" ht="12.95" customHeight="1" x14ac:dyDescent="0.15">
      <c r="A13" s="65"/>
      <c r="B13" s="67" t="s">
        <v>347</v>
      </c>
      <c r="C13" s="77"/>
      <c r="D13" s="13"/>
      <c r="E13" s="73" t="s">
        <v>168</v>
      </c>
      <c r="F13" s="73" t="s">
        <v>168</v>
      </c>
      <c r="G13" s="83" t="s">
        <v>168</v>
      </c>
    </row>
    <row r="14" spans="1:7" ht="12.95" customHeight="1" x14ac:dyDescent="0.15">
      <c r="A14" s="65"/>
      <c r="B14" s="67"/>
      <c r="C14" s="77"/>
      <c r="D14" s="13"/>
      <c r="E14" s="17"/>
      <c r="F14" s="73"/>
      <c r="G14" s="83"/>
    </row>
    <row r="15" spans="1:7" ht="12.95" customHeight="1" x14ac:dyDescent="0.15">
      <c r="A15" s="65"/>
      <c r="B15" s="21" t="s">
        <v>9</v>
      </c>
      <c r="C15" s="22" t="s">
        <v>1</v>
      </c>
      <c r="D15" s="22" t="s">
        <v>1</v>
      </c>
      <c r="E15" s="22" t="s">
        <v>1</v>
      </c>
      <c r="F15" s="22" t="s">
        <v>1</v>
      </c>
      <c r="G15" s="23" t="s">
        <v>1</v>
      </c>
    </row>
    <row r="16" spans="1:7" ht="12.95" customHeight="1" x14ac:dyDescent="0.15">
      <c r="A16" s="65"/>
      <c r="B16" s="21" t="s">
        <v>10</v>
      </c>
      <c r="C16" s="22" t="s">
        <v>1</v>
      </c>
      <c r="D16" s="22" t="s">
        <v>1</v>
      </c>
      <c r="E16" s="22" t="s">
        <v>1</v>
      </c>
      <c r="F16" s="22" t="s">
        <v>1</v>
      </c>
      <c r="G16" s="23" t="s">
        <v>1</v>
      </c>
    </row>
    <row r="17" spans="1:7" ht="12.95" customHeight="1" x14ac:dyDescent="0.15">
      <c r="A17" s="16"/>
      <c r="B17" s="24" t="s">
        <v>14</v>
      </c>
      <c r="C17" s="22" t="s">
        <v>15</v>
      </c>
      <c r="D17" s="22" t="s">
        <v>16</v>
      </c>
      <c r="E17" s="25">
        <v>100000</v>
      </c>
      <c r="F17" s="26">
        <v>99.243752999999998</v>
      </c>
      <c r="G17" s="27">
        <v>8.5586006337781143E-2</v>
      </c>
    </row>
    <row r="18" spans="1:7" ht="12.95" customHeight="1" x14ac:dyDescent="0.15">
      <c r="A18" s="65"/>
      <c r="B18" s="21" t="s">
        <v>17</v>
      </c>
      <c r="C18" s="22" t="s">
        <v>1</v>
      </c>
      <c r="D18" s="22" t="s">
        <v>1</v>
      </c>
      <c r="E18" s="22" t="s">
        <v>1</v>
      </c>
      <c r="F18" s="28">
        <v>99.243752999999998</v>
      </c>
      <c r="G18" s="29">
        <v>8.5586006337781143E-2</v>
      </c>
    </row>
    <row r="19" spans="1:7" ht="12.95" customHeight="1" x14ac:dyDescent="0.15">
      <c r="A19" s="65"/>
      <c r="B19" s="21" t="s">
        <v>18</v>
      </c>
      <c r="C19" s="22" t="s">
        <v>1</v>
      </c>
      <c r="D19" s="22" t="s">
        <v>1</v>
      </c>
      <c r="E19" s="22" t="s">
        <v>1</v>
      </c>
      <c r="F19" s="28">
        <v>99.243752999999998</v>
      </c>
      <c r="G19" s="29">
        <v>8.5586006337781143E-2</v>
      </c>
    </row>
    <row r="20" spans="1:7" ht="12.95" customHeight="1" x14ac:dyDescent="0.15">
      <c r="A20" s="65"/>
      <c r="B20" s="21"/>
      <c r="C20" s="22"/>
      <c r="D20" s="22"/>
      <c r="E20" s="22"/>
      <c r="F20" s="28"/>
      <c r="G20" s="29"/>
    </row>
    <row r="21" spans="1:7" ht="12.95" customHeight="1" x14ac:dyDescent="0.15">
      <c r="A21" s="65"/>
      <c r="B21" s="21" t="s">
        <v>19</v>
      </c>
      <c r="C21" s="22" t="s">
        <v>1</v>
      </c>
      <c r="D21" s="22" t="s">
        <v>1</v>
      </c>
      <c r="E21" s="22" t="s">
        <v>1</v>
      </c>
      <c r="F21" s="30" t="s">
        <v>1</v>
      </c>
      <c r="G21" s="31" t="s">
        <v>1</v>
      </c>
    </row>
    <row r="22" spans="1:7" ht="12.95" customHeight="1" x14ac:dyDescent="0.15">
      <c r="A22" s="16"/>
      <c r="B22" s="24" t="s">
        <v>20</v>
      </c>
      <c r="C22" s="22" t="s">
        <v>1</v>
      </c>
      <c r="D22" s="22" t="s">
        <v>21</v>
      </c>
      <c r="E22" s="25"/>
      <c r="F22" s="26">
        <v>1062.0879199999999</v>
      </c>
      <c r="G22" s="27">
        <v>0.91592529206750961</v>
      </c>
    </row>
    <row r="23" spans="1:7" ht="12.95" customHeight="1" x14ac:dyDescent="0.15">
      <c r="A23" s="65"/>
      <c r="B23" s="21" t="s">
        <v>17</v>
      </c>
      <c r="C23" s="22" t="s">
        <v>1</v>
      </c>
      <c r="D23" s="22" t="s">
        <v>1</v>
      </c>
      <c r="E23" s="22" t="s">
        <v>1</v>
      </c>
      <c r="F23" s="28">
        <v>1062.0879199999999</v>
      </c>
      <c r="G23" s="29">
        <v>0.91592529206750961</v>
      </c>
    </row>
    <row r="24" spans="1:7" ht="12.95" customHeight="1" x14ac:dyDescent="0.15">
      <c r="A24" s="65"/>
      <c r="B24" s="21" t="s">
        <v>18</v>
      </c>
      <c r="C24" s="22" t="s">
        <v>1</v>
      </c>
      <c r="D24" s="22" t="s">
        <v>1</v>
      </c>
      <c r="E24" s="22" t="s">
        <v>1</v>
      </c>
      <c r="F24" s="28">
        <v>1062.0879199999999</v>
      </c>
      <c r="G24" s="29">
        <v>0.91592529206750961</v>
      </c>
    </row>
    <row r="25" spans="1:7" ht="12.95" customHeight="1" x14ac:dyDescent="0.15">
      <c r="A25" s="65"/>
      <c r="B25" s="21"/>
      <c r="C25" s="22"/>
      <c r="D25" s="22"/>
      <c r="E25" s="22"/>
      <c r="F25" s="28"/>
      <c r="G25" s="29"/>
    </row>
    <row r="26" spans="1:7" ht="12.95" customHeight="1" x14ac:dyDescent="0.15">
      <c r="A26" s="65"/>
      <c r="B26" s="21" t="s">
        <v>234</v>
      </c>
      <c r="C26" s="22"/>
      <c r="D26" s="22"/>
      <c r="E26" s="22"/>
      <c r="F26" s="28"/>
      <c r="G26" s="29"/>
    </row>
    <row r="27" spans="1:7" ht="12.95" customHeight="1" thickBot="1" x14ac:dyDescent="0.2">
      <c r="A27" s="65"/>
      <c r="B27" s="32" t="s">
        <v>22</v>
      </c>
      <c r="C27" s="33" t="s">
        <v>1</v>
      </c>
      <c r="D27" s="33" t="s">
        <v>1</v>
      </c>
      <c r="E27" s="33" t="s">
        <v>1</v>
      </c>
      <c r="F27" s="34">
        <v>-1.7524702000000001</v>
      </c>
      <c r="G27" s="35">
        <v>-1.5112984052907852E-3</v>
      </c>
    </row>
    <row r="28" spans="1:7" ht="12.95" customHeight="1" thickTop="1" thickBot="1" x14ac:dyDescent="0.2">
      <c r="A28" s="65"/>
      <c r="B28" s="36" t="s">
        <v>23</v>
      </c>
      <c r="C28" s="37" t="s">
        <v>1</v>
      </c>
      <c r="D28" s="37" t="s">
        <v>1</v>
      </c>
      <c r="E28" s="37" t="s">
        <v>1</v>
      </c>
      <c r="F28" s="38">
        <v>1159.5792028000001</v>
      </c>
      <c r="G28" s="39">
        <v>1</v>
      </c>
    </row>
    <row r="29" spans="1:7" ht="12.95" customHeight="1" x14ac:dyDescent="0.15">
      <c r="A29" s="65"/>
      <c r="B29" s="5" t="s">
        <v>1</v>
      </c>
      <c r="C29" s="65"/>
      <c r="D29" s="65"/>
      <c r="E29" s="65"/>
      <c r="F29" s="65"/>
      <c r="G29" s="65"/>
    </row>
    <row r="30" spans="1:7" ht="12.95" customHeight="1" x14ac:dyDescent="0.15">
      <c r="A30" s="65"/>
      <c r="B30" s="40" t="s">
        <v>21</v>
      </c>
      <c r="C30" s="65"/>
      <c r="D30" s="65"/>
      <c r="E30" s="65"/>
      <c r="F30" s="65"/>
      <c r="G30" s="65"/>
    </row>
    <row r="31" spans="1:7" ht="12.95" customHeight="1" x14ac:dyDescent="0.15">
      <c r="A31" s="65"/>
      <c r="B31" s="40" t="s">
        <v>24</v>
      </c>
      <c r="C31" s="65"/>
      <c r="D31" s="65"/>
      <c r="E31" s="65"/>
      <c r="F31" s="65"/>
      <c r="G31" s="65"/>
    </row>
    <row r="32" spans="1:7" ht="12.95" customHeight="1" x14ac:dyDescent="0.15">
      <c r="A32" s="65"/>
      <c r="B32" s="40" t="s">
        <v>25</v>
      </c>
      <c r="C32" s="65"/>
      <c r="D32" s="65"/>
      <c r="E32" s="65"/>
      <c r="F32" s="65"/>
      <c r="G32" s="65"/>
    </row>
    <row r="33" spans="1:7" ht="12.95" customHeight="1" thickBot="1" x14ac:dyDescent="0.2">
      <c r="A33" s="65"/>
      <c r="B33" s="40" t="s">
        <v>1</v>
      </c>
      <c r="C33" s="65"/>
      <c r="D33" s="65"/>
      <c r="E33" s="65"/>
      <c r="F33" s="65"/>
      <c r="G33" s="65"/>
    </row>
    <row r="34" spans="1:7" ht="12.95" customHeight="1" thickBot="1" x14ac:dyDescent="0.2">
      <c r="A34" s="65"/>
      <c r="B34" s="41" t="s">
        <v>358</v>
      </c>
      <c r="C34" s="42">
        <v>2.46</v>
      </c>
      <c r="D34" s="65"/>
      <c r="E34" s="65"/>
      <c r="F34" s="65"/>
      <c r="G34" s="65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showGridLines="0" zoomScaleNormal="100" workbookViewId="0">
      <selection activeCell="A46" sqref="A46:A47"/>
    </sheetView>
  </sheetViews>
  <sheetFormatPr defaultRowHeight="11.25" x14ac:dyDescent="0.15"/>
  <cols>
    <col min="1" max="1" width="11.42578125" style="75" bestFit="1" customWidth="1"/>
    <col min="2" max="2" width="50.85546875" style="75" bestFit="1" customWidth="1"/>
    <col min="3" max="7" width="18.140625" style="75" customWidth="1"/>
    <col min="8" max="16384" width="9.140625" style="75"/>
  </cols>
  <sheetData>
    <row r="1" spans="1:7" ht="18" x14ac:dyDescent="0.15">
      <c r="A1" s="65"/>
      <c r="B1" s="94" t="s">
        <v>341</v>
      </c>
      <c r="C1" s="95"/>
      <c r="D1" s="95"/>
      <c r="E1" s="95"/>
      <c r="F1" s="95"/>
      <c r="G1" s="96"/>
    </row>
    <row r="2" spans="1:7" ht="12.95" customHeight="1" thickBot="1" x14ac:dyDescent="0.2">
      <c r="A2" s="65"/>
      <c r="B2" s="91" t="s">
        <v>367</v>
      </c>
      <c r="C2" s="92"/>
      <c r="D2" s="92"/>
      <c r="E2" s="92"/>
      <c r="F2" s="92"/>
      <c r="G2" s="93"/>
    </row>
    <row r="3" spans="1:7" ht="12.95" customHeight="1" x14ac:dyDescent="0.15">
      <c r="A3" s="65"/>
      <c r="B3" s="4"/>
      <c r="C3" s="4"/>
      <c r="D3" s="4"/>
      <c r="E3" s="4"/>
      <c r="F3" s="4"/>
      <c r="G3" s="4"/>
    </row>
    <row r="4" spans="1:7" ht="12.95" customHeight="1" thickBot="1" x14ac:dyDescent="0.2">
      <c r="A4" s="5"/>
      <c r="B4" s="40" t="s">
        <v>2</v>
      </c>
      <c r="C4" s="65"/>
      <c r="D4" s="65"/>
      <c r="E4" s="65"/>
      <c r="F4" s="65"/>
      <c r="G4" s="65"/>
    </row>
    <row r="5" spans="1:7" ht="27.95" customHeight="1" thickBot="1" x14ac:dyDescent="0.2">
      <c r="A5" s="65"/>
      <c r="B5" s="7" t="s">
        <v>3</v>
      </c>
      <c r="C5" s="8" t="s">
        <v>4</v>
      </c>
      <c r="D5" s="8" t="s">
        <v>233</v>
      </c>
      <c r="E5" s="8" t="s">
        <v>6</v>
      </c>
      <c r="F5" s="8" t="s">
        <v>7</v>
      </c>
      <c r="G5" s="9" t="s">
        <v>8</v>
      </c>
    </row>
    <row r="6" spans="1:7" ht="12.95" customHeight="1" x14ac:dyDescent="0.15">
      <c r="A6" s="65"/>
      <c r="B6" s="66" t="s">
        <v>342</v>
      </c>
      <c r="C6" s="78"/>
      <c r="D6" s="79"/>
      <c r="E6" s="79"/>
      <c r="F6" s="79"/>
      <c r="G6" s="85"/>
    </row>
    <row r="7" spans="1:7" ht="12.95" customHeight="1" x14ac:dyDescent="0.15">
      <c r="A7" s="16"/>
      <c r="B7" s="67" t="s">
        <v>343</v>
      </c>
      <c r="C7" s="77"/>
      <c r="D7" s="13"/>
      <c r="E7" s="86" t="s">
        <v>168</v>
      </c>
      <c r="F7" s="86" t="s">
        <v>168</v>
      </c>
      <c r="G7" s="15" t="s">
        <v>168</v>
      </c>
    </row>
    <row r="8" spans="1:7" ht="12.95" customHeight="1" x14ac:dyDescent="0.15">
      <c r="A8" s="65"/>
      <c r="B8" s="67" t="s">
        <v>167</v>
      </c>
      <c r="C8" s="77"/>
      <c r="D8" s="13"/>
      <c r="E8" s="86" t="s">
        <v>168</v>
      </c>
      <c r="F8" s="86" t="s">
        <v>168</v>
      </c>
      <c r="G8" s="15" t="s">
        <v>168</v>
      </c>
    </row>
    <row r="9" spans="1:7" ht="12.95" customHeight="1" x14ac:dyDescent="0.15">
      <c r="A9" s="65"/>
      <c r="B9" s="52"/>
      <c r="C9" s="12"/>
      <c r="D9" s="13"/>
      <c r="E9" s="13"/>
      <c r="F9" s="14"/>
      <c r="G9" s="20"/>
    </row>
    <row r="10" spans="1:7" ht="12.95" customHeight="1" x14ac:dyDescent="0.15">
      <c r="A10" s="65"/>
      <c r="B10" s="68" t="s">
        <v>344</v>
      </c>
      <c r="C10" s="76"/>
      <c r="D10" s="13"/>
      <c r="E10" s="13"/>
      <c r="F10" s="14"/>
      <c r="G10" s="20"/>
    </row>
    <row r="11" spans="1:7" ht="12.95" customHeight="1" x14ac:dyDescent="0.15">
      <c r="A11" s="65"/>
      <c r="B11" s="67" t="s">
        <v>345</v>
      </c>
      <c r="C11" s="77"/>
      <c r="D11" s="13"/>
      <c r="E11" s="86" t="s">
        <v>168</v>
      </c>
      <c r="F11" s="86" t="s">
        <v>168</v>
      </c>
      <c r="G11" s="15" t="s">
        <v>168</v>
      </c>
    </row>
    <row r="12" spans="1:7" ht="12.95" customHeight="1" x14ac:dyDescent="0.15">
      <c r="A12" s="65"/>
      <c r="B12" s="67" t="s">
        <v>346</v>
      </c>
      <c r="C12" s="77"/>
      <c r="D12" s="13"/>
      <c r="E12" s="86" t="s">
        <v>168</v>
      </c>
      <c r="F12" s="86" t="s">
        <v>168</v>
      </c>
      <c r="G12" s="15" t="s">
        <v>168</v>
      </c>
    </row>
    <row r="13" spans="1:7" ht="12.95" customHeight="1" x14ac:dyDescent="0.15">
      <c r="A13" s="65"/>
      <c r="B13" s="67" t="s">
        <v>347</v>
      </c>
      <c r="C13" s="77"/>
      <c r="D13" s="13"/>
      <c r="E13" s="86" t="s">
        <v>168</v>
      </c>
      <c r="F13" s="86" t="s">
        <v>168</v>
      </c>
      <c r="G13" s="15" t="s">
        <v>168</v>
      </c>
    </row>
    <row r="14" spans="1:7" ht="12.95" customHeight="1" x14ac:dyDescent="0.15">
      <c r="A14" s="65"/>
      <c r="B14" s="67"/>
      <c r="C14" s="77"/>
      <c r="D14" s="13"/>
      <c r="E14" s="17"/>
      <c r="F14" s="86"/>
      <c r="G14" s="15"/>
    </row>
    <row r="15" spans="1:7" ht="12.95" customHeight="1" x14ac:dyDescent="0.15">
      <c r="A15" s="65"/>
      <c r="B15" s="21" t="s">
        <v>9</v>
      </c>
      <c r="C15" s="77"/>
      <c r="D15" s="13"/>
      <c r="E15" s="17"/>
      <c r="F15" s="86"/>
      <c r="G15" s="15"/>
    </row>
    <row r="16" spans="1:7" ht="12.95" customHeight="1" x14ac:dyDescent="0.15">
      <c r="A16" s="65"/>
      <c r="B16" s="21" t="s">
        <v>19</v>
      </c>
      <c r="C16" s="22" t="s">
        <v>1</v>
      </c>
      <c r="D16" s="22" t="s">
        <v>1</v>
      </c>
      <c r="E16" s="22"/>
      <c r="F16" s="22" t="s">
        <v>1</v>
      </c>
      <c r="G16" s="23" t="s">
        <v>1</v>
      </c>
    </row>
    <row r="17" spans="1:7" ht="12.95" customHeight="1" x14ac:dyDescent="0.15">
      <c r="A17" s="16"/>
      <c r="B17" s="24" t="s">
        <v>20</v>
      </c>
      <c r="C17" s="22" t="s">
        <v>1</v>
      </c>
      <c r="D17" s="22" t="s">
        <v>21</v>
      </c>
      <c r="E17" s="25"/>
      <c r="F17" s="26">
        <v>657.22528</v>
      </c>
      <c r="G17" s="27">
        <v>1.0615851676104946</v>
      </c>
    </row>
    <row r="18" spans="1:7" ht="12.95" customHeight="1" x14ac:dyDescent="0.15">
      <c r="A18" s="65"/>
      <c r="B18" s="21" t="s">
        <v>17</v>
      </c>
      <c r="C18" s="22" t="s">
        <v>1</v>
      </c>
      <c r="D18" s="22" t="s">
        <v>1</v>
      </c>
      <c r="E18" s="22" t="s">
        <v>1</v>
      </c>
      <c r="F18" s="28">
        <v>657.22528</v>
      </c>
      <c r="G18" s="29">
        <v>1.0615851676104946</v>
      </c>
    </row>
    <row r="19" spans="1:7" ht="12.95" customHeight="1" x14ac:dyDescent="0.15">
      <c r="A19" s="65"/>
      <c r="B19" s="21" t="s">
        <v>18</v>
      </c>
      <c r="C19" s="22" t="s">
        <v>1</v>
      </c>
      <c r="D19" s="22" t="s">
        <v>1</v>
      </c>
      <c r="E19" s="22" t="s">
        <v>1</v>
      </c>
      <c r="F19" s="28">
        <v>657.22528</v>
      </c>
      <c r="G19" s="29">
        <v>1.0615851676104946</v>
      </c>
    </row>
    <row r="20" spans="1:7" ht="12.95" customHeight="1" x14ac:dyDescent="0.15">
      <c r="A20" s="65"/>
      <c r="B20" s="21"/>
      <c r="C20" s="22"/>
      <c r="D20" s="22"/>
      <c r="E20" s="22"/>
      <c r="F20" s="28"/>
      <c r="G20" s="29"/>
    </row>
    <row r="21" spans="1:7" ht="12.95" customHeight="1" x14ac:dyDescent="0.15">
      <c r="A21" s="65"/>
      <c r="B21" s="21" t="s">
        <v>234</v>
      </c>
      <c r="C21" s="22"/>
      <c r="D21" s="22"/>
      <c r="E21" s="22"/>
      <c r="F21" s="28"/>
      <c r="G21" s="29"/>
    </row>
    <row r="22" spans="1:7" ht="12.95" customHeight="1" thickBot="1" x14ac:dyDescent="0.2">
      <c r="A22" s="65"/>
      <c r="B22" s="32" t="s">
        <v>22</v>
      </c>
      <c r="C22" s="33" t="s">
        <v>1</v>
      </c>
      <c r="D22" s="33" t="s">
        <v>1</v>
      </c>
      <c r="E22" s="33" t="s">
        <v>1</v>
      </c>
      <c r="F22" s="34">
        <v>-38.127255599999998</v>
      </c>
      <c r="G22" s="35">
        <v>-6.1585167610494512E-2</v>
      </c>
    </row>
    <row r="23" spans="1:7" ht="12.95" customHeight="1" thickTop="1" thickBot="1" x14ac:dyDescent="0.2">
      <c r="A23" s="65"/>
      <c r="B23" s="36" t="s">
        <v>23</v>
      </c>
      <c r="C23" s="37" t="s">
        <v>1</v>
      </c>
      <c r="D23" s="37" t="s">
        <v>1</v>
      </c>
      <c r="E23" s="37" t="s">
        <v>1</v>
      </c>
      <c r="F23" s="38">
        <v>619.09802439999999</v>
      </c>
      <c r="G23" s="39">
        <v>1</v>
      </c>
    </row>
    <row r="24" spans="1:7" ht="12.95" customHeight="1" x14ac:dyDescent="0.15">
      <c r="A24" s="65"/>
      <c r="B24" s="5" t="s">
        <v>1</v>
      </c>
      <c r="C24" s="65"/>
      <c r="D24" s="65"/>
      <c r="E24" s="65"/>
      <c r="F24" s="65"/>
      <c r="G24" s="65"/>
    </row>
    <row r="25" spans="1:7" ht="12.95" customHeight="1" thickBot="1" x14ac:dyDescent="0.2">
      <c r="A25" s="65"/>
      <c r="B25" s="40" t="s">
        <v>21</v>
      </c>
      <c r="C25" s="65"/>
      <c r="D25" s="65"/>
      <c r="E25" s="65"/>
      <c r="F25" s="65"/>
      <c r="G25" s="65"/>
    </row>
    <row r="26" spans="1:7" ht="12.95" customHeight="1" thickBot="1" x14ac:dyDescent="0.2">
      <c r="A26" s="65"/>
      <c r="B26" s="41" t="s">
        <v>358</v>
      </c>
      <c r="C26" s="42">
        <v>1</v>
      </c>
      <c r="D26" s="65"/>
      <c r="E26" s="65"/>
      <c r="F26" s="65"/>
      <c r="G26" s="65"/>
    </row>
    <row r="27" spans="1:7" ht="12.95" customHeight="1" x14ac:dyDescent="0.15">
      <c r="A27" s="65"/>
      <c r="B27" s="40" t="s">
        <v>1</v>
      </c>
      <c r="C27" s="65"/>
      <c r="D27" s="65"/>
      <c r="E27" s="65"/>
      <c r="F27" s="65"/>
      <c r="G27" s="65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&amp;CFor internal use only</oddFooter>
    <evenFooter>&amp;CFor internal use only</evenFooter>
    <firstFooter>&amp;CFor internal use only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MACMF</vt:lpstr>
      <vt:lpstr>MAEBF</vt:lpstr>
      <vt:lpstr>MICCF</vt:lpstr>
      <vt:lpstr>MICHF</vt:lpstr>
      <vt:lpstr>MIGCS</vt:lpstr>
      <vt:lpstr>MIIOF</vt:lpstr>
      <vt:lpstr>MILPF</vt:lpstr>
      <vt:lpstr>MISTB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Arora</dc:creator>
  <cp:keywords>For internal use only</cp:keywords>
  <cp:lastModifiedBy>Sachin Shardul</cp:lastModifiedBy>
  <dcterms:created xsi:type="dcterms:W3CDTF">2013-10-03T13:32:50Z</dcterms:created>
  <dcterms:modified xsi:type="dcterms:W3CDTF">2013-10-09T11:23:55Z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d4c99615-aa91-4294-a27f-0d8ce1b51b23</vt:lpwstr>
  </property>
  <property fmtid="{D5CDD505-2E9C-101B-9397-08002B2CF9AE}" pid="3" name="aliashDocumentMarking">
    <vt:lpwstr>For internal use only//For internal use only//For internal use only</vt:lpwstr>
  </property>
  <property fmtid="{D5CDD505-2E9C-101B-9397-08002B2CF9AE}" pid="4" name="db.comClassification">
    <vt:lpwstr>For internal use only</vt:lpwstr>
  </property>
</Properties>
</file>