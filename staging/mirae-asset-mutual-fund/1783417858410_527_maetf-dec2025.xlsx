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monthly portfolio\"/>
    </mc:Choice>
  </mc:AlternateContent>
  <xr:revisionPtr revIDLastSave="0" documentId="8_{2C82838F-2E51-4BC0-8947-E8138649C15D}" xr6:coauthVersionLast="36" xr6:coauthVersionMax="36" xr10:uidLastSave="{00000000-0000-0000-0000-000000000000}"/>
  <bookViews>
    <workbookView xWindow="0" yWindow="0" windowWidth="19200" windowHeight="6850" xr2:uid="{69616C33-F16B-45AB-BC08-932F18B504C3}"/>
  </bookViews>
  <sheets>
    <sheet name="MAETF" sheetId="1" r:id="rId1"/>
  </sheets>
  <externalReferences>
    <externalReference r:id="rId2"/>
  </externalReferences>
  <definedNames>
    <definedName name="XDO_?AUM?20?">MAETF!$F$101</definedName>
    <definedName name="XDO_?AUM?87?">#REF!</definedName>
    <definedName name="XDO_?AUM?88?">#REF!</definedName>
    <definedName name="XDO_?AUM?89?">#REF!</definedName>
    <definedName name="XDO_?AUM?90?">#REF!</definedName>
    <definedName name="XDO_?AUM?91?">#REF!</definedName>
    <definedName name="XDO_?CLASS_3?20?">MAETF!$B$5:$B$72</definedName>
    <definedName name="XDO_?CLASS_3?87?">#REF!</definedName>
    <definedName name="XDO_?CLASS_3?88?">#REF!</definedName>
    <definedName name="XDO_?CLASS_3?89?">#REF!</definedName>
    <definedName name="XDO_?CLASS_3?90?">#REF!</definedName>
    <definedName name="XDO_?CLASS_3?91?">#REF!</definedName>
    <definedName name="XDO_?CLASS_4?261?">#REF!</definedName>
    <definedName name="XDO_?CLASS_4?262?">#REF!</definedName>
    <definedName name="XDO_?CLASS_4?263?">#REF!</definedName>
    <definedName name="XDO_?CLASS_4?264?">#REF!</definedName>
    <definedName name="XDO_?CLASS_4?265?">#REF!</definedName>
    <definedName name="XDO_?CLASS_4?266?">#REF!</definedName>
    <definedName name="XDO_?CLASS_4?267?">#REF!</definedName>
    <definedName name="XDO_?CLASS_4?268?">#REF!</definedName>
    <definedName name="XDO_?CLASS_4?269?">#REF!</definedName>
    <definedName name="XDO_?CLASS_4?270?">#REF!</definedName>
    <definedName name="XDO_?CLASS_4?65?">MAETF!$B$6:$B$72</definedName>
    <definedName name="XDO_?CLASS_4?66?">MAETF!$B$6:$B$80</definedName>
    <definedName name="XDO_?CLASS_4?67?">MAETF!$B$6:$B$93</definedName>
    <definedName name="XDO_?CLASS_4?68?">MAETF!$B$6:$B$98</definedName>
    <definedName name="XDO_?FINAL_ISIN?317?">#REF!</definedName>
    <definedName name="XDO_?FINAL_ISIN?318?">#REF!</definedName>
    <definedName name="XDO_?FINAL_ISIN?319?">#REF!</definedName>
    <definedName name="XDO_?FINAL_ISIN?320?">#REF!</definedName>
    <definedName name="XDO_?FINAL_ISIN?321?">#REF!</definedName>
    <definedName name="XDO_?FINAL_ISIN?322?">#REF!</definedName>
    <definedName name="XDO_?FINAL_ISIN?323?">#REF!</definedName>
    <definedName name="XDO_?FINAL_ISIN?324?">#REF!</definedName>
    <definedName name="XDO_?FINAL_ISIN?325?">#REF!</definedName>
    <definedName name="XDO_?FINAL_ISIN?326?">#REF!</definedName>
    <definedName name="XDO_?FINAL_ISIN?89?">MAETF!$C$7:$C$72</definedName>
    <definedName name="XDO_?FINAL_ISIN?90?">MAETF!$C$7:$C$80</definedName>
    <definedName name="XDO_?FINAL_ISIN?91?">MAETF!$C$7:$C$93</definedName>
    <definedName name="XDO_?FINAL_ISIN?92?">MAETF!$C$7:$C$98</definedName>
    <definedName name="XDO_?FINAL_MV?317?">#REF!</definedName>
    <definedName name="XDO_?FINAL_MV?318?">#REF!</definedName>
    <definedName name="XDO_?FINAL_MV?319?">#REF!</definedName>
    <definedName name="XDO_?FINAL_MV?320?">#REF!</definedName>
    <definedName name="XDO_?FINAL_MV?321?">#REF!</definedName>
    <definedName name="XDO_?FINAL_MV?322?">#REF!</definedName>
    <definedName name="XDO_?FINAL_MV?323?">#REF!</definedName>
    <definedName name="XDO_?FINAL_MV?324?">#REF!</definedName>
    <definedName name="XDO_?FINAL_MV?325?">#REF!</definedName>
    <definedName name="XDO_?FINAL_MV?326?">#REF!</definedName>
    <definedName name="XDO_?FINAL_MV?89?">MAETF!$F$7:$F$72</definedName>
    <definedName name="XDO_?FINAL_MV?90?">MAETF!$F$7:$F$80</definedName>
    <definedName name="XDO_?FINAL_MV?91?">MAETF!$F$7:$F$93</definedName>
    <definedName name="XDO_?FINAL_MV?92?">MAETF!$F$7:$F$98</definedName>
    <definedName name="XDO_?FINAL_NAME?317?">#REF!</definedName>
    <definedName name="XDO_?FINAL_NAME?318?">#REF!</definedName>
    <definedName name="XDO_?FINAL_NAME?319?">#REF!</definedName>
    <definedName name="XDO_?FINAL_NAME?320?">#REF!</definedName>
    <definedName name="XDO_?FINAL_NAME?321?">#REF!</definedName>
    <definedName name="XDO_?FINAL_NAME?322?">#REF!</definedName>
    <definedName name="XDO_?FINAL_NAME?323?">#REF!</definedName>
    <definedName name="XDO_?FINAL_NAME?324?">#REF!</definedName>
    <definedName name="XDO_?FINAL_NAME?325?">#REF!</definedName>
    <definedName name="XDO_?FINAL_NAME?326?">#REF!</definedName>
    <definedName name="XDO_?FINAL_NAME?89?">MAETF!$B$7:$B$72</definedName>
    <definedName name="XDO_?FINAL_NAME?90?">MAETF!$B$7:$B$80</definedName>
    <definedName name="XDO_?FINAL_NAME?91?">MAETF!$B$7:$B$93</definedName>
    <definedName name="XDO_?FINAL_NAME?92?">MAETF!$B$7:$B$98</definedName>
    <definedName name="XDO_?FINAL_PER_NET?317?">#REF!</definedName>
    <definedName name="XDO_?FINAL_PER_NET?318?">#REF!</definedName>
    <definedName name="XDO_?FINAL_PER_NET?319?">#REF!</definedName>
    <definedName name="XDO_?FINAL_PER_NET?320?">#REF!</definedName>
    <definedName name="XDO_?FINAL_PER_NET?321?">#REF!</definedName>
    <definedName name="XDO_?FINAL_PER_NET?322?">#REF!</definedName>
    <definedName name="XDO_?FINAL_PER_NET?323?">#REF!</definedName>
    <definedName name="XDO_?FINAL_PER_NET?324?">#REF!</definedName>
    <definedName name="XDO_?FINAL_PER_NET?325?">#REF!</definedName>
    <definedName name="XDO_?FINAL_PER_NET?326?">#REF!</definedName>
    <definedName name="XDO_?FINAL_PER_NET?89?">MAETF!$G$7:$G$72</definedName>
    <definedName name="XDO_?FINAL_PER_NET?90?">MAETF!$G$7:$G$80</definedName>
    <definedName name="XDO_?FINAL_PER_NET?91?">MAETF!$G$7:$G$93</definedName>
    <definedName name="XDO_?FINAL_PER_NET?92?">MAETF!$G$7:$G$98</definedName>
    <definedName name="XDO_?FINAL_QUANTITE?317?">#REF!</definedName>
    <definedName name="XDO_?FINAL_QUANTITE?318?">#REF!</definedName>
    <definedName name="XDO_?FINAL_QUANTITE?319?">#REF!</definedName>
    <definedName name="XDO_?FINAL_QUANTITE?320?">#REF!</definedName>
    <definedName name="XDO_?FINAL_QUANTITE?321?">#REF!</definedName>
    <definedName name="XDO_?FINAL_QUANTITE?322?">#REF!</definedName>
    <definedName name="XDO_?FINAL_QUANTITE?323?">#REF!</definedName>
    <definedName name="XDO_?FINAL_QUANTITE?324?">#REF!</definedName>
    <definedName name="XDO_?FINAL_QUANTITE?325?">#REF!</definedName>
    <definedName name="XDO_?FINAL_QUANTITE?326?">#REF!</definedName>
    <definedName name="XDO_?FINAL_QUANTITE?89?">MAETF!$E$7:$E$72</definedName>
    <definedName name="XDO_?FINAL_QUANTITE?90?">MAETF!$E$7:$E$80</definedName>
    <definedName name="XDO_?FINAL_QUANTITE?91?">MAETF!$E$7:$E$93</definedName>
    <definedName name="XDO_?FINAL_QUANTITE?92?">MAETF!$E$7:$E$98</definedName>
    <definedName name="XDO_?LONG_DESC?20?">MAETF!$B$1</definedName>
    <definedName name="XDO_?LONG_DESC?87?">#REF!</definedName>
    <definedName name="XDO_?LONG_DESC?88?">#REF!</definedName>
    <definedName name="XDO_?LONG_DESC?89?">#REF!</definedName>
    <definedName name="XDO_?LONG_DESC?90?">#REF!</definedName>
    <definedName name="XDO_?LONG_DESC?91?">#REF!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MAETF!#REF!</definedName>
    <definedName name="XDO_?NAMC?21?">[1]MASLF!#REF!</definedName>
    <definedName name="XDO_?NAMC?22?">#REF!</definedName>
    <definedName name="XDO_?NAMC?23?">#REF!</definedName>
    <definedName name="XDO_?NAMC?24?">[1]MAFTF!#REF!</definedName>
    <definedName name="XDO_?NAMC?25?">[1]MAFPF!#REF!</definedName>
    <definedName name="XDO_?NAMC?26?">[1]MANTF!#REF!</definedName>
    <definedName name="XDO_?NAMC?27?">#REF!</definedName>
    <definedName name="XDO_?NAMC?28?">[1]MATPF!#REF!</definedName>
    <definedName name="XDO_?NAMC?29?">[1]MASPF!#REF!</definedName>
    <definedName name="XDO_?NAMC?3?">#REF!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6?">#REF!</definedName>
    <definedName name="XDO_?NAMC?37?">[1]MAGEF!#REF!</definedName>
    <definedName name="XDO_?NAMC?38?">[1]MAAIF!#REF!</definedName>
    <definedName name="XDO_?NAMC?39?">[1]MACIF!#REF!</definedName>
    <definedName name="XDO_?NAMC?4?">#REF!</definedName>
    <definedName name="XDO_?NAMC?40?">[1]MANPF!#REF!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#REF!</definedName>
    <definedName name="XDO_?NAMC?88?">#REF!</definedName>
    <definedName name="XDO_?NAMC?89?">#REF!</definedName>
    <definedName name="XDO_?NAMC?9?">#REF!</definedName>
    <definedName name="XDO_?NAMC?90?">#REF!</definedName>
    <definedName name="XDO_?NAMC?91?">#REF!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MAETF!#REF!</definedName>
    <definedName name="XDO_?NDATE?21?">[1]MASLF!#REF!</definedName>
    <definedName name="XDO_?NDATE?22?">#REF!</definedName>
    <definedName name="XDO_?NDATE?23?">#REF!</definedName>
    <definedName name="XDO_?NDATE?24?">[1]MAFTF!#REF!</definedName>
    <definedName name="XDO_?NDATE?25?">[1]MAFPF!#REF!</definedName>
    <definedName name="XDO_?NDATE?26?">[1]MANTF!#REF!</definedName>
    <definedName name="XDO_?NDATE?27?">#REF!</definedName>
    <definedName name="XDO_?NDATE?28?">[1]MATPF!#REF!</definedName>
    <definedName name="XDO_?NDATE?29?">[1]MASPF!#REF!</definedName>
    <definedName name="XDO_?NDATE?3?">#REF!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6?">#REF!</definedName>
    <definedName name="XDO_?NDATE?37?">[1]MAGEF!#REF!</definedName>
    <definedName name="XDO_?NDATE?38?">[1]MAAIF!#REF!</definedName>
    <definedName name="XDO_?NDATE?39?">[1]MACIF!#REF!</definedName>
    <definedName name="XDO_?NDATE?4?">#REF!</definedName>
    <definedName name="XDO_?NDATE?40?">[1]MANPF!#REF!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#REF!</definedName>
    <definedName name="XDO_?NDATE?88?">#REF!</definedName>
    <definedName name="XDO_?NDATE?89?">#REF!</definedName>
    <definedName name="XDO_?NDATE?9?">#REF!</definedName>
    <definedName name="XDO_?NDATE?90?">#REF!</definedName>
    <definedName name="XDO_?NDATE?91?">#REF!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MAETF!#REF!</definedName>
    <definedName name="XDO_?NNPTF?21?">[1]MASLF!#REF!</definedName>
    <definedName name="XDO_?NNPTF?22?">#REF!</definedName>
    <definedName name="XDO_?NNPTF?23?">#REF!</definedName>
    <definedName name="XDO_?NNPTF?24?">[1]MAFTF!#REF!</definedName>
    <definedName name="XDO_?NNPTF?25?">[1]MAFPF!#REF!</definedName>
    <definedName name="XDO_?NNPTF?26?">[1]MANTF!#REF!</definedName>
    <definedName name="XDO_?NNPTF?27?">#REF!</definedName>
    <definedName name="XDO_?NNPTF?28?">[1]MATPF!#REF!</definedName>
    <definedName name="XDO_?NNPTF?29?">[1]MASPF!#REF!</definedName>
    <definedName name="XDO_?NNPTF?3?">#REF!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6?">#REF!</definedName>
    <definedName name="XDO_?NNPTF?37?">[1]MAGEF!#REF!</definedName>
    <definedName name="XDO_?NNPTF?38?">[1]MAAIF!#REF!</definedName>
    <definedName name="XDO_?NNPTF?39?">[1]MACIF!#REF!</definedName>
    <definedName name="XDO_?NNPTF?4?">#REF!</definedName>
    <definedName name="XDO_?NNPTF?40?">[1]MANPF!#REF!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#REF!</definedName>
    <definedName name="XDO_?NNPTF?88?">#REF!</definedName>
    <definedName name="XDO_?NNPTF?89?">#REF!</definedName>
    <definedName name="XDO_?NNPTF?9?">#REF!</definedName>
    <definedName name="XDO_?NNPTF?90?">#REF!</definedName>
    <definedName name="XDO_?NNPTF?91?">#REF!</definedName>
    <definedName name="XDO_?NOVAL?317?">#REF!</definedName>
    <definedName name="XDO_?NOVAL?318?">#REF!</definedName>
    <definedName name="XDO_?NOVAL?319?">#REF!</definedName>
    <definedName name="XDO_?NOVAL?320?">#REF!</definedName>
    <definedName name="XDO_?NOVAL?321?">#REF!</definedName>
    <definedName name="XDO_?NOVAL?322?">#REF!</definedName>
    <definedName name="XDO_?NOVAL?323?">#REF!</definedName>
    <definedName name="XDO_?NOVAL?324?">#REF!</definedName>
    <definedName name="XDO_?NOVAL?325?">#REF!</definedName>
    <definedName name="XDO_?NOVAL?326?">#REF!</definedName>
    <definedName name="XDO_?NOVAL?89?">MAETF!$A$7:$A$72</definedName>
    <definedName name="XDO_?NOVAL?90?">MAETF!$A$7:$A$80</definedName>
    <definedName name="XDO_?NOVAL?91?">MAETF!$A$7:$A$93</definedName>
    <definedName name="XDO_?NOVAL?92?">MAETF!$A$7:$A$98</definedName>
    <definedName name="XDO_?NPTF?20?">MAETF!$C$1</definedName>
    <definedName name="XDO_?NPTF?87?">#REF!</definedName>
    <definedName name="XDO_?NPTF?88?">#REF!</definedName>
    <definedName name="XDO_?NPTF?89?">#REF!</definedName>
    <definedName name="XDO_?NPTF?90?">#REF!</definedName>
    <definedName name="XDO_?NPTF?91?">#REF!</definedName>
    <definedName name="XDO_?RATING?317?">#REF!</definedName>
    <definedName name="XDO_?RATING?318?">#REF!</definedName>
    <definedName name="XDO_?RATING?319?">#REF!</definedName>
    <definedName name="XDO_?RATING?320?">#REF!</definedName>
    <definedName name="XDO_?RATING?321?">#REF!</definedName>
    <definedName name="XDO_?RATING?322?">#REF!</definedName>
    <definedName name="XDO_?RATING?323?">#REF!</definedName>
    <definedName name="XDO_?RATING?324?">#REF!</definedName>
    <definedName name="XDO_?RATING?325?">#REF!</definedName>
    <definedName name="XDO_?RATING?326?">#REF!</definedName>
    <definedName name="XDO_?RATING?89?">MAETF!$D$7:$D$72</definedName>
    <definedName name="XDO_?RATING?90?">MAETF!$D$7:$D$80</definedName>
    <definedName name="XDO_?RATING?91?">MAETF!$D$7:$D$93</definedName>
    <definedName name="XDO_?RATING?92?">MAETF!$D$7:$D$98</definedName>
    <definedName name="XDO_?TDATE?20?">MAETF!$E$1</definedName>
    <definedName name="XDO_?TDATE?87?">#REF!</definedName>
    <definedName name="XDO_?TDATE?88?">#REF!</definedName>
    <definedName name="XDO_?TDATE?89?">#REF!</definedName>
    <definedName name="XDO_?TDATE?90?">#REF!</definedName>
    <definedName name="XDO_?TDATE?91?">#REF!</definedName>
    <definedName name="XDO_?YTM?317?">#REF!</definedName>
    <definedName name="XDO_?YTM?318?">#REF!</definedName>
    <definedName name="XDO_?YTM?319?">#REF!</definedName>
    <definedName name="XDO_?YTM?320?">#REF!</definedName>
    <definedName name="XDO_?YTM?321?">#REF!</definedName>
    <definedName name="XDO_?YTM?322?">#REF!</definedName>
    <definedName name="XDO_?YTM?323?">#REF!</definedName>
    <definedName name="XDO_?YTM?324?">#REF!</definedName>
    <definedName name="XDO_?YTM?325?">#REF!</definedName>
    <definedName name="XDO_?YTM?326?">#REF!</definedName>
    <definedName name="XDO_?YTM?89?">MAETF!$H$7:$H$72</definedName>
    <definedName name="XDO_?YTM?90?">MAETF!$H$7:$H$80</definedName>
    <definedName name="XDO_?YTM?91?">MAETF!$H$7:$H$93</definedName>
    <definedName name="XDO_?YTM?92?">MAETF!$H$7:$H$98</definedName>
    <definedName name="XDO_GROUP_?G_3?20?">MAETF!$5:$100</definedName>
    <definedName name="XDO_GROUP_?G_3?87?">#REF!</definedName>
    <definedName name="XDO_GROUP_?G_3?88?">#REF!</definedName>
    <definedName name="XDO_GROUP_?G_3?89?">#REF!</definedName>
    <definedName name="XDO_GROUP_?G_3?90?">#REF!</definedName>
    <definedName name="XDO_GROUP_?G_3?91?">#REF!</definedName>
    <definedName name="XDO_GROUP_?G_4?261?">#REF!</definedName>
    <definedName name="XDO_GROUP_?G_4?262?">#REF!</definedName>
    <definedName name="XDO_GROUP_?G_4?263?">#REF!</definedName>
    <definedName name="XDO_GROUP_?G_4?264?">#REF!</definedName>
    <definedName name="XDO_GROUP_?G_4?265?">#REF!</definedName>
    <definedName name="XDO_GROUP_?G_4?266?">#REF!</definedName>
    <definedName name="XDO_GROUP_?G_4?267?">#REF!</definedName>
    <definedName name="XDO_GROUP_?G_4?268?">#REF!</definedName>
    <definedName name="XDO_GROUP_?G_4?269?">#REF!</definedName>
    <definedName name="XDO_GROUP_?G_4?270?">#REF!</definedName>
    <definedName name="XDO_GROUP_?G_4?65?">MAETF!$6:$73</definedName>
    <definedName name="XDO_GROUP_?G_4?66?">MAETF!$79:$81</definedName>
    <definedName name="XDO_GROUP_?G_4?67?">MAETF!$92:$94</definedName>
    <definedName name="XDO_GROUP_?G_4?68?">MAETF!$97:$98</definedName>
    <definedName name="XDO_GROUP_?G_5?317?">#REF!</definedName>
    <definedName name="XDO_GROUP_?G_5?318?">#REF!</definedName>
    <definedName name="XDO_GROUP_?G_5?319?">#REF!</definedName>
    <definedName name="XDO_GROUP_?G_5?320?">#REF!</definedName>
    <definedName name="XDO_GROUP_?G_5?321?">#REF!</definedName>
    <definedName name="XDO_GROUP_?G_5?322?">#REF!</definedName>
    <definedName name="XDO_GROUP_?G_5?323?">#REF!</definedName>
    <definedName name="XDO_GROUP_?G_5?324?">#REF!</definedName>
    <definedName name="XDO_GROUP_?G_5?325?">#REF!</definedName>
    <definedName name="XDO_GROUP_?G_5?326?">#REF!</definedName>
    <definedName name="XDO_GROUP_?G_5?89?">MAETF!$7:$72</definedName>
    <definedName name="XDO_GROUP_?G_5?90?">MAETF!$80:$80</definedName>
    <definedName name="XDO_GROUP_?G_5?91?">MAETF!$93:$93</definedName>
    <definedName name="XDO_GROUP_?G_5?92?">MAETF!$98:$98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8" i="1" l="1"/>
</calcChain>
</file>

<file path=xl/sharedStrings.xml><?xml version="1.0" encoding="utf-8"?>
<sst xmlns="http://schemas.openxmlformats.org/spreadsheetml/2006/main" count="274" uniqueCount="216">
  <si>
    <t>Mirae Asset Nifty 100 ESG Sector Leaders ETF</t>
  </si>
  <si>
    <t>(Exchange Traded Fund (ETF) - An open ended scheme replicating/tracking Nifty 100 ESG Sector Leaders Total Return Index)</t>
  </si>
  <si>
    <r>
      <rPr>
        <b/>
        <sz val="11"/>
        <color rgb="FF000000"/>
        <rFont val="Calibri"/>
      </rPr>
      <t xml:space="preserve">NSE Symbol: </t>
    </r>
    <r>
      <rPr>
        <sz val="11"/>
        <color rgb="FF000000"/>
        <rFont val="Calibri"/>
      </rPr>
      <t>ESG ,</t>
    </r>
    <r>
      <rPr>
        <b/>
        <sz val="11"/>
        <color rgb="FF000000"/>
        <rFont val="Calibri"/>
      </rPr>
      <t xml:space="preserve"> BSE Scrip Code: </t>
    </r>
    <r>
      <rPr>
        <sz val="11"/>
        <color rgb="FF000000"/>
        <rFont val="Calibri"/>
      </rPr>
      <t>543246</t>
    </r>
  </si>
  <si>
    <t>MI021</t>
  </si>
  <si>
    <t>Monthly Portfolio Statement as on December 31, 2025</t>
  </si>
  <si>
    <t>Name of the Instrument</t>
  </si>
  <si>
    <t>ISIN</t>
  </si>
  <si>
    <t>Industry ^/ Rating</t>
  </si>
  <si>
    <t>Quantity</t>
  </si>
  <si>
    <t>Market/Fair Value 
(Rs. in Lacs)</t>
  </si>
  <si>
    <t>% to Net Assets</t>
  </si>
  <si>
    <t>YTM</t>
  </si>
  <si>
    <t>ESG Score*</t>
  </si>
  <si>
    <t>EQUITY &amp; EQUITY RELATED</t>
  </si>
  <si>
    <t>(a) Listed / awaiting listing on Stock Exchanges</t>
  </si>
  <si>
    <t>Reliance Industries Ltd.</t>
  </si>
  <si>
    <t>INE002A01018</t>
  </si>
  <si>
    <t>Petroleum Products</t>
  </si>
  <si>
    <t>HDFC Bank Ltd.</t>
  </si>
  <si>
    <t>INE040A01034</t>
  </si>
  <si>
    <t>Banks</t>
  </si>
  <si>
    <t>ICICI Bank Ltd.</t>
  </si>
  <si>
    <t>INE090A01021</t>
  </si>
  <si>
    <t>Bharti Airtel Ltd.</t>
  </si>
  <si>
    <t>INE397D01024</t>
  </si>
  <si>
    <t>Telecom - Services</t>
  </si>
  <si>
    <t>Infosys Ltd.</t>
  </si>
  <si>
    <t>INE009A01021</t>
  </si>
  <si>
    <t>IT - Software</t>
  </si>
  <si>
    <t>Axis Bank Ltd.</t>
  </si>
  <si>
    <t>INE238A01034</t>
  </si>
  <si>
    <t>Mahindra &amp; Mahindra Ltd.</t>
  </si>
  <si>
    <t>INE101A01026</t>
  </si>
  <si>
    <t>Automobiles</t>
  </si>
  <si>
    <t>Tata Consultancy Services Ltd.</t>
  </si>
  <si>
    <t>INE467B01029</t>
  </si>
  <si>
    <t>Bajaj Finance Ltd.</t>
  </si>
  <si>
    <t>INE296A01032</t>
  </si>
  <si>
    <t>Finance</t>
  </si>
  <si>
    <t>Maruti Suzuki India Ltd.</t>
  </si>
  <si>
    <t>INE585B01010</t>
  </si>
  <si>
    <t>Hindustan Unilever Ltd.</t>
  </si>
  <si>
    <t>INE030A01027</t>
  </si>
  <si>
    <t>Diversified FMCG</t>
  </si>
  <si>
    <t>Eternal Ltd.</t>
  </si>
  <si>
    <t>INE758T01015</t>
  </si>
  <si>
    <t>Retailing</t>
  </si>
  <si>
    <t>HCL Technologies Ltd.</t>
  </si>
  <si>
    <t>INE860A01027</t>
  </si>
  <si>
    <t>Titan Company Ltd.</t>
  </si>
  <si>
    <t>INE280A01028</t>
  </si>
  <si>
    <t>Consumer Durables</t>
  </si>
  <si>
    <t>NTPC Ltd.</t>
  </si>
  <si>
    <t>INE733E01010</t>
  </si>
  <si>
    <t>Power</t>
  </si>
  <si>
    <t>Tata Steel Ltd.</t>
  </si>
  <si>
    <t>INE081A01020</t>
  </si>
  <si>
    <t>Ferrous Metals</t>
  </si>
  <si>
    <t>Ultratech Cement Ltd.</t>
  </si>
  <si>
    <t>INE481G01011</t>
  </si>
  <si>
    <t>Cement &amp; Cement Products</t>
  </si>
  <si>
    <t>Shriram Finance Ltd.</t>
  </si>
  <si>
    <t>INE721A01047</t>
  </si>
  <si>
    <t>Hindalco Industries Ltd.</t>
  </si>
  <si>
    <t>INE038A01020</t>
  </si>
  <si>
    <t>Non - Ferrous Metals</t>
  </si>
  <si>
    <t>Asian Paints Ltd.</t>
  </si>
  <si>
    <t>INE021A01026</t>
  </si>
  <si>
    <t>Power Grid Corporation of India Ltd.</t>
  </si>
  <si>
    <t>INE752E01010</t>
  </si>
  <si>
    <t>Grasim Industries Ltd.</t>
  </si>
  <si>
    <t>INE047A01021</t>
  </si>
  <si>
    <t>Adani Ports and Special Economic Zone Ltd.</t>
  </si>
  <si>
    <t>INE742F01042</t>
  </si>
  <si>
    <t>Transport Infrastructure</t>
  </si>
  <si>
    <t>Tech Mahindra Ltd.</t>
  </si>
  <si>
    <t>INE669C01036</t>
  </si>
  <si>
    <t>Jio Financial Services Ltd.</t>
  </si>
  <si>
    <t>INE758E01017</t>
  </si>
  <si>
    <t>Trent Ltd.</t>
  </si>
  <si>
    <t>INE849A01020</t>
  </si>
  <si>
    <t>Nestle India Ltd.</t>
  </si>
  <si>
    <t>INE239A01024</t>
  </si>
  <si>
    <t>Food Products</t>
  </si>
  <si>
    <t>SBI Life Insurance Co. Ltd.</t>
  </si>
  <si>
    <t>INE123W01016</t>
  </si>
  <si>
    <t>Insurance</t>
  </si>
  <si>
    <t>TVS Motor Company Ltd.</t>
  </si>
  <si>
    <t>INE494B01023</t>
  </si>
  <si>
    <t>Cipla Ltd.</t>
  </si>
  <si>
    <t>INE059A01026</t>
  </si>
  <si>
    <t>Pharmaceuticals &amp; Biotechnology</t>
  </si>
  <si>
    <t>HDFC Life Insurance Company Ltd.</t>
  </si>
  <si>
    <t>INE795G01014</t>
  </si>
  <si>
    <t>Max Healthcare Institute Ltd.</t>
  </si>
  <si>
    <t>INE027H01010</t>
  </si>
  <si>
    <t>Healthcare Services</t>
  </si>
  <si>
    <t>Wipro Ltd.</t>
  </si>
  <si>
    <t>INE075A01022</t>
  </si>
  <si>
    <t>Bharat Petroleum Corporation Ltd.</t>
  </si>
  <si>
    <t>INE029A01011</t>
  </si>
  <si>
    <t>Apollo Hospitals Enterprise Ltd.</t>
  </si>
  <si>
    <t>INE437A01024</t>
  </si>
  <si>
    <t>Cholamandalam Investment &amp; Finance Co. Ltd.</t>
  </si>
  <si>
    <t>INE121A01024</t>
  </si>
  <si>
    <t>Britannia Industries Ltd.</t>
  </si>
  <si>
    <t>INE216A01030</t>
  </si>
  <si>
    <t>Tata Power Company Ltd.</t>
  </si>
  <si>
    <t>INE245A01021</t>
  </si>
  <si>
    <t>Indian Oil Corporation Ltd.</t>
  </si>
  <si>
    <t>INE242A01010</t>
  </si>
  <si>
    <t>Adani Enterprises Ltd.</t>
  </si>
  <si>
    <t>INE423A01024</t>
  </si>
  <si>
    <t>Metals &amp; Minerals Trading</t>
  </si>
  <si>
    <t>Adani Power Ltd.</t>
  </si>
  <si>
    <t>INE814H01029</t>
  </si>
  <si>
    <t>LTIMindtree Ltd.</t>
  </si>
  <si>
    <t>INE214T01019</t>
  </si>
  <si>
    <t>Avenue Supermarts Ltd.</t>
  </si>
  <si>
    <t>INE192R01011</t>
  </si>
  <si>
    <t>Info Edge (India) Ltd.</t>
  </si>
  <si>
    <t>INE663F01032</t>
  </si>
  <si>
    <t>Power Finance Corporation Ltd.</t>
  </si>
  <si>
    <t>INE134E01011</t>
  </si>
  <si>
    <t>Godrej Consumer Products Ltd.</t>
  </si>
  <si>
    <t>INE102D01028</t>
  </si>
  <si>
    <t>Personal Products</t>
  </si>
  <si>
    <t>ICICI Lombard General Insurance Company Ltd.</t>
  </si>
  <si>
    <t>INE765G01017</t>
  </si>
  <si>
    <t>GAIL (India) Ltd.</t>
  </si>
  <si>
    <t>INE129A01019</t>
  </si>
  <si>
    <t>Gas</t>
  </si>
  <si>
    <t>Pidilite Industries Ltd.</t>
  </si>
  <si>
    <t>INE318A01026</t>
  </si>
  <si>
    <t>Chemicals &amp; Petrochemicals</t>
  </si>
  <si>
    <t>REC Ltd.</t>
  </si>
  <si>
    <t>INE020B01018</t>
  </si>
  <si>
    <t>CG Power and Industrial Solutions Ltd.</t>
  </si>
  <si>
    <t>INE067A01029</t>
  </si>
  <si>
    <t>Electrical Equipment</t>
  </si>
  <si>
    <t>DLF Ltd.</t>
  </si>
  <si>
    <t>INE271C01023</t>
  </si>
  <si>
    <t>Realty</t>
  </si>
  <si>
    <t>Torrent Pharmaceuticals Ltd.</t>
  </si>
  <si>
    <t>INE685A01028</t>
  </si>
  <si>
    <t>Havells India Ltd.</t>
  </si>
  <si>
    <t>INE176B01034</t>
  </si>
  <si>
    <t>Adani Energy Solutions Ltd.</t>
  </si>
  <si>
    <t>INE931S01010</t>
  </si>
  <si>
    <t>Shree Cement Ltd.</t>
  </si>
  <si>
    <t>INE070A01015</t>
  </si>
  <si>
    <t>Ambuja Cements Ltd.</t>
  </si>
  <si>
    <t>INE079A01024</t>
  </si>
  <si>
    <t>Hyundai Motor India Ltd.</t>
  </si>
  <si>
    <t>INE0V6F01027</t>
  </si>
  <si>
    <t>Adani Green Energy Ltd.</t>
  </si>
  <si>
    <t>INE364U01010</t>
  </si>
  <si>
    <t>Bosch Ltd.</t>
  </si>
  <si>
    <t>INE323A01026</t>
  </si>
  <si>
    <t>Auto Components</t>
  </si>
  <si>
    <t>ABB India Ltd.</t>
  </si>
  <si>
    <t>INE117A01022</t>
  </si>
  <si>
    <t>Siemens Ltd.</t>
  </si>
  <si>
    <t>INE003A01024</t>
  </si>
  <si>
    <t>Hindustan Zinc Ltd.</t>
  </si>
  <si>
    <t>INE267A01025</t>
  </si>
  <si>
    <t>JSW Energy Ltd.</t>
  </si>
  <si>
    <t>INE121E01018</t>
  </si>
  <si>
    <t>Bajaj Housing Finance Ltd.</t>
  </si>
  <si>
    <t>INE377Y01014</t>
  </si>
  <si>
    <t>Kwality Walls India Ltd. A**</t>
  </si>
  <si>
    <t>INE2KCE01013</t>
  </si>
  <si>
    <t>NaN</t>
  </si>
  <si>
    <t>Sub Total</t>
  </si>
  <si>
    <t>Weighted Average Fund Score</t>
  </si>
  <si>
    <t>(b) Unlisted</t>
  </si>
  <si>
    <t>NIL</t>
  </si>
  <si>
    <t>Total</t>
  </si>
  <si>
    <t>DEBT INSTRUMENTS</t>
  </si>
  <si>
    <t>(a) Listed / awaiting listing on Stock Exchange</t>
  </si>
  <si>
    <t>6% TVS Motor Company Ltd. NCRPS (MD 01/09/2026) A** $$</t>
  </si>
  <si>
    <t>INE494B04019</t>
  </si>
  <si>
    <t>CARE A1+</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</si>
  <si>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</si>
  <si>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</si>
  <si>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</si>
  <si>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</si>
  <si>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</si>
  <si>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</si>
  <si>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</si>
  <si>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</si>
  <si>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</si>
  <si>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</si>
  <si>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</si>
  <si>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</si>
  <si>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</si>
  <si>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A** Awaiting Listing</t>
  </si>
  <si>
    <t>$$ Non-Convertible Redeemable Preference shares</t>
  </si>
  <si>
    <t> Notes &amp; Symbols :-</t>
  </si>
  <si>
    <t>(1)  The provision made for below investment grade or default securities as of December 31 2025. is Rs. Nil and its percentage to Net Asset Value is Nil.</t>
  </si>
  <si>
    <t>(2)  Total value and percentage of Illiquid Equity Shares: Nil.</t>
  </si>
  <si>
    <t>(3)  Net Assets Value per unit (in Rupees) are as follows:</t>
  </si>
  <si>
    <t>Plan/Option</t>
  </si>
  <si>
    <t xml:space="preserve"> As on December 31 2025</t>
  </si>
  <si>
    <t xml:space="preserve"> As on November 28 2025</t>
  </si>
  <si>
    <t>Regular Plan - Growth Option</t>
  </si>
  <si>
    <t>(4)  No Income Distribution Cum Capital Withdrawal  was declared during the month ended December 31 2025.</t>
  </si>
  <si>
    <t>(5)  No Bonus declared during the month ended December 31 2025.</t>
  </si>
  <si>
    <t>(6)  Total outstanding exposure in derivative instruments as on December 31 2025.  is Nil.</t>
  </si>
  <si>
    <t>(7)  Total investments in Foreign Securities / Overseas ETFs / ADRs / GDRs as on December 31 2025. is Nil.</t>
  </si>
  <si>
    <t>(8)  During the period, the portfolio turnover ratio is 0.38 times.</t>
  </si>
  <si>
    <t>(9)  The Face Value per unit is Rs. 17.5/-</t>
  </si>
  <si>
    <t>(10) Investments in Fixed Deposits : Nil.</t>
  </si>
  <si>
    <t>(11) Repo in Corporate Debt is Nil.</t>
  </si>
  <si>
    <t xml:space="preserve">(12)Total value of short term deposit(s) : Nil </t>
  </si>
  <si>
    <t>*Note: This section contains information developed by Stakeholders Empowerment Services. Such information and data are proprietary of Stakeholders Empowerment Services and/or its third party suppliers (Third Party Data) and are provided for informational purposes only. They do not constitute an endorsement of any product or project, nor an investment advice and are not warranted to be complete, timely, accurate or suitable for a particular purpose. Their use is subject to conditions available at https://www.sesgovernance.com/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</si>
</sst>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14" x14ac:knownFonts="1">
    <font>
      <sz val="11"/>
      <color rgb="FF000000"/>
      <name val="Calibri"/>
      <scheme val="minor"/>
    </font>
    <font>
      <sz val="9"/>
      <color rgb="FF000000"/>
      <name val="Arial"/>
    </font>
    <font>
      <b/>
      <sz val="16"/>
      <color rgb="FF000000"/>
      <name val="Arial"/>
    </font>
    <font>
      <sz val="10"/>
      <color rgb="FF000000"/>
      <name val="Arial"/>
    </font>
    <font>
      <b/>
      <sz val="11"/>
      <color rgb="FF000000"/>
      <name val="Calibri"/>
    </font>
    <font>
      <sz val="11"/>
      <color rgb="FF000000"/>
      <name val="Calibri"/>
    </font>
    <font>
      <b/>
      <sz val="10"/>
      <color rgb="FF000000"/>
      <name val="Arial"/>
    </font>
    <font>
      <sz val="10"/>
      <color rgb="FFFFFFFF"/>
      <name val="Arial"/>
    </font>
    <font>
      <b/>
      <sz val="9"/>
      <color rgb="FF000000"/>
      <name val="Arial"/>
    </font>
    <font>
      <sz val="9"/>
      <color rgb="FFFFFFFF"/>
      <name val="Arial"/>
    </font>
    <font>
      <sz val="11"/>
      <color rgb="FF000000"/>
      <name val="Calibri"/>
      <family val="2"/>
      <scheme val="minor"/>
    </font>
    <font>
      <b/>
      <sz val="9"/>
      <color rgb="FF000000"/>
      <name val="Arial"/>
      <family val="2"/>
    </font>
    <font>
      <sz val="9"/>
      <color rgb="FF000000"/>
      <name val="Arial"/>
      <family val="2"/>
    </font>
    <font>
      <sz val="10"/>
      <color rgb="FF000000"/>
      <name val="Arial"/>
      <family val="2"/>
    </font>
  </fonts>
  <fills count="3">
    <fill>
      <patternFill patternType="none"/>
    </fill>
    <fill>
      <patternFill patternType="gray125"/>
    </fill>
    <fill>
      <patternFill patternType="solid">
        <fgColor rgb="FFFFFFFF"/>
        <bgColor rgb="FFFFFFFF"/>
      </patternFill>
    </fill>
  </fills>
  <borders count="3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2">
    <xf numFmtId="0" fontId="0" fillId="0" borderId="0"/>
    <xf numFmtId="0" fontId="10" fillId="0" borderId="0"/>
  </cellStyleXfs>
  <cellXfs count="102">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5" fontId="9"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10" fontId="11" fillId="0" borderId="7" xfId="1" applyNumberFormat="1" applyFont="1" applyBorder="1" applyAlignment="1">
      <alignment horizontal="center" vertical="top"/>
    </xf>
    <xf numFmtId="0" fontId="9" fillId="2" borderId="0" xfId="0" applyFont="1" applyFill="1" applyAlignment="1">
      <alignment vertical="top"/>
    </xf>
    <xf numFmtId="0" fontId="8" fillId="0" borderId="8" xfId="0" applyFont="1" applyBorder="1" applyAlignment="1">
      <alignment vertical="top"/>
    </xf>
    <xf numFmtId="0" fontId="1" fillId="0" borderId="9" xfId="0" applyFont="1" applyBorder="1" applyAlignment="1">
      <alignment vertical="top"/>
    </xf>
    <xf numFmtId="164" fontId="1" fillId="0" borderId="9" xfId="0" applyNumberFormat="1" applyFont="1" applyBorder="1" applyAlignment="1">
      <alignment vertical="top"/>
    </xf>
    <xf numFmtId="43" fontId="1" fillId="0" borderId="9" xfId="0" applyNumberFormat="1" applyFont="1" applyBorder="1" applyAlignment="1">
      <alignment horizontal="right" vertical="top"/>
    </xf>
    <xf numFmtId="10" fontId="1" fillId="0" borderId="10" xfId="0" applyNumberFormat="1" applyFont="1" applyBorder="1" applyAlignment="1">
      <alignment horizontal="right" vertical="top"/>
    </xf>
    <xf numFmtId="10" fontId="1" fillId="0" borderId="11" xfId="0" applyNumberFormat="1" applyFont="1" applyBorder="1" applyAlignment="1">
      <alignment vertical="top"/>
    </xf>
    <xf numFmtId="43" fontId="12" fillId="0" borderId="9" xfId="1" applyNumberFormat="1" applyFont="1" applyBorder="1" applyAlignment="1">
      <alignment horizontal="right" vertical="top"/>
    </xf>
    <xf numFmtId="0" fontId="8" fillId="2" borderId="12" xfId="0" applyFont="1" applyFill="1" applyBorder="1" applyAlignment="1">
      <alignment vertical="top"/>
    </xf>
    <xf numFmtId="0" fontId="1" fillId="0" borderId="13" xfId="0" applyFont="1" applyBorder="1" applyAlignment="1">
      <alignment vertical="top"/>
    </xf>
    <xf numFmtId="0" fontId="8" fillId="0" borderId="13" xfId="0" applyFont="1" applyBorder="1" applyAlignment="1">
      <alignment vertical="top"/>
    </xf>
    <xf numFmtId="43" fontId="8" fillId="2" borderId="14" xfId="0" applyNumberFormat="1" applyFont="1" applyFill="1" applyBorder="1" applyAlignment="1">
      <alignment horizontal="right" vertical="top"/>
    </xf>
    <xf numFmtId="10" fontId="8" fillId="2" borderId="15" xfId="0" applyNumberFormat="1" applyFont="1" applyFill="1" applyBorder="1" applyAlignment="1">
      <alignment horizontal="right" vertical="top"/>
    </xf>
    <xf numFmtId="43" fontId="11" fillId="0" borderId="9" xfId="1" applyNumberFormat="1" applyFont="1" applyBorder="1" applyAlignment="1">
      <alignment horizontal="right" vertical="top"/>
    </xf>
    <xf numFmtId="0" fontId="11" fillId="0" borderId="0" xfId="0" applyFont="1" applyAlignment="1">
      <alignment vertical="top"/>
    </xf>
    <xf numFmtId="43" fontId="8" fillId="2" borderId="16" xfId="0" applyNumberFormat="1" applyFont="1" applyFill="1" applyBorder="1" applyAlignment="1">
      <alignment horizontal="right" vertical="top"/>
    </xf>
    <xf numFmtId="10" fontId="8" fillId="2" borderId="17" xfId="0" applyNumberFormat="1" applyFont="1" applyFill="1" applyBorder="1" applyAlignment="1">
      <alignment horizontal="right" vertical="top"/>
    </xf>
    <xf numFmtId="164" fontId="1" fillId="0" borderId="10" xfId="0" applyNumberFormat="1" applyFont="1" applyBorder="1" applyAlignment="1">
      <alignment vertical="top"/>
    </xf>
    <xf numFmtId="10" fontId="8" fillId="2" borderId="14" xfId="0" applyNumberFormat="1" applyFont="1" applyFill="1" applyBorder="1" applyAlignment="1">
      <alignment horizontal="right" vertical="top"/>
    </xf>
    <xf numFmtId="10" fontId="1" fillId="0" borderId="18" xfId="0" applyNumberFormat="1" applyFont="1" applyBorder="1" applyAlignment="1">
      <alignment vertical="top"/>
    </xf>
    <xf numFmtId="0" fontId="8" fillId="0" borderId="19" xfId="0" applyFont="1" applyBorder="1" applyAlignment="1">
      <alignment vertical="top"/>
    </xf>
    <xf numFmtId="0" fontId="1" fillId="0" borderId="14" xfId="0" applyFont="1" applyBorder="1" applyAlignment="1">
      <alignment vertical="top"/>
    </xf>
    <xf numFmtId="164" fontId="1" fillId="0" borderId="14" xfId="0" applyNumberFormat="1" applyFont="1" applyBorder="1" applyAlignment="1">
      <alignment vertical="top"/>
    </xf>
    <xf numFmtId="43" fontId="8" fillId="2" borderId="20" xfId="0" applyNumberFormat="1" applyFont="1" applyFill="1" applyBorder="1" applyAlignment="1">
      <alignment horizontal="right" vertical="top"/>
    </xf>
    <xf numFmtId="10" fontId="8" fillId="2" borderId="21" xfId="0" applyNumberFormat="1" applyFont="1" applyFill="1" applyBorder="1" applyAlignment="1">
      <alignment horizontal="right" vertical="top"/>
    </xf>
    <xf numFmtId="10" fontId="1" fillId="0" borderId="22" xfId="0" applyNumberFormat="1" applyFont="1" applyBorder="1" applyAlignment="1">
      <alignment vertical="top"/>
    </xf>
    <xf numFmtId="0" fontId="1" fillId="0" borderId="23"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24" xfId="0" applyNumberFormat="1" applyFont="1" applyBorder="1" applyAlignment="1">
      <alignment vertical="top"/>
    </xf>
    <xf numFmtId="10" fontId="8" fillId="2" borderId="16" xfId="0" applyNumberFormat="1" applyFont="1" applyFill="1" applyBorder="1" applyAlignment="1">
      <alignment horizontal="right" vertical="top"/>
    </xf>
    <xf numFmtId="0" fontId="1" fillId="0" borderId="25" xfId="0" applyFont="1" applyBorder="1" applyAlignment="1">
      <alignment vertical="top"/>
    </xf>
    <xf numFmtId="0" fontId="1" fillId="0" borderId="26" xfId="0" applyFont="1" applyBorder="1" applyAlignment="1">
      <alignment vertical="top"/>
    </xf>
    <xf numFmtId="164" fontId="1" fillId="0" borderId="26" xfId="0" applyNumberFormat="1" applyFont="1" applyBorder="1" applyAlignment="1">
      <alignment vertical="top"/>
    </xf>
    <xf numFmtId="43" fontId="1" fillId="0" borderId="26" xfId="0" applyNumberFormat="1" applyFont="1" applyBorder="1" applyAlignment="1">
      <alignment horizontal="right" vertical="top"/>
    </xf>
    <xf numFmtId="10" fontId="1" fillId="0" borderId="27" xfId="0" applyNumberFormat="1" applyFont="1" applyBorder="1" applyAlignment="1">
      <alignment horizontal="right" vertical="top"/>
    </xf>
    <xf numFmtId="10" fontId="1" fillId="0" borderId="28" xfId="0" applyNumberFormat="1" applyFont="1" applyBorder="1" applyAlignment="1">
      <alignment vertical="top"/>
    </xf>
    <xf numFmtId="0" fontId="8" fillId="0" borderId="29" xfId="0" applyFont="1" applyBorder="1" applyAlignment="1">
      <alignment vertical="top"/>
    </xf>
    <xf numFmtId="0" fontId="1" fillId="0" borderId="16" xfId="0" applyFont="1" applyBorder="1" applyAlignment="1">
      <alignment vertical="top"/>
    </xf>
    <xf numFmtId="164" fontId="1" fillId="0" borderId="16" xfId="0" applyNumberFormat="1" applyFont="1" applyBorder="1" applyAlignment="1">
      <alignment vertical="top"/>
    </xf>
    <xf numFmtId="43" fontId="1" fillId="0" borderId="16" xfId="0" applyNumberFormat="1" applyFont="1" applyBorder="1" applyAlignment="1">
      <alignment horizontal="right" vertical="top"/>
    </xf>
    <xf numFmtId="10" fontId="1" fillId="0" borderId="17" xfId="0" applyNumberFormat="1" applyFont="1" applyBorder="1" applyAlignment="1">
      <alignment horizontal="right" vertical="top"/>
    </xf>
    <xf numFmtId="10" fontId="1" fillId="0" borderId="30" xfId="0" applyNumberFormat="1" applyFont="1" applyBorder="1" applyAlignment="1">
      <alignment vertical="top"/>
    </xf>
    <xf numFmtId="0" fontId="8" fillId="0" borderId="14" xfId="0" applyFont="1" applyBorder="1" applyAlignment="1">
      <alignment vertical="top"/>
    </xf>
    <xf numFmtId="164" fontId="8" fillId="0" borderId="14" xfId="0" applyNumberFormat="1" applyFont="1" applyBorder="1" applyAlignment="1">
      <alignment vertical="top"/>
    </xf>
    <xf numFmtId="43" fontId="8" fillId="0" borderId="14" xfId="0" applyNumberFormat="1" applyFont="1" applyBorder="1" applyAlignment="1">
      <alignment horizontal="right" vertical="top"/>
    </xf>
    <xf numFmtId="10" fontId="8" fillId="0" borderId="14" xfId="0" applyNumberFormat="1" applyFont="1" applyBorder="1" applyAlignment="1">
      <alignment horizontal="right" vertical="top"/>
    </xf>
    <xf numFmtId="10" fontId="8" fillId="0" borderId="22" xfId="0" applyNumberFormat="1" applyFont="1" applyBorder="1" applyAlignment="1">
      <alignment vertical="top"/>
    </xf>
    <xf numFmtId="0" fontId="8" fillId="0" borderId="0" xfId="0" applyFont="1"/>
    <xf numFmtId="0" fontId="1" fillId="0" borderId="31" xfId="0" applyFont="1" applyBorder="1" applyAlignment="1">
      <alignment vertical="top"/>
    </xf>
    <xf numFmtId="0" fontId="8" fillId="2" borderId="32" xfId="0" applyFont="1" applyFill="1" applyBorder="1" applyAlignment="1">
      <alignment vertical="top"/>
    </xf>
    <xf numFmtId="0" fontId="8" fillId="2" borderId="33" xfId="0" applyFont="1" applyFill="1" applyBorder="1" applyAlignment="1">
      <alignment vertical="top"/>
    </xf>
    <xf numFmtId="164" fontId="8" fillId="2" borderId="33" xfId="0" applyNumberFormat="1" applyFont="1" applyFill="1" applyBorder="1" applyAlignment="1">
      <alignment vertical="top"/>
    </xf>
    <xf numFmtId="164" fontId="1" fillId="0" borderId="33" xfId="0" applyNumberFormat="1" applyFont="1" applyBorder="1" applyAlignment="1">
      <alignment vertical="top"/>
    </xf>
    <xf numFmtId="43" fontId="8" fillId="0" borderId="33" xfId="0" applyNumberFormat="1" applyFont="1" applyBorder="1" applyAlignment="1">
      <alignment horizontal="right" vertical="top"/>
    </xf>
    <xf numFmtId="10" fontId="8" fillId="0" borderId="34" xfId="0" applyNumberFormat="1" applyFont="1" applyBorder="1" applyAlignment="1">
      <alignment horizontal="right" vertical="top"/>
    </xf>
    <xf numFmtId="10" fontId="1" fillId="0" borderId="35" xfId="0" applyNumberFormat="1" applyFont="1" applyBorder="1" applyAlignment="1">
      <alignment vertical="top"/>
    </xf>
    <xf numFmtId="164" fontId="1"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6" fontId="1" fillId="0" borderId="0" xfId="0" applyNumberFormat="1" applyFont="1" applyAlignment="1">
      <alignment horizontal="center" vertical="top"/>
    </xf>
    <xf numFmtId="0" fontId="13" fillId="0" borderId="0" xfId="0" applyFont="1" applyAlignment="1">
      <alignment horizontal="center" vertical="center" wrapText="1"/>
    </xf>
  </cellXfs>
  <cellStyles count="2">
    <cellStyle name="Normal" xfId="0" builtinId="0"/>
    <cellStyle name="Normal 2" xfId="1" xr:uid="{CB190A9B-497E-48B2-BD21-1CD2EBFC68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18265AF9-6C94-45F2-BC4C-286FE0B7BE9E}"/>
            </a:ext>
          </a:extLst>
        </xdr:cNvPr>
        <xdr:cNvPicPr>
          <a:picLocks noChangeAspect="1"/>
        </xdr:cNvPicPr>
      </xdr:nvPicPr>
      <xdr:blipFill>
        <a:blip xmlns:r="http://schemas.openxmlformats.org/officeDocument/2006/relationships" r:embed="rId1"/>
        <a:stretch>
          <a:fillRect/>
        </a:stretch>
      </xdr:blipFill>
      <xdr:spPr>
        <a:xfrm>
          <a:off x="292100" y="0"/>
          <a:ext cx="847725" cy="266700"/>
        </a:xfrm>
        <a:prstGeom prst="rect">
          <a:avLst/>
        </a:prstGeom>
      </xdr:spPr>
    </xdr:pic>
    <xdr:clientData/>
  </xdr:oneCellAnchor>
  <xdr:oneCellAnchor>
    <xdr:from>
      <xdr:col>1</xdr:col>
      <xdr:colOff>0</xdr:colOff>
      <xdr:row>131</xdr:row>
      <xdr:rowOff>0</xdr:rowOff>
    </xdr:from>
    <xdr:ext cx="8715375" cy="2105025"/>
    <xdr:pic>
      <xdr:nvPicPr>
        <xdr:cNvPr id="3" name="Picture 2">
          <a:extLst>
            <a:ext uri="{FF2B5EF4-FFF2-40B4-BE49-F238E27FC236}">
              <a16:creationId xmlns:a16="http://schemas.microsoft.com/office/drawing/2014/main" id="{310563A9-A9FC-48F7-BE15-2BFDD1D6877D}"/>
            </a:ext>
          </a:extLst>
        </xdr:cNvPr>
        <xdr:cNvPicPr>
          <a:picLocks noChangeAspect="1"/>
        </xdr:cNvPicPr>
      </xdr:nvPicPr>
      <xdr:blipFill>
        <a:blip xmlns:r="http://schemas.openxmlformats.org/officeDocument/2006/relationships" r:embed="rId2"/>
        <a:stretch>
          <a:fillRect/>
        </a:stretch>
      </xdr:blipFill>
      <xdr:spPr>
        <a:xfrm>
          <a:off x="254000" y="23418800"/>
          <a:ext cx="8715375" cy="210502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assive%20Monthly%20Portfolio%20-%2031-12-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96149-2B02-42E4-B19D-ABC063B3DA2E}">
  <sheetPr codeName="Sheet56"/>
  <dimension ref="A1:HP147"/>
  <sheetViews>
    <sheetView showGridLines="0" tabSelected="1" zoomScaleNormal="100" workbookViewId="0">
      <pane ySplit="9" topLeftCell="A10" activePane="bottomLeft" state="frozen"/>
      <selection pane="bottomLeft" activeCell="B6" sqref="B6"/>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6.7265625" style="95" customWidth="1"/>
    <col min="6" max="6" width="18.1796875" style="25" customWidth="1"/>
    <col min="7" max="8" width="18.1796875" style="26" customWidth="1"/>
    <col min="9" max="224" width="15.1796875" style="1"/>
  </cols>
  <sheetData>
    <row r="1" spans="1:9" ht="15" thickBot="1" x14ac:dyDescent="0.4">
      <c r="B1" s="2" t="s">
        <v>0</v>
      </c>
      <c r="C1" s="3"/>
      <c r="D1" s="3"/>
      <c r="E1" s="4"/>
      <c r="F1" s="5"/>
      <c r="G1" s="6"/>
      <c r="H1" s="6"/>
    </row>
    <row r="2" spans="1:9" x14ac:dyDescent="0.35">
      <c r="B2" s="7"/>
      <c r="C2" s="7"/>
      <c r="D2" s="7"/>
      <c r="E2" s="8"/>
      <c r="F2" s="9"/>
      <c r="G2" s="10"/>
      <c r="H2" s="10"/>
    </row>
    <row r="3" spans="1:9" ht="15" thickBot="1" x14ac:dyDescent="0.4">
      <c r="B3" s="11" t="s">
        <v>1</v>
      </c>
      <c r="C3" s="12"/>
      <c r="D3" s="12"/>
      <c r="E3" s="13"/>
      <c r="F3" s="14"/>
      <c r="G3" s="15"/>
      <c r="H3" s="15"/>
    </row>
    <row r="4" spans="1:9" x14ac:dyDescent="0.35">
      <c r="B4" s="7"/>
      <c r="C4" s="7"/>
      <c r="D4" s="7"/>
      <c r="E4" s="8"/>
      <c r="F4" s="9"/>
      <c r="G4" s="10"/>
      <c r="H4" s="10"/>
    </row>
    <row r="5" spans="1:9" ht="15" thickBot="1" x14ac:dyDescent="0.4">
      <c r="B5" s="11" t="s">
        <v>2</v>
      </c>
      <c r="C5" s="12"/>
      <c r="D5" s="12"/>
      <c r="E5" s="13"/>
      <c r="F5" s="14"/>
      <c r="G5" s="15"/>
      <c r="H5" s="15"/>
    </row>
    <row r="6" spans="1:9" x14ac:dyDescent="0.35">
      <c r="A6" s="16"/>
      <c r="B6" s="17" t="s">
        <v>0</v>
      </c>
      <c r="C6" s="18" t="s">
        <v>3</v>
      </c>
      <c r="E6" s="19">
        <v>46022</v>
      </c>
      <c r="F6" s="20"/>
      <c r="G6" s="21"/>
      <c r="H6" s="21"/>
    </row>
    <row r="7" spans="1:9" x14ac:dyDescent="0.35">
      <c r="B7" s="22"/>
      <c r="C7" s="23"/>
      <c r="E7" s="24"/>
    </row>
    <row r="8" spans="1:9" ht="15" customHeight="1" thickBot="1" x14ac:dyDescent="0.4">
      <c r="A8" s="16"/>
      <c r="B8" s="17" t="s">
        <v>4</v>
      </c>
      <c r="D8" s="17"/>
      <c r="E8" s="27"/>
      <c r="F8" s="20"/>
      <c r="G8" s="28"/>
      <c r="H8" s="28"/>
    </row>
    <row r="9" spans="1:9" ht="24" customHeight="1" x14ac:dyDescent="0.35">
      <c r="B9" s="29" t="s">
        <v>5</v>
      </c>
      <c r="C9" s="30" t="s">
        <v>6</v>
      </c>
      <c r="D9" s="30" t="s">
        <v>7</v>
      </c>
      <c r="E9" s="31" t="s">
        <v>8</v>
      </c>
      <c r="F9" s="32" t="s">
        <v>9</v>
      </c>
      <c r="G9" s="33" t="s">
        <v>10</v>
      </c>
      <c r="H9" s="34" t="s">
        <v>11</v>
      </c>
      <c r="I9" s="35" t="s">
        <v>12</v>
      </c>
    </row>
    <row r="10" spans="1:9" x14ac:dyDescent="0.35">
      <c r="A10" s="36"/>
      <c r="B10" s="37" t="s">
        <v>13</v>
      </c>
      <c r="C10" s="38"/>
      <c r="D10" s="38"/>
      <c r="E10" s="39"/>
      <c r="F10" s="40"/>
      <c r="G10" s="41"/>
      <c r="H10" s="42"/>
      <c r="I10" s="43"/>
    </row>
    <row r="11" spans="1:9" x14ac:dyDescent="0.35">
      <c r="B11" s="44" t="s">
        <v>14</v>
      </c>
      <c r="C11" s="38"/>
      <c r="D11" s="38"/>
      <c r="E11" s="39"/>
      <c r="F11" s="40"/>
      <c r="G11" s="41"/>
      <c r="H11" s="42"/>
      <c r="I11" s="43"/>
    </row>
    <row r="12" spans="1:9" x14ac:dyDescent="0.35">
      <c r="A12" s="23"/>
      <c r="B12" s="45" t="s">
        <v>15</v>
      </c>
      <c r="C12" s="38" t="s">
        <v>16</v>
      </c>
      <c r="D12" s="38" t="s">
        <v>17</v>
      </c>
      <c r="E12" s="39">
        <v>73190</v>
      </c>
      <c r="F12" s="40">
        <v>1149.3800000000001</v>
      </c>
      <c r="G12" s="41">
        <v>0.10052893656377999</v>
      </c>
      <c r="H12" s="42"/>
      <c r="I12" s="43">
        <v>68</v>
      </c>
    </row>
    <row r="13" spans="1:9" x14ac:dyDescent="0.35">
      <c r="A13" s="23"/>
      <c r="B13" s="45" t="s">
        <v>18</v>
      </c>
      <c r="C13" s="38" t="s">
        <v>19</v>
      </c>
      <c r="D13" s="38" t="s">
        <v>20</v>
      </c>
      <c r="E13" s="39">
        <v>115026</v>
      </c>
      <c r="F13" s="40">
        <v>1140.1400000000001</v>
      </c>
      <c r="G13" s="41">
        <v>9.9720940455210003E-2</v>
      </c>
      <c r="H13" s="42"/>
      <c r="I13" s="43">
        <v>80.099999999999994</v>
      </c>
    </row>
    <row r="14" spans="1:9" x14ac:dyDescent="0.35">
      <c r="A14" s="23"/>
      <c r="B14" s="45" t="s">
        <v>21</v>
      </c>
      <c r="C14" s="38" t="s">
        <v>22</v>
      </c>
      <c r="D14" s="38" t="s">
        <v>20</v>
      </c>
      <c r="E14" s="39">
        <v>82948</v>
      </c>
      <c r="F14" s="40">
        <v>1113.9100000000001</v>
      </c>
      <c r="G14" s="41">
        <v>9.7426846931159994E-2</v>
      </c>
      <c r="H14" s="42"/>
      <c r="I14" s="43">
        <v>76.7</v>
      </c>
    </row>
    <row r="15" spans="1:9" x14ac:dyDescent="0.35">
      <c r="A15" s="23"/>
      <c r="B15" s="45" t="s">
        <v>23</v>
      </c>
      <c r="C15" s="38" t="s">
        <v>24</v>
      </c>
      <c r="D15" s="38" t="s">
        <v>25</v>
      </c>
      <c r="E15" s="39">
        <v>32359</v>
      </c>
      <c r="F15" s="40">
        <v>681.35</v>
      </c>
      <c r="G15" s="41">
        <v>5.9593654482220003E-2</v>
      </c>
      <c r="H15" s="42"/>
      <c r="I15" s="43">
        <v>74.8</v>
      </c>
    </row>
    <row r="16" spans="1:9" x14ac:dyDescent="0.35">
      <c r="A16" s="23"/>
      <c r="B16" s="45" t="s">
        <v>26</v>
      </c>
      <c r="C16" s="38" t="s">
        <v>27</v>
      </c>
      <c r="D16" s="38" t="s">
        <v>28</v>
      </c>
      <c r="E16" s="39">
        <v>40678</v>
      </c>
      <c r="F16" s="40">
        <v>657.11</v>
      </c>
      <c r="G16" s="41">
        <v>5.7473642893960002E-2</v>
      </c>
      <c r="H16" s="42"/>
      <c r="I16" s="43">
        <v>80.900000000000006</v>
      </c>
    </row>
    <row r="17" spans="1:9" x14ac:dyDescent="0.35">
      <c r="A17" s="23"/>
      <c r="B17" s="45" t="s">
        <v>29</v>
      </c>
      <c r="C17" s="38" t="s">
        <v>30</v>
      </c>
      <c r="D17" s="38" t="s">
        <v>20</v>
      </c>
      <c r="E17" s="39">
        <v>33283</v>
      </c>
      <c r="F17" s="40">
        <v>422.49</v>
      </c>
      <c r="G17" s="41">
        <v>3.6953026516939998E-2</v>
      </c>
      <c r="H17" s="42"/>
      <c r="I17" s="43">
        <v>81.7</v>
      </c>
    </row>
    <row r="18" spans="1:9" x14ac:dyDescent="0.35">
      <c r="A18" s="23"/>
      <c r="B18" s="45" t="s">
        <v>31</v>
      </c>
      <c r="C18" s="38" t="s">
        <v>32</v>
      </c>
      <c r="D18" s="38" t="s">
        <v>33</v>
      </c>
      <c r="E18" s="39">
        <v>10366</v>
      </c>
      <c r="F18" s="40">
        <v>384.5</v>
      </c>
      <c r="G18" s="41">
        <v>3.3629507742129999E-2</v>
      </c>
      <c r="H18" s="42"/>
      <c r="I18" s="43">
        <v>77.900000000000006</v>
      </c>
    </row>
    <row r="19" spans="1:9" x14ac:dyDescent="0.35">
      <c r="A19" s="23"/>
      <c r="B19" s="45" t="s">
        <v>34</v>
      </c>
      <c r="C19" s="38" t="s">
        <v>35</v>
      </c>
      <c r="D19" s="38" t="s">
        <v>28</v>
      </c>
      <c r="E19" s="39">
        <v>11858</v>
      </c>
      <c r="F19" s="40">
        <v>380.19</v>
      </c>
      <c r="G19" s="41">
        <v>3.3253021296350001E-2</v>
      </c>
      <c r="H19" s="42"/>
      <c r="I19" s="43">
        <v>71.099999999999994</v>
      </c>
    </row>
    <row r="20" spans="1:9" x14ac:dyDescent="0.35">
      <c r="A20" s="23"/>
      <c r="B20" s="45" t="s">
        <v>36</v>
      </c>
      <c r="C20" s="38" t="s">
        <v>37</v>
      </c>
      <c r="D20" s="38" t="s">
        <v>38</v>
      </c>
      <c r="E20" s="39">
        <v>30833</v>
      </c>
      <c r="F20" s="40">
        <v>304.26</v>
      </c>
      <c r="G20" s="41">
        <v>2.6611783305890001E-2</v>
      </c>
      <c r="H20" s="42"/>
      <c r="I20" s="43">
        <v>78.7</v>
      </c>
    </row>
    <row r="21" spans="1:9" x14ac:dyDescent="0.35">
      <c r="A21" s="23"/>
      <c r="B21" s="45" t="s">
        <v>39</v>
      </c>
      <c r="C21" s="38" t="s">
        <v>40</v>
      </c>
      <c r="D21" s="38" t="s">
        <v>33</v>
      </c>
      <c r="E21" s="39">
        <v>1523</v>
      </c>
      <c r="F21" s="40">
        <v>254.3</v>
      </c>
      <c r="G21" s="41">
        <v>2.224167063298E-2</v>
      </c>
      <c r="H21" s="42"/>
      <c r="I21" s="43">
        <v>76.599999999999994</v>
      </c>
    </row>
    <row r="22" spans="1:9" x14ac:dyDescent="0.35">
      <c r="A22" s="23"/>
      <c r="B22" s="45" t="s">
        <v>41</v>
      </c>
      <c r="C22" s="38" t="s">
        <v>42</v>
      </c>
      <c r="D22" s="38" t="s">
        <v>43</v>
      </c>
      <c r="E22" s="39">
        <v>10306</v>
      </c>
      <c r="F22" s="40">
        <v>238.68</v>
      </c>
      <c r="G22" s="41">
        <v>2.0875601386639998E-2</v>
      </c>
      <c r="H22" s="42"/>
      <c r="I22" s="43">
        <v>77.2</v>
      </c>
    </row>
    <row r="23" spans="1:9" x14ac:dyDescent="0.35">
      <c r="A23" s="23"/>
      <c r="B23" s="45" t="s">
        <v>44</v>
      </c>
      <c r="C23" s="38" t="s">
        <v>45</v>
      </c>
      <c r="D23" s="38" t="s">
        <v>46</v>
      </c>
      <c r="E23" s="39">
        <v>83436</v>
      </c>
      <c r="F23" s="40">
        <v>231.99</v>
      </c>
      <c r="G23" s="41">
        <v>2.0291092446850002E-2</v>
      </c>
      <c r="H23" s="42"/>
      <c r="I23" s="43">
        <v>70.3</v>
      </c>
    </row>
    <row r="24" spans="1:9" x14ac:dyDescent="0.35">
      <c r="A24" s="23"/>
      <c r="B24" s="45" t="s">
        <v>47</v>
      </c>
      <c r="C24" s="38" t="s">
        <v>48</v>
      </c>
      <c r="D24" s="38" t="s">
        <v>28</v>
      </c>
      <c r="E24" s="39">
        <v>12252</v>
      </c>
      <c r="F24" s="40">
        <v>198.89</v>
      </c>
      <c r="G24" s="41">
        <v>1.7395416496470001E-2</v>
      </c>
      <c r="H24" s="42"/>
      <c r="I24" s="43">
        <v>79.400000000000006</v>
      </c>
    </row>
    <row r="25" spans="1:9" x14ac:dyDescent="0.35">
      <c r="A25" s="23"/>
      <c r="B25" s="45" t="s">
        <v>49</v>
      </c>
      <c r="C25" s="38" t="s">
        <v>50</v>
      </c>
      <c r="D25" s="38" t="s">
        <v>51</v>
      </c>
      <c r="E25" s="39">
        <v>4793</v>
      </c>
      <c r="F25" s="40">
        <v>194.19</v>
      </c>
      <c r="G25" s="41">
        <v>1.698448281385E-2</v>
      </c>
      <c r="H25" s="42"/>
      <c r="I25" s="43">
        <v>71.099999999999994</v>
      </c>
    </row>
    <row r="26" spans="1:9" x14ac:dyDescent="0.35">
      <c r="A26" s="23"/>
      <c r="B26" s="45" t="s">
        <v>52</v>
      </c>
      <c r="C26" s="38" t="s">
        <v>53</v>
      </c>
      <c r="D26" s="38" t="s">
        <v>54</v>
      </c>
      <c r="E26" s="39">
        <v>55056</v>
      </c>
      <c r="F26" s="40">
        <v>181.44</v>
      </c>
      <c r="G26" s="41">
        <v>1.5869199719949999E-2</v>
      </c>
      <c r="H26" s="42"/>
      <c r="I26" s="43">
        <v>62.8</v>
      </c>
    </row>
    <row r="27" spans="1:9" x14ac:dyDescent="0.35">
      <c r="A27" s="23"/>
      <c r="B27" s="45" t="s">
        <v>55</v>
      </c>
      <c r="C27" s="38" t="s">
        <v>56</v>
      </c>
      <c r="D27" s="38" t="s">
        <v>57</v>
      </c>
      <c r="E27" s="39">
        <v>95988</v>
      </c>
      <c r="F27" s="40">
        <v>172.86</v>
      </c>
      <c r="G27" s="41">
        <v>1.5118596611469999E-2</v>
      </c>
      <c r="H27" s="42"/>
      <c r="I27" s="43">
        <v>69.3</v>
      </c>
    </row>
    <row r="28" spans="1:9" x14ac:dyDescent="0.35">
      <c r="A28" s="23"/>
      <c r="B28" s="45" t="s">
        <v>58</v>
      </c>
      <c r="C28" s="38" t="s">
        <v>59</v>
      </c>
      <c r="D28" s="38" t="s">
        <v>60</v>
      </c>
      <c r="E28" s="39">
        <v>1376</v>
      </c>
      <c r="F28" s="40">
        <v>162.15</v>
      </c>
      <c r="G28" s="41">
        <v>1.418208952076E-2</v>
      </c>
      <c r="H28" s="42"/>
      <c r="I28" s="43">
        <v>71.099999999999994</v>
      </c>
    </row>
    <row r="29" spans="1:9" x14ac:dyDescent="0.35">
      <c r="A29" s="23"/>
      <c r="B29" s="45" t="s">
        <v>61</v>
      </c>
      <c r="C29" s="38" t="s">
        <v>62</v>
      </c>
      <c r="D29" s="38" t="s">
        <v>38</v>
      </c>
      <c r="E29" s="39">
        <v>16264</v>
      </c>
      <c r="F29" s="40">
        <v>162.02000000000001</v>
      </c>
      <c r="G29" s="41">
        <v>1.417108025926E-2</v>
      </c>
      <c r="H29" s="42"/>
      <c r="I29" s="43">
        <v>81.099999999999994</v>
      </c>
    </row>
    <row r="30" spans="1:9" x14ac:dyDescent="0.35">
      <c r="A30" s="23"/>
      <c r="B30" s="45" t="s">
        <v>63</v>
      </c>
      <c r="C30" s="38" t="s">
        <v>64</v>
      </c>
      <c r="D30" s="38" t="s">
        <v>65</v>
      </c>
      <c r="E30" s="39">
        <v>16801</v>
      </c>
      <c r="F30" s="40">
        <v>148.97</v>
      </c>
      <c r="G30" s="41">
        <v>1.302989436863E-2</v>
      </c>
      <c r="H30" s="42"/>
      <c r="I30" s="43">
        <v>68.400000000000006</v>
      </c>
    </row>
    <row r="31" spans="1:9" x14ac:dyDescent="0.35">
      <c r="A31" s="23"/>
      <c r="B31" s="45" t="s">
        <v>66</v>
      </c>
      <c r="C31" s="38" t="s">
        <v>67</v>
      </c>
      <c r="D31" s="38" t="s">
        <v>51</v>
      </c>
      <c r="E31" s="39">
        <v>5251</v>
      </c>
      <c r="F31" s="40">
        <v>145.43</v>
      </c>
      <c r="G31" s="41">
        <v>1.271957037279E-2</v>
      </c>
      <c r="H31" s="42"/>
      <c r="I31" s="43">
        <v>74.099999999999994</v>
      </c>
    </row>
    <row r="32" spans="1:9" x14ac:dyDescent="0.35">
      <c r="A32" s="23"/>
      <c r="B32" s="45" t="s">
        <v>68</v>
      </c>
      <c r="C32" s="38" t="s">
        <v>69</v>
      </c>
      <c r="D32" s="38" t="s">
        <v>54</v>
      </c>
      <c r="E32" s="39">
        <v>52600</v>
      </c>
      <c r="F32" s="40">
        <v>139.18</v>
      </c>
      <c r="G32" s="41">
        <v>1.2173196674489999E-2</v>
      </c>
      <c r="H32" s="42"/>
      <c r="I32" s="43">
        <v>61.9</v>
      </c>
    </row>
    <row r="33" spans="1:9" x14ac:dyDescent="0.35">
      <c r="A33" s="23"/>
      <c r="B33" s="45" t="s">
        <v>70</v>
      </c>
      <c r="C33" s="38" t="s">
        <v>71</v>
      </c>
      <c r="D33" s="38" t="s">
        <v>60</v>
      </c>
      <c r="E33" s="39">
        <v>4436</v>
      </c>
      <c r="F33" s="40">
        <v>125.49</v>
      </c>
      <c r="G33" s="41">
        <v>1.097623861309E-2</v>
      </c>
      <c r="H33" s="42"/>
      <c r="I33" s="43">
        <v>67.8</v>
      </c>
    </row>
    <row r="34" spans="1:9" x14ac:dyDescent="0.35">
      <c r="A34" s="23"/>
      <c r="B34" s="45" t="s">
        <v>72</v>
      </c>
      <c r="C34" s="38" t="s">
        <v>73</v>
      </c>
      <c r="D34" s="38" t="s">
        <v>74</v>
      </c>
      <c r="E34" s="39">
        <v>8035</v>
      </c>
      <c r="F34" s="40">
        <v>118.1</v>
      </c>
      <c r="G34" s="41">
        <v>1.0329354412129999E-2</v>
      </c>
      <c r="H34" s="42"/>
      <c r="I34" s="43">
        <v>74.599999999999994</v>
      </c>
    </row>
    <row r="35" spans="1:9" x14ac:dyDescent="0.35">
      <c r="A35" s="23"/>
      <c r="B35" s="45" t="s">
        <v>75</v>
      </c>
      <c r="C35" s="38" t="s">
        <v>76</v>
      </c>
      <c r="D35" s="38" t="s">
        <v>28</v>
      </c>
      <c r="E35" s="39">
        <v>7372</v>
      </c>
      <c r="F35" s="40">
        <v>117.28</v>
      </c>
      <c r="G35" s="41">
        <v>1.025787170544E-2</v>
      </c>
      <c r="H35" s="42"/>
      <c r="I35" s="43">
        <v>77.900000000000006</v>
      </c>
    </row>
    <row r="36" spans="1:9" x14ac:dyDescent="0.35">
      <c r="A36" s="23"/>
      <c r="B36" s="45" t="s">
        <v>77</v>
      </c>
      <c r="C36" s="38" t="s">
        <v>78</v>
      </c>
      <c r="D36" s="38" t="s">
        <v>38</v>
      </c>
      <c r="E36" s="39">
        <v>38068</v>
      </c>
      <c r="F36" s="40">
        <v>112.28</v>
      </c>
      <c r="G36" s="41">
        <v>9.8205885477300001E-3</v>
      </c>
      <c r="H36" s="42"/>
      <c r="I36" s="43">
        <v>77.2</v>
      </c>
    </row>
    <row r="37" spans="1:9" x14ac:dyDescent="0.35">
      <c r="A37" s="23"/>
      <c r="B37" s="45" t="s">
        <v>79</v>
      </c>
      <c r="C37" s="38" t="s">
        <v>80</v>
      </c>
      <c r="D37" s="38" t="s">
        <v>46</v>
      </c>
      <c r="E37" s="39">
        <v>2576</v>
      </c>
      <c r="F37" s="40">
        <v>110.23</v>
      </c>
      <c r="G37" s="41">
        <v>9.6408916016900003E-3</v>
      </c>
      <c r="H37" s="42"/>
      <c r="I37" s="43">
        <v>68.900000000000006</v>
      </c>
    </row>
    <row r="38" spans="1:9" x14ac:dyDescent="0.35">
      <c r="A38" s="23"/>
      <c r="B38" s="45" t="s">
        <v>81</v>
      </c>
      <c r="C38" s="38" t="s">
        <v>82</v>
      </c>
      <c r="D38" s="38" t="s">
        <v>83</v>
      </c>
      <c r="E38" s="39">
        <v>8326</v>
      </c>
      <c r="F38" s="40">
        <v>107.24</v>
      </c>
      <c r="G38" s="41">
        <v>9.3795353441999997E-3</v>
      </c>
      <c r="H38" s="42"/>
      <c r="I38" s="43">
        <v>70.8</v>
      </c>
    </row>
    <row r="39" spans="1:9" x14ac:dyDescent="0.35">
      <c r="A39" s="23"/>
      <c r="B39" s="45" t="s">
        <v>84</v>
      </c>
      <c r="C39" s="38" t="s">
        <v>85</v>
      </c>
      <c r="D39" s="38" t="s">
        <v>86</v>
      </c>
      <c r="E39" s="39">
        <v>5213</v>
      </c>
      <c r="F39" s="40">
        <v>106.08</v>
      </c>
      <c r="G39" s="41">
        <v>9.2781171407299995E-3</v>
      </c>
      <c r="H39" s="42"/>
      <c r="I39" s="43">
        <v>74.2</v>
      </c>
    </row>
    <row r="40" spans="1:9" x14ac:dyDescent="0.35">
      <c r="A40" s="23"/>
      <c r="B40" s="45" t="s">
        <v>87</v>
      </c>
      <c r="C40" s="38" t="s">
        <v>88</v>
      </c>
      <c r="D40" s="38" t="s">
        <v>33</v>
      </c>
      <c r="E40" s="39">
        <v>2726</v>
      </c>
      <c r="F40" s="40">
        <v>101.4</v>
      </c>
      <c r="G40" s="41">
        <v>8.8689967606000002E-3</v>
      </c>
      <c r="H40" s="42"/>
      <c r="I40" s="43">
        <v>73.3</v>
      </c>
    </row>
    <row r="41" spans="1:9" x14ac:dyDescent="0.35">
      <c r="A41" s="23"/>
      <c r="B41" s="45" t="s">
        <v>89</v>
      </c>
      <c r="C41" s="38" t="s">
        <v>90</v>
      </c>
      <c r="D41" s="38" t="s">
        <v>91</v>
      </c>
      <c r="E41" s="39">
        <v>6533</v>
      </c>
      <c r="F41" s="40">
        <v>98.73</v>
      </c>
      <c r="G41" s="41">
        <v>8.6355975654799997E-3</v>
      </c>
      <c r="H41" s="42"/>
      <c r="I41" s="43">
        <v>69.3</v>
      </c>
    </row>
    <row r="42" spans="1:9" x14ac:dyDescent="0.35">
      <c r="A42" s="23"/>
      <c r="B42" s="45" t="s">
        <v>92</v>
      </c>
      <c r="C42" s="38" t="s">
        <v>93</v>
      </c>
      <c r="D42" s="38" t="s">
        <v>86</v>
      </c>
      <c r="E42" s="39">
        <v>12481</v>
      </c>
      <c r="F42" s="40">
        <v>93.59</v>
      </c>
      <c r="G42" s="41">
        <v>8.1856436374699998E-3</v>
      </c>
      <c r="H42" s="42"/>
      <c r="I42" s="43">
        <v>76</v>
      </c>
    </row>
    <row r="43" spans="1:9" x14ac:dyDescent="0.35">
      <c r="A43" s="23"/>
      <c r="B43" s="45" t="s">
        <v>94</v>
      </c>
      <c r="C43" s="38" t="s">
        <v>95</v>
      </c>
      <c r="D43" s="38" t="s">
        <v>96</v>
      </c>
      <c r="E43" s="39">
        <v>8636</v>
      </c>
      <c r="F43" s="40">
        <v>90.25</v>
      </c>
      <c r="G43" s="41">
        <v>7.8940438789299999E-3</v>
      </c>
      <c r="H43" s="42"/>
      <c r="I43" s="43">
        <v>75.099999999999994</v>
      </c>
    </row>
    <row r="44" spans="1:9" x14ac:dyDescent="0.35">
      <c r="A44" s="23"/>
      <c r="B44" s="45" t="s">
        <v>97</v>
      </c>
      <c r="C44" s="38" t="s">
        <v>98</v>
      </c>
      <c r="D44" s="38" t="s">
        <v>28</v>
      </c>
      <c r="E44" s="39">
        <v>33157</v>
      </c>
      <c r="F44" s="40">
        <v>87.3</v>
      </c>
      <c r="G44" s="41">
        <v>7.6352305131499997E-3</v>
      </c>
      <c r="H44" s="42"/>
      <c r="I44" s="43">
        <v>78.3</v>
      </c>
    </row>
    <row r="45" spans="1:9" x14ac:dyDescent="0.35">
      <c r="A45" s="23"/>
      <c r="B45" s="45" t="s">
        <v>99</v>
      </c>
      <c r="C45" s="38" t="s">
        <v>100</v>
      </c>
      <c r="D45" s="38" t="s">
        <v>17</v>
      </c>
      <c r="E45" s="39">
        <v>22509</v>
      </c>
      <c r="F45" s="40">
        <v>86.43</v>
      </c>
      <c r="G45" s="41">
        <v>7.55990747461E-3</v>
      </c>
      <c r="H45" s="42"/>
      <c r="I45" s="43">
        <v>63.9</v>
      </c>
    </row>
    <row r="46" spans="1:9" x14ac:dyDescent="0.35">
      <c r="A46" s="23"/>
      <c r="B46" s="45" t="s">
        <v>101</v>
      </c>
      <c r="C46" s="38" t="s">
        <v>102</v>
      </c>
      <c r="D46" s="38" t="s">
        <v>96</v>
      </c>
      <c r="E46" s="39">
        <v>1195</v>
      </c>
      <c r="F46" s="40">
        <v>84.16</v>
      </c>
      <c r="G46" s="41">
        <v>7.3607796263400003E-3</v>
      </c>
      <c r="H46" s="42"/>
      <c r="I46" s="43">
        <v>67.099999999999994</v>
      </c>
    </row>
    <row r="47" spans="1:9" x14ac:dyDescent="0.35">
      <c r="A47" s="23"/>
      <c r="B47" s="45" t="s">
        <v>103</v>
      </c>
      <c r="C47" s="38" t="s">
        <v>104</v>
      </c>
      <c r="D47" s="38" t="s">
        <v>38</v>
      </c>
      <c r="E47" s="39">
        <v>4911</v>
      </c>
      <c r="F47" s="40">
        <v>83.6</v>
      </c>
      <c r="G47" s="41">
        <v>7.3115520326099996E-3</v>
      </c>
      <c r="H47" s="42"/>
      <c r="I47" s="43">
        <v>79.8</v>
      </c>
    </row>
    <row r="48" spans="1:9" x14ac:dyDescent="0.35">
      <c r="A48" s="23"/>
      <c r="B48" s="45" t="s">
        <v>105</v>
      </c>
      <c r="C48" s="38" t="s">
        <v>106</v>
      </c>
      <c r="D48" s="38" t="s">
        <v>83</v>
      </c>
      <c r="E48" s="39">
        <v>1369</v>
      </c>
      <c r="F48" s="40">
        <v>82.56</v>
      </c>
      <c r="G48" s="41">
        <v>7.2214071442900001E-3</v>
      </c>
      <c r="H48" s="42"/>
      <c r="I48" s="43">
        <v>64.2</v>
      </c>
    </row>
    <row r="49" spans="1:9" x14ac:dyDescent="0.35">
      <c r="A49" s="23"/>
      <c r="B49" s="45" t="s">
        <v>107</v>
      </c>
      <c r="C49" s="38" t="s">
        <v>108</v>
      </c>
      <c r="D49" s="38" t="s">
        <v>54</v>
      </c>
      <c r="E49" s="39">
        <v>19501</v>
      </c>
      <c r="F49" s="40">
        <v>74.03</v>
      </c>
      <c r="G49" s="41">
        <v>6.47458804087E-3</v>
      </c>
      <c r="H49" s="42"/>
      <c r="I49" s="43">
        <v>68.099999999999994</v>
      </c>
    </row>
    <row r="50" spans="1:9" x14ac:dyDescent="0.35">
      <c r="A50" s="23"/>
      <c r="B50" s="45" t="s">
        <v>109</v>
      </c>
      <c r="C50" s="38" t="s">
        <v>110</v>
      </c>
      <c r="D50" s="38" t="s">
        <v>17</v>
      </c>
      <c r="E50" s="39">
        <v>43391</v>
      </c>
      <c r="F50" s="40">
        <v>72.23</v>
      </c>
      <c r="G50" s="41">
        <v>6.3174033168100002E-3</v>
      </c>
      <c r="H50" s="42"/>
      <c r="I50" s="43">
        <v>61.4</v>
      </c>
    </row>
    <row r="51" spans="1:9" x14ac:dyDescent="0.35">
      <c r="A51" s="23"/>
      <c r="B51" s="45" t="s">
        <v>111</v>
      </c>
      <c r="C51" s="38" t="s">
        <v>112</v>
      </c>
      <c r="D51" s="38" t="s">
        <v>113</v>
      </c>
      <c r="E51" s="39">
        <v>3024</v>
      </c>
      <c r="F51" s="40">
        <v>67.73</v>
      </c>
      <c r="G51" s="41">
        <v>5.9238041481499996E-3</v>
      </c>
      <c r="H51" s="42"/>
      <c r="I51" s="43">
        <v>64.8</v>
      </c>
    </row>
    <row r="52" spans="1:9" x14ac:dyDescent="0.35">
      <c r="A52" s="23"/>
      <c r="B52" s="45" t="s">
        <v>114</v>
      </c>
      <c r="C52" s="38" t="s">
        <v>115</v>
      </c>
      <c r="D52" s="38" t="s">
        <v>54</v>
      </c>
      <c r="E52" s="39">
        <v>45813</v>
      </c>
      <c r="F52" s="40">
        <v>65.510000000000005</v>
      </c>
      <c r="G52" s="41">
        <v>5.7295887734900002E-3</v>
      </c>
      <c r="H52" s="42"/>
      <c r="I52" s="43">
        <v>64.900000000000006</v>
      </c>
    </row>
    <row r="53" spans="1:9" x14ac:dyDescent="0.35">
      <c r="A53" s="23"/>
      <c r="B53" s="45" t="s">
        <v>116</v>
      </c>
      <c r="C53" s="38" t="s">
        <v>117</v>
      </c>
      <c r="D53" s="38" t="s">
        <v>28</v>
      </c>
      <c r="E53" s="39">
        <v>1076</v>
      </c>
      <c r="F53" s="40">
        <v>65.239999999999995</v>
      </c>
      <c r="G53" s="41">
        <v>5.70643280815E-3</v>
      </c>
      <c r="H53" s="42"/>
      <c r="I53" s="43">
        <v>78.900000000000006</v>
      </c>
    </row>
    <row r="54" spans="1:9" x14ac:dyDescent="0.35">
      <c r="A54" s="23"/>
      <c r="B54" s="45" t="s">
        <v>118</v>
      </c>
      <c r="C54" s="38" t="s">
        <v>119</v>
      </c>
      <c r="D54" s="38" t="s">
        <v>46</v>
      </c>
      <c r="E54" s="39">
        <v>1710</v>
      </c>
      <c r="F54" s="40">
        <v>64.680000000000007</v>
      </c>
      <c r="G54" s="41">
        <v>5.6567847752399996E-3</v>
      </c>
      <c r="H54" s="42"/>
      <c r="I54" s="43">
        <v>70</v>
      </c>
    </row>
    <row r="55" spans="1:9" x14ac:dyDescent="0.35">
      <c r="A55" s="23"/>
      <c r="B55" s="45" t="s">
        <v>120</v>
      </c>
      <c r="C55" s="38" t="s">
        <v>121</v>
      </c>
      <c r="D55" s="38" t="s">
        <v>46</v>
      </c>
      <c r="E55" s="39">
        <v>4511</v>
      </c>
      <c r="F55" s="40">
        <v>60.16</v>
      </c>
      <c r="G55" s="41">
        <v>5.2617167895899998E-3</v>
      </c>
      <c r="H55" s="42"/>
      <c r="I55" s="43">
        <v>74.400000000000006</v>
      </c>
    </row>
    <row r="56" spans="1:9" x14ac:dyDescent="0.35">
      <c r="A56" s="23"/>
      <c r="B56" s="45" t="s">
        <v>122</v>
      </c>
      <c r="C56" s="38" t="s">
        <v>123</v>
      </c>
      <c r="D56" s="38" t="s">
        <v>38</v>
      </c>
      <c r="E56" s="39">
        <v>16909</v>
      </c>
      <c r="F56" s="40">
        <v>60.09</v>
      </c>
      <c r="G56" s="41">
        <v>5.2561094761700003E-3</v>
      </c>
      <c r="H56" s="42"/>
      <c r="I56" s="43">
        <v>74.3</v>
      </c>
    </row>
    <row r="57" spans="1:9" x14ac:dyDescent="0.35">
      <c r="A57" s="23"/>
      <c r="B57" s="45" t="s">
        <v>124</v>
      </c>
      <c r="C57" s="38" t="s">
        <v>125</v>
      </c>
      <c r="D57" s="38" t="s">
        <v>126</v>
      </c>
      <c r="E57" s="39">
        <v>4672</v>
      </c>
      <c r="F57" s="40">
        <v>57.1</v>
      </c>
      <c r="G57" s="41">
        <v>4.9942947326899996E-3</v>
      </c>
      <c r="H57" s="42"/>
      <c r="I57" s="43">
        <v>76.400000000000006</v>
      </c>
    </row>
    <row r="58" spans="1:9" x14ac:dyDescent="0.35">
      <c r="A58" s="23"/>
      <c r="B58" s="45" t="s">
        <v>127</v>
      </c>
      <c r="C58" s="38" t="s">
        <v>128</v>
      </c>
      <c r="D58" s="38" t="s">
        <v>86</v>
      </c>
      <c r="E58" s="39">
        <v>2811</v>
      </c>
      <c r="F58" s="40">
        <v>55.15</v>
      </c>
      <c r="G58" s="41">
        <v>4.8240415310299998E-3</v>
      </c>
      <c r="H58" s="42"/>
      <c r="I58" s="43">
        <v>79.400000000000006</v>
      </c>
    </row>
    <row r="59" spans="1:9" x14ac:dyDescent="0.35">
      <c r="A59" s="23"/>
      <c r="B59" s="45" t="s">
        <v>129</v>
      </c>
      <c r="C59" s="38" t="s">
        <v>130</v>
      </c>
      <c r="D59" s="38" t="s">
        <v>131</v>
      </c>
      <c r="E59" s="39">
        <v>31324</v>
      </c>
      <c r="F59" s="40">
        <v>53.93</v>
      </c>
      <c r="G59" s="41">
        <v>4.7167029282099999E-3</v>
      </c>
      <c r="H59" s="42"/>
      <c r="I59" s="43">
        <v>68.900000000000006</v>
      </c>
    </row>
    <row r="60" spans="1:9" x14ac:dyDescent="0.35">
      <c r="A60" s="23"/>
      <c r="B60" s="45" t="s">
        <v>132</v>
      </c>
      <c r="C60" s="38" t="s">
        <v>133</v>
      </c>
      <c r="D60" s="38" t="s">
        <v>134</v>
      </c>
      <c r="E60" s="39">
        <v>3606</v>
      </c>
      <c r="F60" s="40">
        <v>53.46</v>
      </c>
      <c r="G60" s="41">
        <v>4.67541518882E-3</v>
      </c>
      <c r="H60" s="42"/>
      <c r="I60" s="43">
        <v>69.400000000000006</v>
      </c>
    </row>
    <row r="61" spans="1:9" x14ac:dyDescent="0.35">
      <c r="A61" s="23"/>
      <c r="B61" s="45" t="s">
        <v>135</v>
      </c>
      <c r="C61" s="38" t="s">
        <v>136</v>
      </c>
      <c r="D61" s="38" t="s">
        <v>38</v>
      </c>
      <c r="E61" s="39">
        <v>14504</v>
      </c>
      <c r="F61" s="40">
        <v>51.75</v>
      </c>
      <c r="G61" s="41">
        <v>4.5262828677099997E-3</v>
      </c>
      <c r="H61" s="42"/>
      <c r="I61" s="43">
        <v>79.3</v>
      </c>
    </row>
    <row r="62" spans="1:9" x14ac:dyDescent="0.35">
      <c r="A62" s="23"/>
      <c r="B62" s="45" t="s">
        <v>137</v>
      </c>
      <c r="C62" s="38" t="s">
        <v>138</v>
      </c>
      <c r="D62" s="38" t="s">
        <v>139</v>
      </c>
      <c r="E62" s="39">
        <v>7974</v>
      </c>
      <c r="F62" s="40">
        <v>51.66</v>
      </c>
      <c r="G62" s="41">
        <v>4.5186974697399998E-3</v>
      </c>
      <c r="H62" s="42"/>
      <c r="I62" s="43">
        <v>67.599999999999994</v>
      </c>
    </row>
    <row r="63" spans="1:9" x14ac:dyDescent="0.35">
      <c r="A63" s="23"/>
      <c r="B63" s="45" t="s">
        <v>140</v>
      </c>
      <c r="C63" s="38" t="s">
        <v>141</v>
      </c>
      <c r="D63" s="38" t="s">
        <v>142</v>
      </c>
      <c r="E63" s="39">
        <v>7449</v>
      </c>
      <c r="F63" s="40">
        <v>51.2</v>
      </c>
      <c r="G63" s="41">
        <v>4.47854102399E-3</v>
      </c>
      <c r="H63" s="42"/>
      <c r="I63" s="43">
        <v>70</v>
      </c>
    </row>
    <row r="64" spans="1:9" x14ac:dyDescent="0.35">
      <c r="A64" s="23"/>
      <c r="B64" s="45" t="s">
        <v>143</v>
      </c>
      <c r="C64" s="38" t="s">
        <v>144</v>
      </c>
      <c r="D64" s="38" t="s">
        <v>91</v>
      </c>
      <c r="E64" s="39">
        <v>1214</v>
      </c>
      <c r="F64" s="40">
        <v>46.74</v>
      </c>
      <c r="G64" s="41">
        <v>4.0879772564999996E-3</v>
      </c>
      <c r="H64" s="42"/>
      <c r="I64" s="43">
        <v>69.599999999999994</v>
      </c>
    </row>
    <row r="65" spans="1:10" x14ac:dyDescent="0.35">
      <c r="A65" s="23"/>
      <c r="B65" s="45" t="s">
        <v>145</v>
      </c>
      <c r="C65" s="38" t="s">
        <v>146</v>
      </c>
      <c r="D65" s="38" t="s">
        <v>51</v>
      </c>
      <c r="E65" s="39">
        <v>2928</v>
      </c>
      <c r="F65" s="40">
        <v>41.72</v>
      </c>
      <c r="G65" s="41">
        <v>3.6490894852899999E-3</v>
      </c>
      <c r="H65" s="42"/>
      <c r="I65" s="43">
        <v>70.900000000000006</v>
      </c>
    </row>
    <row r="66" spans="1:10" x14ac:dyDescent="0.35">
      <c r="A66" s="23"/>
      <c r="B66" s="45" t="s">
        <v>147</v>
      </c>
      <c r="C66" s="38" t="s">
        <v>148</v>
      </c>
      <c r="D66" s="38" t="s">
        <v>54</v>
      </c>
      <c r="E66" s="39">
        <v>4028</v>
      </c>
      <c r="F66" s="40">
        <v>41.38</v>
      </c>
      <c r="G66" s="41">
        <v>3.61940299836E-3</v>
      </c>
      <c r="H66" s="42"/>
      <c r="I66" s="43">
        <v>74.2</v>
      </c>
    </row>
    <row r="67" spans="1:10" x14ac:dyDescent="0.35">
      <c r="A67" s="23"/>
      <c r="B67" s="45" t="s">
        <v>149</v>
      </c>
      <c r="C67" s="38" t="s">
        <v>150</v>
      </c>
      <c r="D67" s="38" t="s">
        <v>60</v>
      </c>
      <c r="E67" s="39">
        <v>155</v>
      </c>
      <c r="F67" s="40">
        <v>41.19</v>
      </c>
      <c r="G67" s="41">
        <v>3.6027491638000002E-3</v>
      </c>
      <c r="H67" s="42"/>
      <c r="I67" s="43">
        <v>66.400000000000006</v>
      </c>
    </row>
    <row r="68" spans="1:10" x14ac:dyDescent="0.35">
      <c r="A68" s="23"/>
      <c r="B68" s="45" t="s">
        <v>151</v>
      </c>
      <c r="C68" s="38" t="s">
        <v>152</v>
      </c>
      <c r="D68" s="38" t="s">
        <v>60</v>
      </c>
      <c r="E68" s="39">
        <v>7082</v>
      </c>
      <c r="F68" s="40">
        <v>39.4</v>
      </c>
      <c r="G68" s="41">
        <v>3.4461412119699999E-3</v>
      </c>
      <c r="H68" s="42"/>
      <c r="I68" s="43">
        <v>66.599999999999994</v>
      </c>
    </row>
    <row r="69" spans="1:10" x14ac:dyDescent="0.35">
      <c r="A69" s="23"/>
      <c r="B69" s="45" t="s">
        <v>153</v>
      </c>
      <c r="C69" s="38" t="s">
        <v>154</v>
      </c>
      <c r="D69" s="38" t="s">
        <v>33</v>
      </c>
      <c r="E69" s="39">
        <v>1655</v>
      </c>
      <c r="F69" s="40">
        <v>38.03</v>
      </c>
      <c r="G69" s="41">
        <v>3.3264199538200001E-3</v>
      </c>
      <c r="H69" s="42"/>
      <c r="I69" s="43">
        <v>69.099999999999994</v>
      </c>
    </row>
    <row r="70" spans="1:10" x14ac:dyDescent="0.35">
      <c r="A70" s="23"/>
      <c r="B70" s="45" t="s">
        <v>155</v>
      </c>
      <c r="C70" s="38" t="s">
        <v>156</v>
      </c>
      <c r="D70" s="38" t="s">
        <v>54</v>
      </c>
      <c r="E70" s="39">
        <v>3559</v>
      </c>
      <c r="F70" s="40">
        <v>36.130000000000003</v>
      </c>
      <c r="G70" s="41">
        <v>3.1598456605500002E-3</v>
      </c>
      <c r="H70" s="42"/>
      <c r="I70" s="43">
        <v>71.2</v>
      </c>
    </row>
    <row r="71" spans="1:10" x14ac:dyDescent="0.35">
      <c r="A71" s="23"/>
      <c r="B71" s="45" t="s">
        <v>157</v>
      </c>
      <c r="C71" s="38" t="s">
        <v>158</v>
      </c>
      <c r="D71" s="38" t="s">
        <v>159</v>
      </c>
      <c r="E71" s="39">
        <v>100</v>
      </c>
      <c r="F71" s="40">
        <v>36.04</v>
      </c>
      <c r="G71" s="41">
        <v>3.1522005247099998E-3</v>
      </c>
      <c r="H71" s="42"/>
      <c r="I71" s="43">
        <v>70.3</v>
      </c>
    </row>
    <row r="72" spans="1:10" x14ac:dyDescent="0.35">
      <c r="A72" s="23"/>
      <c r="B72" s="45" t="s">
        <v>160</v>
      </c>
      <c r="C72" s="38" t="s">
        <v>161</v>
      </c>
      <c r="D72" s="38" t="s">
        <v>139</v>
      </c>
      <c r="E72" s="39">
        <v>609</v>
      </c>
      <c r="F72" s="40">
        <v>31.49</v>
      </c>
      <c r="G72" s="41">
        <v>2.7538285011300002E-3</v>
      </c>
      <c r="H72" s="42"/>
      <c r="I72" s="43">
        <v>74.2</v>
      </c>
    </row>
    <row r="73" spans="1:10" x14ac:dyDescent="0.35">
      <c r="A73" s="23"/>
      <c r="B73" s="45" t="s">
        <v>162</v>
      </c>
      <c r="C73" s="38" t="s">
        <v>163</v>
      </c>
      <c r="D73" s="38" t="s">
        <v>139</v>
      </c>
      <c r="E73" s="39">
        <v>1026</v>
      </c>
      <c r="F73" s="40">
        <v>31.43</v>
      </c>
      <c r="G73" s="41">
        <v>2.7489443395899999E-3</v>
      </c>
      <c r="H73" s="42"/>
      <c r="I73" s="43">
        <v>61.5</v>
      </c>
    </row>
    <row r="74" spans="1:10" x14ac:dyDescent="0.35">
      <c r="A74" s="23"/>
      <c r="B74" s="45" t="s">
        <v>164</v>
      </c>
      <c r="C74" s="38" t="s">
        <v>165</v>
      </c>
      <c r="D74" s="38" t="s">
        <v>65</v>
      </c>
      <c r="E74" s="39">
        <v>5034</v>
      </c>
      <c r="F74" s="40">
        <v>30.83</v>
      </c>
      <c r="G74" s="41">
        <v>2.6965774900000001E-3</v>
      </c>
      <c r="H74" s="42"/>
      <c r="I74" s="43">
        <v>67.3</v>
      </c>
    </row>
    <row r="75" spans="1:10" x14ac:dyDescent="0.35">
      <c r="A75" s="23"/>
      <c r="B75" s="45" t="s">
        <v>166</v>
      </c>
      <c r="C75" s="38" t="s">
        <v>167</v>
      </c>
      <c r="D75" s="38" t="s">
        <v>54</v>
      </c>
      <c r="E75" s="39">
        <v>6231</v>
      </c>
      <c r="F75" s="40">
        <v>30.06</v>
      </c>
      <c r="G75" s="41">
        <v>2.62929379604E-3</v>
      </c>
      <c r="H75" s="42"/>
      <c r="I75" s="43">
        <v>70</v>
      </c>
    </row>
    <row r="76" spans="1:10" x14ac:dyDescent="0.35">
      <c r="A76" s="23"/>
      <c r="B76" s="45" t="s">
        <v>168</v>
      </c>
      <c r="C76" s="38" t="s">
        <v>169</v>
      </c>
      <c r="D76" s="38" t="s">
        <v>38</v>
      </c>
      <c r="E76" s="39">
        <v>10874</v>
      </c>
      <c r="F76" s="40">
        <v>10.26</v>
      </c>
      <c r="G76" s="41">
        <v>8.9715652024000003E-4</v>
      </c>
      <c r="H76" s="42"/>
      <c r="I76" s="43">
        <v>76.599999999999994</v>
      </c>
    </row>
    <row r="77" spans="1:10" x14ac:dyDescent="0.35">
      <c r="A77" s="23"/>
      <c r="B77" s="45" t="s">
        <v>170</v>
      </c>
      <c r="C77" s="38" t="s">
        <v>171</v>
      </c>
      <c r="D77" s="38" t="s">
        <v>83</v>
      </c>
      <c r="E77" s="39">
        <v>11647</v>
      </c>
      <c r="F77" s="40">
        <v>4.68</v>
      </c>
      <c r="G77" s="41">
        <v>4.095144052E-4</v>
      </c>
      <c r="H77" s="42"/>
      <c r="I77" s="43" t="s">
        <v>172</v>
      </c>
    </row>
    <row r="78" spans="1:10" x14ac:dyDescent="0.35">
      <c r="B78" s="46" t="s">
        <v>173</v>
      </c>
      <c r="C78" s="38"/>
      <c r="D78" s="38"/>
      <c r="E78" s="39"/>
      <c r="F78" s="47">
        <v>11431.45</v>
      </c>
      <c r="G78" s="48">
        <v>0.99983855266813004</v>
      </c>
      <c r="H78" s="42"/>
      <c r="I78" s="49">
        <f>SUMPRODUCT(I12:I77,G12:G77)</f>
        <v>74.164149702285954</v>
      </c>
      <c r="J78" s="50" t="s">
        <v>174</v>
      </c>
    </row>
    <row r="79" spans="1:10" x14ac:dyDescent="0.35">
      <c r="B79" s="46" t="s">
        <v>175</v>
      </c>
      <c r="C79" s="38"/>
      <c r="D79" s="38"/>
      <c r="E79" s="39"/>
      <c r="F79" s="51"/>
      <c r="G79" s="52"/>
      <c r="H79" s="42"/>
    </row>
    <row r="80" spans="1:10" x14ac:dyDescent="0.35">
      <c r="B80" s="46" t="s">
        <v>173</v>
      </c>
      <c r="C80" s="38"/>
      <c r="D80" s="38"/>
      <c r="E80" s="53"/>
      <c r="F80" s="47" t="s">
        <v>176</v>
      </c>
      <c r="G80" s="54" t="s">
        <v>176</v>
      </c>
      <c r="H80" s="55"/>
    </row>
    <row r="81" spans="1:224" x14ac:dyDescent="0.35">
      <c r="B81" s="56" t="s">
        <v>177</v>
      </c>
      <c r="C81" s="57"/>
      <c r="D81" s="57"/>
      <c r="E81" s="58"/>
      <c r="F81" s="59">
        <v>11431.45</v>
      </c>
      <c r="G81" s="60">
        <v>0.99983855266813004</v>
      </c>
      <c r="H81" s="61"/>
    </row>
    <row r="82" spans="1:224" x14ac:dyDescent="0.35">
      <c r="B82" s="62"/>
      <c r="C82" s="63"/>
      <c r="D82" s="63"/>
      <c r="E82" s="64"/>
      <c r="F82" s="65"/>
      <c r="G82" s="66"/>
      <c r="H82" s="67"/>
    </row>
    <row r="83" spans="1:224" x14ac:dyDescent="0.35">
      <c r="A83" s="36"/>
      <c r="B83" s="37" t="s">
        <v>178</v>
      </c>
      <c r="C83" s="38"/>
      <c r="D83" s="38"/>
      <c r="E83" s="39"/>
      <c r="F83" s="40"/>
      <c r="G83" s="41"/>
      <c r="H83" s="42"/>
    </row>
    <row r="84" spans="1:224" x14ac:dyDescent="0.35">
      <c r="B84" s="44" t="s">
        <v>179</v>
      </c>
      <c r="C84" s="38"/>
      <c r="D84" s="38"/>
      <c r="E84" s="39"/>
      <c r="F84" s="40"/>
      <c r="G84" s="41"/>
      <c r="H84" s="42"/>
    </row>
    <row r="85" spans="1:224" x14ac:dyDescent="0.35">
      <c r="A85" s="23"/>
      <c r="B85" s="45" t="s">
        <v>180</v>
      </c>
      <c r="C85" s="38" t="s">
        <v>181</v>
      </c>
      <c r="D85" s="38" t="s">
        <v>182</v>
      </c>
      <c r="E85" s="39">
        <v>12408</v>
      </c>
      <c r="F85" s="40">
        <v>1.26</v>
      </c>
      <c r="G85" s="41">
        <v>1.1054383273E-4</v>
      </c>
      <c r="H85" s="42">
        <v>6.105E-2</v>
      </c>
    </row>
    <row r="86" spans="1:224" x14ac:dyDescent="0.35">
      <c r="B86" s="46" t="s">
        <v>173</v>
      </c>
      <c r="C86" s="38"/>
      <c r="D86" s="38"/>
      <c r="E86" s="39"/>
      <c r="F86" s="47">
        <v>1.26</v>
      </c>
      <c r="G86" s="48">
        <v>1.1054383273E-4</v>
      </c>
      <c r="H86" s="42"/>
    </row>
    <row r="87" spans="1:224" x14ac:dyDescent="0.35">
      <c r="B87" s="46" t="s">
        <v>183</v>
      </c>
      <c r="C87" s="38"/>
      <c r="D87" s="38"/>
      <c r="E87" s="39"/>
      <c r="F87" s="51"/>
      <c r="G87" s="52"/>
      <c r="H87" s="42"/>
    </row>
    <row r="88" spans="1:224" x14ac:dyDescent="0.35">
      <c r="B88" s="46" t="s">
        <v>173</v>
      </c>
      <c r="C88" s="38"/>
      <c r="D88" s="38"/>
      <c r="E88" s="53"/>
      <c r="F88" s="47" t="s">
        <v>176</v>
      </c>
      <c r="G88" s="54" t="s">
        <v>176</v>
      </c>
      <c r="H88" s="55"/>
    </row>
    <row r="89" spans="1:224" x14ac:dyDescent="0.35">
      <c r="B89" s="46" t="s">
        <v>184</v>
      </c>
      <c r="C89" s="38"/>
      <c r="D89" s="38"/>
      <c r="E89" s="53"/>
      <c r="F89" s="51"/>
      <c r="G89" s="68"/>
      <c r="H89" s="55"/>
    </row>
    <row r="90" spans="1:224" x14ac:dyDescent="0.35">
      <c r="B90" s="46" t="s">
        <v>173</v>
      </c>
      <c r="C90" s="38"/>
      <c r="D90" s="38"/>
      <c r="E90" s="53"/>
      <c r="F90" s="47" t="s">
        <v>176</v>
      </c>
      <c r="G90" s="54" t="s">
        <v>176</v>
      </c>
      <c r="H90" s="55"/>
    </row>
    <row r="91" spans="1:224" x14ac:dyDescent="0.35">
      <c r="B91" s="56" t="s">
        <v>177</v>
      </c>
      <c r="C91" s="57"/>
      <c r="D91" s="57"/>
      <c r="E91" s="58"/>
      <c r="F91" s="59">
        <v>1.26</v>
      </c>
      <c r="G91" s="60">
        <v>1.1054383273E-4</v>
      </c>
      <c r="H91" s="61"/>
    </row>
    <row r="92" spans="1:224" x14ac:dyDescent="0.35">
      <c r="B92" s="69"/>
      <c r="C92" s="70"/>
      <c r="D92" s="70"/>
      <c r="E92" s="71"/>
      <c r="F92" s="72"/>
      <c r="G92" s="73"/>
      <c r="H92" s="74"/>
    </row>
    <row r="93" spans="1:224" x14ac:dyDescent="0.35">
      <c r="B93" s="75" t="s">
        <v>185</v>
      </c>
      <c r="C93" s="76"/>
      <c r="D93" s="76"/>
      <c r="E93" s="77"/>
      <c r="F93" s="78"/>
      <c r="G93" s="79"/>
      <c r="H93" s="80"/>
    </row>
    <row r="94" spans="1:224" s="86" customFormat="1" ht="12" customHeight="1" x14ac:dyDescent="0.25">
      <c r="A94" s="22"/>
      <c r="B94" s="56" t="s">
        <v>177</v>
      </c>
      <c r="C94" s="81"/>
      <c r="D94" s="81"/>
      <c r="E94" s="82"/>
      <c r="F94" s="83" t="s">
        <v>176</v>
      </c>
      <c r="G94" s="84" t="s">
        <v>176</v>
      </c>
      <c r="H94" s="85"/>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c r="DA94" s="22"/>
      <c r="DB94" s="22"/>
      <c r="DC94" s="22"/>
      <c r="DD94" s="22"/>
      <c r="DE94" s="22"/>
      <c r="DF94" s="22"/>
      <c r="DG94" s="22"/>
      <c r="DH94" s="22"/>
      <c r="DI94" s="22"/>
      <c r="DJ94" s="22"/>
      <c r="DK94" s="22"/>
      <c r="DL94" s="22"/>
      <c r="DM94" s="22"/>
      <c r="DN94" s="22"/>
      <c r="DO94" s="22"/>
      <c r="DP94" s="22"/>
      <c r="DQ94" s="22"/>
      <c r="DR94" s="22"/>
      <c r="DS94" s="22"/>
      <c r="DT94" s="22"/>
      <c r="DU94" s="22"/>
      <c r="DV94" s="22"/>
      <c r="DW94" s="22"/>
      <c r="DX94" s="22"/>
      <c r="DY94" s="22"/>
      <c r="DZ94" s="22"/>
      <c r="EA94" s="22"/>
      <c r="EB94" s="22"/>
      <c r="EC94" s="22"/>
      <c r="ED94" s="22"/>
      <c r="EE94" s="22"/>
      <c r="EF94" s="22"/>
      <c r="EG94" s="22"/>
      <c r="EH94" s="22"/>
      <c r="EI94" s="22"/>
      <c r="EJ94" s="22"/>
      <c r="EK94" s="22"/>
      <c r="EL94" s="22"/>
      <c r="EM94" s="22"/>
      <c r="EN94" s="22"/>
      <c r="EO94" s="22"/>
      <c r="EP94" s="22"/>
      <c r="EQ94" s="22"/>
      <c r="ER94" s="22"/>
      <c r="ES94" s="22"/>
      <c r="ET94" s="22"/>
      <c r="EU94" s="22"/>
      <c r="EV94" s="22"/>
      <c r="EW94" s="22"/>
      <c r="EX94" s="22"/>
      <c r="EY94" s="22"/>
      <c r="EZ94" s="22"/>
      <c r="FA94" s="22"/>
      <c r="FB94" s="22"/>
      <c r="FC94" s="22"/>
      <c r="FD94" s="22"/>
      <c r="FE94" s="22"/>
      <c r="FF94" s="22"/>
      <c r="FG94" s="22"/>
      <c r="FH94" s="22"/>
      <c r="FI94" s="22"/>
      <c r="FJ94" s="22"/>
      <c r="FK94" s="22"/>
      <c r="FL94" s="22"/>
      <c r="FM94" s="22"/>
      <c r="FN94" s="22"/>
      <c r="FO94" s="22"/>
      <c r="FP94" s="22"/>
      <c r="FQ94" s="22"/>
      <c r="FR94" s="22"/>
      <c r="FS94" s="22"/>
      <c r="FT94" s="22"/>
      <c r="FU94" s="22"/>
      <c r="FV94" s="22"/>
      <c r="FW94" s="22"/>
      <c r="FX94" s="22"/>
      <c r="FY94" s="22"/>
      <c r="FZ94" s="22"/>
      <c r="GA94" s="22"/>
      <c r="GB94" s="22"/>
      <c r="GC94" s="22"/>
      <c r="GD94" s="22"/>
      <c r="GE94" s="22"/>
      <c r="GF94" s="22"/>
      <c r="GG94" s="22"/>
      <c r="GH94" s="22"/>
      <c r="GI94" s="22"/>
      <c r="GJ94" s="22"/>
      <c r="GK94" s="22"/>
      <c r="GL94" s="22"/>
      <c r="GM94" s="22"/>
      <c r="GN94" s="22"/>
      <c r="GO94" s="22"/>
      <c r="GP94" s="22"/>
      <c r="GQ94" s="22"/>
      <c r="GR94" s="22"/>
      <c r="GS94" s="22"/>
      <c r="GT94" s="22"/>
      <c r="GU94" s="22"/>
      <c r="GV94" s="22"/>
      <c r="GW94" s="22"/>
      <c r="GX94" s="22"/>
      <c r="GY94" s="22"/>
      <c r="GZ94" s="22"/>
      <c r="HA94" s="22"/>
      <c r="HB94" s="22"/>
      <c r="HC94" s="22"/>
      <c r="HD94" s="22"/>
      <c r="HE94" s="22"/>
      <c r="HF94" s="22"/>
      <c r="HG94" s="22"/>
      <c r="HH94" s="22"/>
      <c r="HI94" s="22"/>
      <c r="HJ94" s="22"/>
      <c r="HK94" s="22"/>
      <c r="HL94" s="22"/>
      <c r="HM94" s="22"/>
      <c r="HN94" s="22"/>
      <c r="HO94" s="22"/>
      <c r="HP94" s="22"/>
    </row>
    <row r="95" spans="1:224" x14ac:dyDescent="0.35">
      <c r="B95" s="87"/>
      <c r="C95" s="63"/>
      <c r="D95" s="63"/>
      <c r="E95" s="64"/>
      <c r="F95" s="65"/>
      <c r="G95" s="66"/>
      <c r="H95" s="67"/>
    </row>
    <row r="96" spans="1:224" x14ac:dyDescent="0.35">
      <c r="A96" s="36"/>
      <c r="B96" s="37" t="s">
        <v>186</v>
      </c>
      <c r="C96" s="38"/>
      <c r="D96" s="38"/>
      <c r="E96" s="39"/>
      <c r="F96" s="40"/>
      <c r="G96" s="41"/>
      <c r="H96" s="42"/>
    </row>
    <row r="97" spans="1:8" x14ac:dyDescent="0.35">
      <c r="B97" s="44" t="s">
        <v>187</v>
      </c>
      <c r="C97" s="38"/>
      <c r="D97" s="38"/>
      <c r="E97" s="39"/>
      <c r="F97" s="40"/>
      <c r="G97" s="41"/>
      <c r="H97" s="42"/>
    </row>
    <row r="98" spans="1:8" x14ac:dyDescent="0.35">
      <c r="A98" s="23"/>
      <c r="B98" s="45" t="s">
        <v>188</v>
      </c>
      <c r="C98" s="38"/>
      <c r="D98" s="38"/>
      <c r="E98" s="39"/>
      <c r="F98" s="40">
        <v>33.96</v>
      </c>
      <c r="G98" s="41">
        <v>2.9706017626800001E-3</v>
      </c>
      <c r="H98" s="42">
        <v>5.3707999999999999E-2</v>
      </c>
    </row>
    <row r="99" spans="1:8" x14ac:dyDescent="0.35">
      <c r="B99" s="46" t="s">
        <v>173</v>
      </c>
      <c r="C99" s="38"/>
      <c r="D99" s="38"/>
      <c r="E99" s="39"/>
      <c r="F99" s="47">
        <v>33.96</v>
      </c>
      <c r="G99" s="48">
        <v>2.9706017626800001E-3</v>
      </c>
      <c r="H99" s="42"/>
    </row>
    <row r="100" spans="1:8" x14ac:dyDescent="0.35">
      <c r="B100" s="56" t="s">
        <v>177</v>
      </c>
      <c r="C100" s="57"/>
      <c r="D100" s="57"/>
      <c r="E100" s="58"/>
      <c r="F100" s="47">
        <v>33.96</v>
      </c>
      <c r="G100" s="48">
        <v>2.9706017626800001E-3</v>
      </c>
      <c r="H100" s="61"/>
    </row>
    <row r="101" spans="1:8" x14ac:dyDescent="0.35">
      <c r="B101" s="62"/>
      <c r="C101" s="63"/>
      <c r="D101" s="63"/>
      <c r="E101" s="64"/>
      <c r="F101" s="65"/>
      <c r="G101" s="66"/>
      <c r="H101" s="67"/>
    </row>
    <row r="102" spans="1:8" x14ac:dyDescent="0.35">
      <c r="B102" s="44" t="s">
        <v>189</v>
      </c>
      <c r="C102" s="38"/>
      <c r="D102" s="38"/>
      <c r="E102" s="39"/>
      <c r="F102" s="40"/>
      <c r="G102" s="41"/>
      <c r="H102" s="42"/>
    </row>
    <row r="103" spans="1:8" x14ac:dyDescent="0.35">
      <c r="A103" s="23"/>
      <c r="B103" s="45" t="s">
        <v>190</v>
      </c>
      <c r="C103" s="38"/>
      <c r="D103" s="38"/>
      <c r="E103" s="39"/>
      <c r="F103" s="40">
        <v>-33.39</v>
      </c>
      <c r="G103" s="41">
        <v>-2.9196982635900002E-3</v>
      </c>
      <c r="H103" s="42"/>
    </row>
    <row r="104" spans="1:8" x14ac:dyDescent="0.35">
      <c r="B104" s="56" t="s">
        <v>177</v>
      </c>
      <c r="C104" s="57"/>
      <c r="D104" s="57"/>
      <c r="E104" s="58"/>
      <c r="F104" s="47">
        <v>-33.39</v>
      </c>
      <c r="G104" s="48">
        <v>-2.9196982635900002E-3</v>
      </c>
      <c r="H104" s="61"/>
    </row>
    <row r="105" spans="1:8" x14ac:dyDescent="0.35">
      <c r="B105" s="62"/>
      <c r="C105" s="63"/>
      <c r="D105" s="63"/>
      <c r="E105" s="64"/>
      <c r="F105" s="65"/>
      <c r="G105" s="66"/>
      <c r="H105" s="67"/>
    </row>
    <row r="106" spans="1:8" ht="15" customHeight="1" thickBot="1" x14ac:dyDescent="0.4">
      <c r="B106" s="88" t="s">
        <v>191</v>
      </c>
      <c r="C106" s="89"/>
      <c r="D106" s="90"/>
      <c r="E106" s="91"/>
      <c r="F106" s="92">
        <v>11433.28</v>
      </c>
      <c r="G106" s="93">
        <v>0.99999999999995004</v>
      </c>
      <c r="H106" s="94"/>
    </row>
    <row r="107" spans="1:8" x14ac:dyDescent="0.35">
      <c r="B107" s="1" t="s">
        <v>192</v>
      </c>
    </row>
    <row r="108" spans="1:8" x14ac:dyDescent="0.35">
      <c r="B108" s="1" t="s">
        <v>193</v>
      </c>
    </row>
    <row r="109" spans="1:8" x14ac:dyDescent="0.35">
      <c r="B109" s="1" t="s">
        <v>194</v>
      </c>
    </row>
    <row r="110" spans="1:8" x14ac:dyDescent="0.35">
      <c r="B110" s="1" t="s">
        <v>195</v>
      </c>
    </row>
    <row r="111" spans="1:8" x14ac:dyDescent="0.35">
      <c r="B111" s="1" t="s">
        <v>196</v>
      </c>
    </row>
    <row r="112" spans="1:8" x14ac:dyDescent="0.35">
      <c r="B112" s="1" t="s">
        <v>197</v>
      </c>
    </row>
    <row r="114" spans="2:7" x14ac:dyDescent="0.35">
      <c r="B114" s="22" t="s">
        <v>198</v>
      </c>
    </row>
    <row r="115" spans="2:7" x14ac:dyDescent="0.35">
      <c r="B115" s="1" t="s">
        <v>199</v>
      </c>
    </row>
    <row r="116" spans="2:7" x14ac:dyDescent="0.35">
      <c r="B116" s="1" t="s">
        <v>200</v>
      </c>
    </row>
    <row r="117" spans="2:7" x14ac:dyDescent="0.35">
      <c r="B117" s="1" t="s">
        <v>201</v>
      </c>
    </row>
    <row r="118" spans="2:7" x14ac:dyDescent="0.35">
      <c r="B118" s="22" t="s">
        <v>202</v>
      </c>
      <c r="C118" s="22"/>
      <c r="D118" s="96" t="s">
        <v>203</v>
      </c>
      <c r="E118" s="97" t="s">
        <v>204</v>
      </c>
      <c r="F118" s="98"/>
      <c r="G118" s="99"/>
    </row>
    <row r="119" spans="2:7" x14ac:dyDescent="0.35">
      <c r="B119" s="1" t="s">
        <v>205</v>
      </c>
      <c r="D119" s="100">
        <v>44.3782</v>
      </c>
      <c r="E119" s="100">
        <v>44.476199999999999</v>
      </c>
    </row>
    <row r="121" spans="2:7" x14ac:dyDescent="0.35">
      <c r="B121" s="1" t="s">
        <v>206</v>
      </c>
    </row>
    <row r="122" spans="2:7" x14ac:dyDescent="0.35">
      <c r="B122" s="1" t="s">
        <v>207</v>
      </c>
    </row>
    <row r="123" spans="2:7" x14ac:dyDescent="0.35">
      <c r="B123" s="1" t="s">
        <v>208</v>
      </c>
    </row>
    <row r="124" spans="2:7" x14ac:dyDescent="0.35">
      <c r="B124" s="1" t="s">
        <v>209</v>
      </c>
    </row>
    <row r="125" spans="2:7" x14ac:dyDescent="0.35">
      <c r="B125" s="1" t="s">
        <v>210</v>
      </c>
    </row>
    <row r="126" spans="2:7" x14ac:dyDescent="0.35">
      <c r="B126" s="1" t="s">
        <v>211</v>
      </c>
    </row>
    <row r="127" spans="2:7" x14ac:dyDescent="0.35">
      <c r="B127" s="1" t="s">
        <v>212</v>
      </c>
    </row>
    <row r="128" spans="2:7" x14ac:dyDescent="0.35">
      <c r="B128" s="1" t="s">
        <v>213</v>
      </c>
    </row>
    <row r="129" spans="2:2" x14ac:dyDescent="0.35">
      <c r="B129" s="1" t="s">
        <v>214</v>
      </c>
    </row>
    <row r="145" spans="2:8" x14ac:dyDescent="0.35">
      <c r="B145" s="101" t="s">
        <v>215</v>
      </c>
      <c r="C145" s="101"/>
      <c r="D145" s="101"/>
      <c r="E145" s="101"/>
      <c r="F145" s="101"/>
      <c r="G145" s="101"/>
      <c r="H145" s="101"/>
    </row>
    <row r="146" spans="2:8" x14ac:dyDescent="0.35">
      <c r="B146" s="101"/>
      <c r="C146" s="101"/>
      <c r="D146" s="101"/>
      <c r="E146" s="101"/>
      <c r="F146" s="101"/>
      <c r="G146" s="101"/>
      <c r="H146" s="101"/>
    </row>
    <row r="147" spans="2:8" x14ac:dyDescent="0.35">
      <c r="B147" s="101"/>
      <c r="C147" s="101"/>
      <c r="D147" s="101"/>
      <c r="E147" s="101"/>
      <c r="F147" s="101"/>
      <c r="G147" s="101"/>
      <c r="H147" s="101"/>
    </row>
  </sheetData>
  <mergeCells count="4">
    <mergeCell ref="B1:H2"/>
    <mergeCell ref="B3:H4"/>
    <mergeCell ref="B5:H5"/>
    <mergeCell ref="B145:H14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MAETF</vt:lpstr>
      <vt:lpstr>XDO_?AUM?20?</vt:lpstr>
      <vt:lpstr>XDO_?CLASS_3?20?</vt:lpstr>
      <vt:lpstr>XDO_?CLASS_4?65?</vt:lpstr>
      <vt:lpstr>XDO_?CLASS_4?66?</vt:lpstr>
      <vt:lpstr>XDO_?CLASS_4?67?</vt:lpstr>
      <vt:lpstr>XDO_?CLASS_4?68?</vt:lpstr>
      <vt:lpstr>XDO_?FINAL_ISIN?89?</vt:lpstr>
      <vt:lpstr>XDO_?FINAL_ISIN?90?</vt:lpstr>
      <vt:lpstr>XDO_?FINAL_ISIN?91?</vt:lpstr>
      <vt:lpstr>XDO_?FINAL_ISIN?92?</vt:lpstr>
      <vt:lpstr>XDO_?FINAL_MV?89?</vt:lpstr>
      <vt:lpstr>XDO_?FINAL_MV?90?</vt:lpstr>
      <vt:lpstr>XDO_?FINAL_MV?91?</vt:lpstr>
      <vt:lpstr>XDO_?FINAL_MV?92?</vt:lpstr>
      <vt:lpstr>XDO_?FINAL_NAME?89?</vt:lpstr>
      <vt:lpstr>XDO_?FINAL_NAME?90?</vt:lpstr>
      <vt:lpstr>XDO_?FINAL_NAME?91?</vt:lpstr>
      <vt:lpstr>XDO_?FINAL_NAME?92?</vt:lpstr>
      <vt:lpstr>XDO_?FINAL_PER_NET?89?</vt:lpstr>
      <vt:lpstr>XDO_?FINAL_PER_NET?90?</vt:lpstr>
      <vt:lpstr>XDO_?FINAL_PER_NET?91?</vt:lpstr>
      <vt:lpstr>XDO_?FINAL_PER_NET?92?</vt:lpstr>
      <vt:lpstr>XDO_?FINAL_QUANTITE?89?</vt:lpstr>
      <vt:lpstr>XDO_?FINAL_QUANTITE?90?</vt:lpstr>
      <vt:lpstr>XDO_?FINAL_QUANTITE?91?</vt:lpstr>
      <vt:lpstr>XDO_?FINAL_QUANTITE?92?</vt:lpstr>
      <vt:lpstr>XDO_?LONG_DESC?20?</vt:lpstr>
      <vt:lpstr>XDO_?NOVAL?89?</vt:lpstr>
      <vt:lpstr>XDO_?NOVAL?90?</vt:lpstr>
      <vt:lpstr>XDO_?NOVAL?91?</vt:lpstr>
      <vt:lpstr>XDO_?NOVAL?92?</vt:lpstr>
      <vt:lpstr>XDO_?NPTF?20?</vt:lpstr>
      <vt:lpstr>XDO_?RATING?89?</vt:lpstr>
      <vt:lpstr>XDO_?RATING?90?</vt:lpstr>
      <vt:lpstr>XDO_?RATING?91?</vt:lpstr>
      <vt:lpstr>XDO_?RATING?92?</vt:lpstr>
      <vt:lpstr>XDO_?TDATE?20?</vt:lpstr>
      <vt:lpstr>XDO_?YTM?89?</vt:lpstr>
      <vt:lpstr>XDO_?YTM?90?</vt:lpstr>
      <vt:lpstr>XDO_?YTM?91?</vt:lpstr>
      <vt:lpstr>XDO_?YTM?92?</vt:lpstr>
      <vt:lpstr>XDO_GROUP_?G_3?20?</vt:lpstr>
      <vt:lpstr>XDO_GROUP_?G_4?65?</vt:lpstr>
      <vt:lpstr>XDO_GROUP_?G_4?66?</vt:lpstr>
      <vt:lpstr>XDO_GROUP_?G_4?67?</vt:lpstr>
      <vt:lpstr>XDO_GROUP_?G_4?68?</vt:lpstr>
      <vt:lpstr>XDO_GROUP_?G_5?89?</vt:lpstr>
      <vt:lpstr>XDO_GROUP_?G_5?90?</vt:lpstr>
      <vt:lpstr>XDO_GROUP_?G_5?91?</vt:lpstr>
      <vt:lpstr>XDO_GROUP_?G_5?92?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2026-01-08T08:43:48Z</dcterms:created>
  <dcterms:modified xsi:type="dcterms:W3CDTF">2026-01-08T08:43:49Z</dcterms:modified>
</cp:coreProperties>
</file>