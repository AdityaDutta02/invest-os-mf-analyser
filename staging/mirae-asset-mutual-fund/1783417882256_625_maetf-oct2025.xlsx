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mc:AlternateContent xmlns:mc="http://schemas.openxmlformats.org/markup-compatibility/2006">
    <mc:Choice Requires="x15">
      <x15ac:absPath xmlns:x15ac="http://schemas.microsoft.com/office/spreadsheetml/2010/11/ac" url="C:\Users\shah.heli\Documents\KRA\Equity Monthly Portfolio\portfolio\"/>
    </mc:Choice>
  </mc:AlternateContent>
  <xr:revisionPtr revIDLastSave="0" documentId="8_{EBA08962-1DD4-4D58-AF3D-E52C922B3143}" xr6:coauthVersionLast="47" xr6:coauthVersionMax="47" xr10:uidLastSave="{00000000-0000-0000-0000-000000000000}"/>
  <bookViews>
    <workbookView xWindow="-120" yWindow="-120" windowWidth="20730" windowHeight="11040" xr2:uid="{27B6FBA8-0573-4D2A-BA85-328B942453B6}"/>
  </bookViews>
  <sheets>
    <sheet name="MAETF" sheetId="1" r:id="rId1"/>
  </sheets>
  <externalReferences>
    <externalReference r:id="rId2"/>
  </externalReferences>
  <definedNames>
    <definedName name="XDO_?AUM?20?">MAETF!$F$95</definedName>
    <definedName name="XDO_?AUM?82?">#REF!</definedName>
    <definedName name="XDO_?AUM?83?">#REF!</definedName>
    <definedName name="XDO_?AUM?84?">#REF!</definedName>
    <definedName name="XDO_?AUM?85?">#REF!</definedName>
    <definedName name="XDO_?AUM?86?">#REF!</definedName>
    <definedName name="XDO_?CLASS_3?20?">MAETF!$B$5:$B$66</definedName>
    <definedName name="XDO_?CLASS_3?82?">#REF!</definedName>
    <definedName name="XDO_?CLASS_3?83?">#REF!</definedName>
    <definedName name="XDO_?CLASS_3?84?">#REF!</definedName>
    <definedName name="XDO_?CLASS_3?85?">#REF!</definedName>
    <definedName name="XDO_?CLASS_3?86?">#REF!</definedName>
    <definedName name="XDO_?CLASS_4?244?">#REF!</definedName>
    <definedName name="XDO_?CLASS_4?245?">#REF!</definedName>
    <definedName name="XDO_?CLASS_4?246?">#REF!</definedName>
    <definedName name="XDO_?CLASS_4?247?">#REF!</definedName>
    <definedName name="XDO_?CLASS_4?248?">#REF!</definedName>
    <definedName name="XDO_?CLASS_4?249?">#REF!</definedName>
    <definedName name="XDO_?CLASS_4?250?">#REF!</definedName>
    <definedName name="XDO_?CLASS_4?251?">#REF!</definedName>
    <definedName name="XDO_?CLASS_4?252?">#REF!</definedName>
    <definedName name="XDO_?CLASS_4?253?">#REF!</definedName>
    <definedName name="XDO_?CLASS_4?64?">MAETF!$B$6:$B$66</definedName>
    <definedName name="XDO_?CLASS_4?65?">MAETF!$B$6:$B$74</definedName>
    <definedName name="XDO_?CLASS_4?66?">MAETF!$B$6:$B$87</definedName>
    <definedName name="XDO_?CLASS_4?67?">MAETF!$B$6:$B$92</definedName>
    <definedName name="XDO_?FINAL_ISIN?301?">#REF!</definedName>
    <definedName name="XDO_?FINAL_ISIN?302?">#REF!</definedName>
    <definedName name="XDO_?FINAL_ISIN?303?">#REF!</definedName>
    <definedName name="XDO_?FINAL_ISIN?304?">#REF!</definedName>
    <definedName name="XDO_?FINAL_ISIN?305?">#REF!</definedName>
    <definedName name="XDO_?FINAL_ISIN?306?">#REF!</definedName>
    <definedName name="XDO_?FINAL_ISIN?307?">#REF!</definedName>
    <definedName name="XDO_?FINAL_ISIN?308?">#REF!</definedName>
    <definedName name="XDO_?FINAL_ISIN?309?">#REF!</definedName>
    <definedName name="XDO_?FINAL_ISIN?310?">#REF!</definedName>
    <definedName name="XDO_?FINAL_ISIN?90?">MAETF!$C$7:$C$66</definedName>
    <definedName name="XDO_?FINAL_ISIN?91?">MAETF!$C$7:$C$74</definedName>
    <definedName name="XDO_?FINAL_ISIN?92?">MAETF!$C$7:$C$87</definedName>
    <definedName name="XDO_?FINAL_ISIN?93?">MAETF!$C$7:$C$92</definedName>
    <definedName name="XDO_?FINAL_MV?301?">#REF!</definedName>
    <definedName name="XDO_?FINAL_MV?302?">#REF!</definedName>
    <definedName name="XDO_?FINAL_MV?303?">#REF!</definedName>
    <definedName name="XDO_?FINAL_MV?304?">#REF!</definedName>
    <definedName name="XDO_?FINAL_MV?305?">#REF!</definedName>
    <definedName name="XDO_?FINAL_MV?306?">#REF!</definedName>
    <definedName name="XDO_?FINAL_MV?307?">#REF!</definedName>
    <definedName name="XDO_?FINAL_MV?308?">#REF!</definedName>
    <definedName name="XDO_?FINAL_MV?309?">#REF!</definedName>
    <definedName name="XDO_?FINAL_MV?310?">#REF!</definedName>
    <definedName name="XDO_?FINAL_MV?90?">MAETF!$F$7:$F$66</definedName>
    <definedName name="XDO_?FINAL_MV?91?">MAETF!$F$7:$F$74</definedName>
    <definedName name="XDO_?FINAL_MV?92?">MAETF!$F$7:$F$87</definedName>
    <definedName name="XDO_?FINAL_MV?93?">MAETF!$F$7:$F$92</definedName>
    <definedName name="XDO_?FINAL_NAME?301?">#REF!</definedName>
    <definedName name="XDO_?FINAL_NAME?302?">#REF!</definedName>
    <definedName name="XDO_?FINAL_NAME?303?">#REF!</definedName>
    <definedName name="XDO_?FINAL_NAME?304?">#REF!</definedName>
    <definedName name="XDO_?FINAL_NAME?305?">#REF!</definedName>
    <definedName name="XDO_?FINAL_NAME?306?">#REF!</definedName>
    <definedName name="XDO_?FINAL_NAME?307?">#REF!</definedName>
    <definedName name="XDO_?FINAL_NAME?308?">#REF!</definedName>
    <definedName name="XDO_?FINAL_NAME?309?">#REF!</definedName>
    <definedName name="XDO_?FINAL_NAME?310?">#REF!</definedName>
    <definedName name="XDO_?FINAL_NAME?90?">MAETF!$B$7:$B$66</definedName>
    <definedName name="XDO_?FINAL_NAME?91?">MAETF!$B$7:$B$74</definedName>
    <definedName name="XDO_?FINAL_NAME?92?">MAETF!$B$7:$B$87</definedName>
    <definedName name="XDO_?FINAL_NAME?93?">MAETF!$B$7:$B$92</definedName>
    <definedName name="XDO_?FINAL_PER_NET?301?">#REF!</definedName>
    <definedName name="XDO_?FINAL_PER_NET?302?">#REF!</definedName>
    <definedName name="XDO_?FINAL_PER_NET?303?">#REF!</definedName>
    <definedName name="XDO_?FINAL_PER_NET?304?">#REF!</definedName>
    <definedName name="XDO_?FINAL_PER_NET?305?">#REF!</definedName>
    <definedName name="XDO_?FINAL_PER_NET?306?">#REF!</definedName>
    <definedName name="XDO_?FINAL_PER_NET?307?">#REF!</definedName>
    <definedName name="XDO_?FINAL_PER_NET?308?">#REF!</definedName>
    <definedName name="XDO_?FINAL_PER_NET?309?">#REF!</definedName>
    <definedName name="XDO_?FINAL_PER_NET?310?">#REF!</definedName>
    <definedName name="XDO_?FINAL_PER_NET?90?">MAETF!$G$7:$G$66</definedName>
    <definedName name="XDO_?FINAL_PER_NET?91?">MAETF!$G$7:$G$74</definedName>
    <definedName name="XDO_?FINAL_PER_NET?92?">MAETF!$G$7:$G$87</definedName>
    <definedName name="XDO_?FINAL_PER_NET?93?">MAETF!$G$7:$G$92</definedName>
    <definedName name="XDO_?FINAL_QUANTITE?301?">#REF!</definedName>
    <definedName name="XDO_?FINAL_QUANTITE?302?">#REF!</definedName>
    <definedName name="XDO_?FINAL_QUANTITE?303?">#REF!</definedName>
    <definedName name="XDO_?FINAL_QUANTITE?304?">#REF!</definedName>
    <definedName name="XDO_?FINAL_QUANTITE?305?">#REF!</definedName>
    <definedName name="XDO_?FINAL_QUANTITE?306?">#REF!</definedName>
    <definedName name="XDO_?FINAL_QUANTITE?307?">#REF!</definedName>
    <definedName name="XDO_?FINAL_QUANTITE?308?">#REF!</definedName>
    <definedName name="XDO_?FINAL_QUANTITE?309?">#REF!</definedName>
    <definedName name="XDO_?FINAL_QUANTITE?310?">#REF!</definedName>
    <definedName name="XDO_?FINAL_QUANTITE?90?">MAETF!$E$7:$E$66</definedName>
    <definedName name="XDO_?FINAL_QUANTITE?91?">MAETF!$E$7:$E$74</definedName>
    <definedName name="XDO_?FINAL_QUANTITE?92?">MAETF!$E$7:$E$87</definedName>
    <definedName name="XDO_?FINAL_QUANTITE?93?">MAETF!$E$7:$E$92</definedName>
    <definedName name="XDO_?LONG_DESC?20?">MAETF!$B$1</definedName>
    <definedName name="XDO_?LONG_DESC?82?">#REF!</definedName>
    <definedName name="XDO_?LONG_DESC?83?">#REF!</definedName>
    <definedName name="XDO_?LONG_DESC?84?">#REF!</definedName>
    <definedName name="XDO_?LONG_DESC?85?">#REF!</definedName>
    <definedName name="XDO_?LONG_DESC?86?">#REF!</definedName>
    <definedName name="XDO_?NAMC?">#REF!</definedName>
    <definedName name="XDO_?NAMC?1?">#REF!</definedName>
    <definedName name="XDO_?NAMC?10?" localSheetId="0">#REF!</definedName>
    <definedName name="XDO_?NAMC?10?">[1]MAN50ETF!#REF!</definedName>
    <definedName name="XDO_?NAMC?11?">#REF!</definedName>
    <definedName name="XDO_?NAMC?12?">#REF!</definedName>
    <definedName name="XDO_?NAMC?13?">#REF!</definedName>
    <definedName name="XDO_?NAMC?14?">#REF!</definedName>
    <definedName name="XDO_?NAMC?15?" localSheetId="0">#REF!</definedName>
    <definedName name="XDO_?NAMC?15?">[1]MANNF!#REF!</definedName>
    <definedName name="XDO_?NAMC?16?">#REF!</definedName>
    <definedName name="XDO_?NAMC?17?">#REF!</definedName>
    <definedName name="XDO_?NAMC?18?" localSheetId="0">#REF!</definedName>
    <definedName name="XDO_?NAMC?18?">[1]MAEAF!#REF!</definedName>
    <definedName name="XDO_?NAMC?19?">#REF!</definedName>
    <definedName name="XDO_?NAMC?2?">#REF!</definedName>
    <definedName name="XDO_?NAMC?20?">MAETF!#REF!</definedName>
    <definedName name="XDO_?NAMC?21?">[1]MASLF!#REF!</definedName>
    <definedName name="XDO_?NAMC?22?">#REF!</definedName>
    <definedName name="XDO_?NAMC?23?">#REF!</definedName>
    <definedName name="XDO_?NAMC?24?">[1]MAFTF!#REF!</definedName>
    <definedName name="XDO_?NAMC?25?">[1]MAFPF!#REF!</definedName>
    <definedName name="XDO_?NAMC?26?">[1]MANTF!#REF!</definedName>
    <definedName name="XDO_?NAMC?27?">#REF!</definedName>
    <definedName name="XDO_?NAMC?28?">[1]MATPF!#REF!</definedName>
    <definedName name="XDO_?NAMC?29?">[1]MASPF!#REF!</definedName>
    <definedName name="XDO_?NAMC?3?">#REF!</definedName>
    <definedName name="XDO_?NAMC?30?">[1]MAHTF!#REF!</definedName>
    <definedName name="XDO_?NAMC?31?">[1]MAHSF!#REF!</definedName>
    <definedName name="XDO_?NAMC?32?">[1]MTETF!#REF!</definedName>
    <definedName name="XDO_?NAMC?33?">[1]MAMFOF!#REF!</definedName>
    <definedName name="XDO_?NAMC?34?">[1]MANMF!#REF!</definedName>
    <definedName name="XDO_?NAMC?35?">[1]MANJF!#REF!</definedName>
    <definedName name="XDO_?NAMC?36?">#REF!</definedName>
    <definedName name="XDO_?NAMC?37?">[1]MAGEF!#REF!</definedName>
    <definedName name="XDO_?NAMC?38?">[1]MAAIF!#REF!</definedName>
    <definedName name="XDO_?NAMC?39?">[1]MACIF!#REF!</definedName>
    <definedName name="XDO_?NAMC?4?">#REF!</definedName>
    <definedName name="XDO_?NAMC?40?">[1]MANPF!#REF!</definedName>
    <definedName name="XDO_?NAMC?41?">[1]MAFGF!#REF!</definedName>
    <definedName name="XDO_?NAMC?42?">#REF!</definedName>
    <definedName name="XDO_?NAMC?43?">[1]MANV30F!#REF!</definedName>
    <definedName name="XDO_?NAMC?44?">[1]MANSJ28F!#REF!</definedName>
    <definedName name="XDO_?NAMC?45?">[1]MANG813F!#REF!</definedName>
    <definedName name="XDO_?NAMC?46?">[1]MASEF!#REF!</definedName>
    <definedName name="XDO_?NAMC?47?">[1]MANBT!#REF!</definedName>
    <definedName name="XDO_?NAMC?48?">[1]MAN1DLTF!#REF!</definedName>
    <definedName name="XDO_?NAMC?49?">#REF!</definedName>
    <definedName name="XDO_?NAMC?5?">#REF!</definedName>
    <definedName name="XDO_?NAMC?50?">[1]SENSEX!#REF!</definedName>
    <definedName name="XDO_?NAMC?51?">[1]ALPHA!#REF!</definedName>
    <definedName name="XDO_?NAMC?52?">[1]ITETF!#REF!</definedName>
    <definedName name="XDO_?NAMC?53?">#REF!</definedName>
    <definedName name="XDO_?NAMC?54?">[1]SMQETF!#REF!</definedName>
    <definedName name="XDO_?NAMC?55?">[1]SMQFOF!#REF!</definedName>
    <definedName name="XDO_?NAMC?56?">[1]MIDSMALL!#REF!</definedName>
    <definedName name="XDO_?NAMC?57?">[1]MNSFOF!#REF!</definedName>
    <definedName name="XDO_?NAMC?58?">[1]EVETF!#REF!</definedName>
    <definedName name="XDO_?NAMC?59?">[1]ALPHAFOF!#REF!</definedName>
    <definedName name="XDO_?NAMC?6?">#REF!</definedName>
    <definedName name="XDO_?NAMC?60?">[1]MULTIETF!#REF!</definedName>
    <definedName name="XDO_?NAMC?61?">[1]PSUBETF!#REF!</definedName>
    <definedName name="XDO_?NAMC?62?">[1]METALETF!#REF!</definedName>
    <definedName name="XDO_?NAMC?63?">[1]N50IF!#REF!</definedName>
    <definedName name="XDO_?NAMC?64?">[1]LM250!#REF!</definedName>
    <definedName name="XDO_?NAMC?65?">[1]MGOLDFOF!#REF!</definedName>
    <definedName name="XDO_?NAMC?66?">[1]TM750!#REF!</definedName>
    <definedName name="XDO_?NAMC?67?">'[1]1DGROWTH'!#REF!</definedName>
    <definedName name="XDO_?NAMC?68?">#REF!</definedName>
    <definedName name="XDO_?NAMC?69?">[1]B2CETF!#REF!</definedName>
    <definedName name="XDO_?NAMC?7?">#REF!</definedName>
    <definedName name="XDO_?NAMC?70?">[1]B2CETFOF!#REF!</definedName>
    <definedName name="XDO_?NAMC?71?">#REF!</definedName>
    <definedName name="XDO_?NAMC?72?">[1]IPOETF!#REF!</definedName>
    <definedName name="XDO_?NAMC?73?">[1]IPOFOF!#REF!</definedName>
    <definedName name="XDO_?NAMC?74?">'[1]200EWETF'!#REF!</definedName>
    <definedName name="XDO_?NAMC?75?">'[1]200EWFOF'!#REF!</definedName>
    <definedName name="XDO_?NAMC?76?">'[1]50EW'!#REF!</definedName>
    <definedName name="XDO_?NAMC?77?">#REF!</definedName>
    <definedName name="XDO_?NAMC?78?">'[1]912IBXFS'!#REF!</definedName>
    <definedName name="XDO_?NAMC?79?">[1]INTERNET!#REF!</definedName>
    <definedName name="XDO_?NAMC?8?">#REF!</definedName>
    <definedName name="XDO_?NAMC?80?">[1]SMARTFOF!#REF!</definedName>
    <definedName name="XDO_?NAMC?81?">[1]GLSLFOF!#REF!</definedName>
    <definedName name="XDO_?NAMC?82?">#REF!</definedName>
    <definedName name="XDO_?NAMC?83?">#REF!</definedName>
    <definedName name="XDO_?NAMC?84?">#REF!</definedName>
    <definedName name="XDO_?NAMC?85?">#REF!</definedName>
    <definedName name="XDO_?NAMC?86?">#REF!</definedName>
    <definedName name="XDO_?NAMC?9?">#REF!</definedName>
    <definedName name="XDO_?NDATE?">#REF!</definedName>
    <definedName name="XDO_?NDATE?1?">#REF!</definedName>
    <definedName name="XDO_?NDATE?10?" localSheetId="0">#REF!</definedName>
    <definedName name="XDO_?NDATE?10?">[1]MAN50ETF!#REF!</definedName>
    <definedName name="XDO_?NDATE?11?">#REF!</definedName>
    <definedName name="XDO_?NDATE?12?">#REF!</definedName>
    <definedName name="XDO_?NDATE?13?">#REF!</definedName>
    <definedName name="XDO_?NDATE?14?">#REF!</definedName>
    <definedName name="XDO_?NDATE?15?" localSheetId="0">#REF!</definedName>
    <definedName name="XDO_?NDATE?15?">[1]MANNF!#REF!</definedName>
    <definedName name="XDO_?NDATE?16?">#REF!</definedName>
    <definedName name="XDO_?NDATE?17?">#REF!</definedName>
    <definedName name="XDO_?NDATE?18?" localSheetId="0">#REF!</definedName>
    <definedName name="XDO_?NDATE?18?">[1]MAEAF!#REF!</definedName>
    <definedName name="XDO_?NDATE?19?">#REF!</definedName>
    <definedName name="XDO_?NDATE?2?">#REF!</definedName>
    <definedName name="XDO_?NDATE?20?">MAETF!#REF!</definedName>
    <definedName name="XDO_?NDATE?21?">[1]MASLF!#REF!</definedName>
    <definedName name="XDO_?NDATE?22?">#REF!</definedName>
    <definedName name="XDO_?NDATE?23?">#REF!</definedName>
    <definedName name="XDO_?NDATE?24?">[1]MAFTF!#REF!</definedName>
    <definedName name="XDO_?NDATE?25?">[1]MAFPF!#REF!</definedName>
    <definedName name="XDO_?NDATE?26?">[1]MANTF!#REF!</definedName>
    <definedName name="XDO_?NDATE?27?">#REF!</definedName>
    <definedName name="XDO_?NDATE?28?">[1]MATPF!#REF!</definedName>
    <definedName name="XDO_?NDATE?29?">[1]MASPF!#REF!</definedName>
    <definedName name="XDO_?NDATE?3?">#REF!</definedName>
    <definedName name="XDO_?NDATE?30?">[1]MAHTF!#REF!</definedName>
    <definedName name="XDO_?NDATE?31?">[1]MAHSF!#REF!</definedName>
    <definedName name="XDO_?NDATE?32?">[1]MTETF!#REF!</definedName>
    <definedName name="XDO_?NDATE?33?">[1]MAMFOF!#REF!</definedName>
    <definedName name="XDO_?NDATE?34?">[1]MANMF!#REF!</definedName>
    <definedName name="XDO_?NDATE?35?">[1]MANJF!#REF!</definedName>
    <definedName name="XDO_?NDATE?36?">#REF!</definedName>
    <definedName name="XDO_?NDATE?37?">[1]MAGEF!#REF!</definedName>
    <definedName name="XDO_?NDATE?38?">[1]MAAIF!#REF!</definedName>
    <definedName name="XDO_?NDATE?39?">[1]MACIF!#REF!</definedName>
    <definedName name="XDO_?NDATE?4?">#REF!</definedName>
    <definedName name="XDO_?NDATE?40?">[1]MANPF!#REF!</definedName>
    <definedName name="XDO_?NDATE?41?">[1]MAFGF!#REF!</definedName>
    <definedName name="XDO_?NDATE?42?">#REF!</definedName>
    <definedName name="XDO_?NDATE?43?">[1]MANV30F!#REF!</definedName>
    <definedName name="XDO_?NDATE?44?">[1]MANSJ28F!#REF!</definedName>
    <definedName name="XDO_?NDATE?45?">[1]MANG813F!#REF!</definedName>
    <definedName name="XDO_?NDATE?46?">[1]MASEF!#REF!</definedName>
    <definedName name="XDO_?NDATE?47?">[1]MANBT!#REF!</definedName>
    <definedName name="XDO_?NDATE?48?">[1]MAN1DLTF!#REF!</definedName>
    <definedName name="XDO_?NDATE?49?">#REF!</definedName>
    <definedName name="XDO_?NDATE?5?">#REF!</definedName>
    <definedName name="XDO_?NDATE?50?">[1]SENSEX!#REF!</definedName>
    <definedName name="XDO_?NDATE?51?">[1]ALPHA!#REF!</definedName>
    <definedName name="XDO_?NDATE?52?">[1]ITETF!#REF!</definedName>
    <definedName name="XDO_?NDATE?53?">#REF!</definedName>
    <definedName name="XDO_?NDATE?54?">[1]SMQETF!#REF!</definedName>
    <definedName name="XDO_?NDATE?55?">[1]SMQFOF!#REF!</definedName>
    <definedName name="XDO_?NDATE?56?">[1]MIDSMALL!#REF!</definedName>
    <definedName name="XDO_?NDATE?57?">[1]MNSFOF!#REF!</definedName>
    <definedName name="XDO_?NDATE?58?">[1]EVETF!#REF!</definedName>
    <definedName name="XDO_?NDATE?59?">[1]ALPHAFOF!#REF!</definedName>
    <definedName name="XDO_?NDATE?6?">#REF!</definedName>
    <definedName name="XDO_?NDATE?60?">[1]MULTIETF!#REF!</definedName>
    <definedName name="XDO_?NDATE?61?">[1]PSUBETF!#REF!</definedName>
    <definedName name="XDO_?NDATE?62?">[1]METALETF!#REF!</definedName>
    <definedName name="XDO_?NDATE?63?">[1]N50IF!#REF!</definedName>
    <definedName name="XDO_?NDATE?64?">[1]LM250!#REF!</definedName>
    <definedName name="XDO_?NDATE?65?">[1]MGOLDFOF!#REF!</definedName>
    <definedName name="XDO_?NDATE?66?">[1]TM750!#REF!</definedName>
    <definedName name="XDO_?NDATE?67?">'[1]1DGROWTH'!#REF!</definedName>
    <definedName name="XDO_?NDATE?68?">#REF!</definedName>
    <definedName name="XDO_?NDATE?69?">[1]B2CETF!#REF!</definedName>
    <definedName name="XDO_?NDATE?7?">#REF!</definedName>
    <definedName name="XDO_?NDATE?70?">[1]B2CETFOF!#REF!</definedName>
    <definedName name="XDO_?NDATE?71?">#REF!</definedName>
    <definedName name="XDO_?NDATE?72?">[1]IPOETF!#REF!</definedName>
    <definedName name="XDO_?NDATE?73?">[1]IPOFOF!#REF!</definedName>
    <definedName name="XDO_?NDATE?74?">'[1]200EWETF'!#REF!</definedName>
    <definedName name="XDO_?NDATE?75?">'[1]200EWFOF'!#REF!</definedName>
    <definedName name="XDO_?NDATE?76?">'[1]50EW'!#REF!</definedName>
    <definedName name="XDO_?NDATE?77?">#REF!</definedName>
    <definedName name="XDO_?NDATE?78?">'[1]912IBXFS'!#REF!</definedName>
    <definedName name="XDO_?NDATE?79?">[1]INTERNET!#REF!</definedName>
    <definedName name="XDO_?NDATE?8?">#REF!</definedName>
    <definedName name="XDO_?NDATE?80?">[1]SMARTFOF!#REF!</definedName>
    <definedName name="XDO_?NDATE?81?">[1]GLSLFOF!#REF!</definedName>
    <definedName name="XDO_?NDATE?82?">#REF!</definedName>
    <definedName name="XDO_?NDATE?83?">#REF!</definedName>
    <definedName name="XDO_?NDATE?84?">#REF!</definedName>
    <definedName name="XDO_?NDATE?85?">#REF!</definedName>
    <definedName name="XDO_?NDATE?86?">#REF!</definedName>
    <definedName name="XDO_?NDATE?9?">#REF!</definedName>
    <definedName name="XDO_?NNPTF?">#REF!</definedName>
    <definedName name="XDO_?NNPTF?1?">#REF!</definedName>
    <definedName name="XDO_?NNPTF?10?" localSheetId="0">#REF!</definedName>
    <definedName name="XDO_?NNPTF?10?">[1]MAN50ETF!#REF!</definedName>
    <definedName name="XDO_?NNPTF?11?">#REF!</definedName>
    <definedName name="XDO_?NNPTF?12?">#REF!</definedName>
    <definedName name="XDO_?NNPTF?13?">#REF!</definedName>
    <definedName name="XDO_?NNPTF?14?">#REF!</definedName>
    <definedName name="XDO_?NNPTF?15?" localSheetId="0">#REF!</definedName>
    <definedName name="XDO_?NNPTF?15?">[1]MANNF!#REF!</definedName>
    <definedName name="XDO_?NNPTF?16?">#REF!</definedName>
    <definedName name="XDO_?NNPTF?17?">#REF!</definedName>
    <definedName name="XDO_?NNPTF?18?" localSheetId="0">#REF!</definedName>
    <definedName name="XDO_?NNPTF?18?">[1]MAEAF!#REF!</definedName>
    <definedName name="XDO_?NNPTF?19?">#REF!</definedName>
    <definedName name="XDO_?NNPTF?2?">#REF!</definedName>
    <definedName name="XDO_?NNPTF?20?">MAETF!#REF!</definedName>
    <definedName name="XDO_?NNPTF?21?">[1]MASLF!#REF!</definedName>
    <definedName name="XDO_?NNPTF?22?">#REF!</definedName>
    <definedName name="XDO_?NNPTF?23?">#REF!</definedName>
    <definedName name="XDO_?NNPTF?24?">[1]MAFTF!#REF!</definedName>
    <definedName name="XDO_?NNPTF?25?">[1]MAFPF!#REF!</definedName>
    <definedName name="XDO_?NNPTF?26?">[1]MANTF!#REF!</definedName>
    <definedName name="XDO_?NNPTF?27?">#REF!</definedName>
    <definedName name="XDO_?NNPTF?28?">[1]MATPF!#REF!</definedName>
    <definedName name="XDO_?NNPTF?29?">[1]MASPF!#REF!</definedName>
    <definedName name="XDO_?NNPTF?3?">#REF!</definedName>
    <definedName name="XDO_?NNPTF?30?">[1]MAHTF!#REF!</definedName>
    <definedName name="XDO_?NNPTF?31?">[1]MAHSF!#REF!</definedName>
    <definedName name="XDO_?NNPTF?32?">[1]MTETF!#REF!</definedName>
    <definedName name="XDO_?NNPTF?33?">[1]MAMFOF!#REF!</definedName>
    <definedName name="XDO_?NNPTF?34?">[1]MANMF!#REF!</definedName>
    <definedName name="XDO_?NNPTF?35?">[1]MANJF!#REF!</definedName>
    <definedName name="XDO_?NNPTF?36?">#REF!</definedName>
    <definedName name="XDO_?NNPTF?37?">[1]MAGEF!#REF!</definedName>
    <definedName name="XDO_?NNPTF?38?">[1]MAAIF!#REF!</definedName>
    <definedName name="XDO_?NNPTF?39?">[1]MACIF!#REF!</definedName>
    <definedName name="XDO_?NNPTF?4?">#REF!</definedName>
    <definedName name="XDO_?NNPTF?40?">[1]MANPF!#REF!</definedName>
    <definedName name="XDO_?NNPTF?41?">[1]MAFGF!#REF!</definedName>
    <definedName name="XDO_?NNPTF?42?">#REF!</definedName>
    <definedName name="XDO_?NNPTF?43?">[1]MANV30F!#REF!</definedName>
    <definedName name="XDO_?NNPTF?44?">[1]MANSJ28F!#REF!</definedName>
    <definedName name="XDO_?NNPTF?45?">[1]MANG813F!#REF!</definedName>
    <definedName name="XDO_?NNPTF?46?">[1]MASEF!#REF!</definedName>
    <definedName name="XDO_?NNPTF?47?">[1]MANBT!#REF!</definedName>
    <definedName name="XDO_?NNPTF?48?">[1]MAN1DLTF!#REF!</definedName>
    <definedName name="XDO_?NNPTF?49?">#REF!</definedName>
    <definedName name="XDO_?NNPTF?5?">#REF!</definedName>
    <definedName name="XDO_?NNPTF?50?">[1]SENSEX!#REF!</definedName>
    <definedName name="XDO_?NNPTF?51?">[1]ALPHA!#REF!</definedName>
    <definedName name="XDO_?NNPTF?52?">[1]ITETF!#REF!</definedName>
    <definedName name="XDO_?NNPTF?53?">#REF!</definedName>
    <definedName name="XDO_?NNPTF?54?">[1]SMQETF!#REF!</definedName>
    <definedName name="XDO_?NNPTF?55?">[1]SMQFOF!#REF!</definedName>
    <definedName name="XDO_?NNPTF?56?">[1]MIDSMALL!#REF!</definedName>
    <definedName name="XDO_?NNPTF?57?">[1]MNSFOF!#REF!</definedName>
    <definedName name="XDO_?NNPTF?58?">[1]EVETF!#REF!</definedName>
    <definedName name="XDO_?NNPTF?59?">[1]ALPHAFOF!#REF!</definedName>
    <definedName name="XDO_?NNPTF?6?">#REF!</definedName>
    <definedName name="XDO_?NNPTF?60?">[1]MULTIETF!#REF!</definedName>
    <definedName name="XDO_?NNPTF?61?">[1]PSUBETF!#REF!</definedName>
    <definedName name="XDO_?NNPTF?62?">[1]METALETF!#REF!</definedName>
    <definedName name="XDO_?NNPTF?63?">[1]N50IF!#REF!</definedName>
    <definedName name="XDO_?NNPTF?64?">[1]LM250!#REF!</definedName>
    <definedName name="XDO_?NNPTF?65?">[1]MGOLDFOF!#REF!</definedName>
    <definedName name="XDO_?NNPTF?66?">[1]TM750!#REF!</definedName>
    <definedName name="XDO_?NNPTF?67?">'[1]1DGROWTH'!#REF!</definedName>
    <definedName name="XDO_?NNPTF?68?">#REF!</definedName>
    <definedName name="XDO_?NNPTF?69?">[1]B2CETF!#REF!</definedName>
    <definedName name="XDO_?NNPTF?7?">#REF!</definedName>
    <definedName name="XDO_?NNPTF?70?">[1]B2CETFOF!#REF!</definedName>
    <definedName name="XDO_?NNPTF?71?">#REF!</definedName>
    <definedName name="XDO_?NNPTF?72?">[1]IPOETF!#REF!</definedName>
    <definedName name="XDO_?NNPTF?73?">[1]IPOFOF!#REF!</definedName>
    <definedName name="XDO_?NNPTF?74?">'[1]200EWETF'!#REF!</definedName>
    <definedName name="XDO_?NNPTF?75?">'[1]200EWFOF'!#REF!</definedName>
    <definedName name="XDO_?NNPTF?76?">'[1]50EW'!#REF!</definedName>
    <definedName name="XDO_?NNPTF?77?">#REF!</definedName>
    <definedName name="XDO_?NNPTF?78?">'[1]912IBXFS'!#REF!</definedName>
    <definedName name="XDO_?NNPTF?79?">[1]INTERNET!#REF!</definedName>
    <definedName name="XDO_?NNPTF?8?">#REF!</definedName>
    <definedName name="XDO_?NNPTF?80?">[1]SMARTFOF!#REF!</definedName>
    <definedName name="XDO_?NNPTF?81?">[1]GLSLFOF!#REF!</definedName>
    <definedName name="XDO_?NNPTF?82?">#REF!</definedName>
    <definedName name="XDO_?NNPTF?83?">#REF!</definedName>
    <definedName name="XDO_?NNPTF?84?">#REF!</definedName>
    <definedName name="XDO_?NNPTF?85?">#REF!</definedName>
    <definedName name="XDO_?NNPTF?86?">#REF!</definedName>
    <definedName name="XDO_?NNPTF?9?">#REF!</definedName>
    <definedName name="XDO_?NOVAL?301?">#REF!</definedName>
    <definedName name="XDO_?NOVAL?302?">#REF!</definedName>
    <definedName name="XDO_?NOVAL?303?">#REF!</definedName>
    <definedName name="XDO_?NOVAL?304?">#REF!</definedName>
    <definedName name="XDO_?NOVAL?305?">#REF!</definedName>
    <definedName name="XDO_?NOVAL?306?">#REF!</definedName>
    <definedName name="XDO_?NOVAL?307?">#REF!</definedName>
    <definedName name="XDO_?NOVAL?308?">#REF!</definedName>
    <definedName name="XDO_?NOVAL?309?">#REF!</definedName>
    <definedName name="XDO_?NOVAL?310?">#REF!</definedName>
    <definedName name="XDO_?NOVAL?90?">MAETF!$A$7:$A$66</definedName>
    <definedName name="XDO_?NOVAL?91?">MAETF!$A$7:$A$74</definedName>
    <definedName name="XDO_?NOVAL?92?">MAETF!$A$7:$A$87</definedName>
    <definedName name="XDO_?NOVAL?93?">MAETF!$A$7:$A$92</definedName>
    <definedName name="XDO_?NPTF?20?">MAETF!$C$1</definedName>
    <definedName name="XDO_?NPTF?82?">#REF!</definedName>
    <definedName name="XDO_?NPTF?83?">#REF!</definedName>
    <definedName name="XDO_?NPTF?84?">#REF!</definedName>
    <definedName name="XDO_?NPTF?85?">#REF!</definedName>
    <definedName name="XDO_?NPTF?86?">#REF!</definedName>
    <definedName name="XDO_?RATING?301?">#REF!</definedName>
    <definedName name="XDO_?RATING?302?">#REF!</definedName>
    <definedName name="XDO_?RATING?303?">#REF!</definedName>
    <definedName name="XDO_?RATING?304?">#REF!</definedName>
    <definedName name="XDO_?RATING?305?">#REF!</definedName>
    <definedName name="XDO_?RATING?306?">#REF!</definedName>
    <definedName name="XDO_?RATING?307?">#REF!</definedName>
    <definedName name="XDO_?RATING?308?">#REF!</definedName>
    <definedName name="XDO_?RATING?309?">#REF!</definedName>
    <definedName name="XDO_?RATING?310?">#REF!</definedName>
    <definedName name="XDO_?RATING?90?">MAETF!$D$7:$D$66</definedName>
    <definedName name="XDO_?RATING?91?">MAETF!$D$7:$D$74</definedName>
    <definedName name="XDO_?RATING?92?">MAETF!$D$7:$D$87</definedName>
    <definedName name="XDO_?RATING?93?">MAETF!$D$7:$D$92</definedName>
    <definedName name="XDO_?TDATE?20?">MAETF!$E$1</definedName>
    <definedName name="XDO_?TDATE?82?">#REF!</definedName>
    <definedName name="XDO_?TDATE?83?">#REF!</definedName>
    <definedName name="XDO_?TDATE?84?">#REF!</definedName>
    <definedName name="XDO_?TDATE?85?">#REF!</definedName>
    <definedName name="XDO_?TDATE?86?">#REF!</definedName>
    <definedName name="XDO_?YTM?301?">#REF!</definedName>
    <definedName name="XDO_?YTM?302?">#REF!</definedName>
    <definedName name="XDO_?YTM?303?">#REF!</definedName>
    <definedName name="XDO_?YTM?304?">#REF!</definedName>
    <definedName name="XDO_?YTM?305?">#REF!</definedName>
    <definedName name="XDO_?YTM?306?">#REF!</definedName>
    <definedName name="XDO_?YTM?307?">#REF!</definedName>
    <definedName name="XDO_?YTM?308?">#REF!</definedName>
    <definedName name="XDO_?YTM?309?">#REF!</definedName>
    <definedName name="XDO_?YTM?310?">#REF!</definedName>
    <definedName name="XDO_?YTM?90?">MAETF!$H$7:$H$66</definedName>
    <definedName name="XDO_?YTM?91?">MAETF!$H$7:$H$74</definedName>
    <definedName name="XDO_?YTM?92?">MAETF!$H$7:$H$87</definedName>
    <definedName name="XDO_?YTM?93?">MAETF!$H$7:$H$92</definedName>
    <definedName name="XDO_GROUP_?G_3?20?">MAETF!$5:$94</definedName>
    <definedName name="XDO_GROUP_?G_3?82?">#REF!</definedName>
    <definedName name="XDO_GROUP_?G_3?83?">#REF!</definedName>
    <definedName name="XDO_GROUP_?G_3?84?">#REF!</definedName>
    <definedName name="XDO_GROUP_?G_3?85?">#REF!</definedName>
    <definedName name="XDO_GROUP_?G_3?86?">#REF!</definedName>
    <definedName name="XDO_GROUP_?G_4?244?">#REF!</definedName>
    <definedName name="XDO_GROUP_?G_4?245?">#REF!</definedName>
    <definedName name="XDO_GROUP_?G_4?246?">#REF!</definedName>
    <definedName name="XDO_GROUP_?G_4?247?">#REF!</definedName>
    <definedName name="XDO_GROUP_?G_4?248?">#REF!</definedName>
    <definedName name="XDO_GROUP_?G_4?249?">#REF!</definedName>
    <definedName name="XDO_GROUP_?G_4?250?">#REF!</definedName>
    <definedName name="XDO_GROUP_?G_4?251?">#REF!</definedName>
    <definedName name="XDO_GROUP_?G_4?252?">#REF!</definedName>
    <definedName name="XDO_GROUP_?G_4?253?">#REF!</definedName>
    <definedName name="XDO_GROUP_?G_4?64?">MAETF!$6:$67</definedName>
    <definedName name="XDO_GROUP_?G_4?65?">MAETF!$73:$75</definedName>
    <definedName name="XDO_GROUP_?G_4?66?">MAETF!$86:$88</definedName>
    <definedName name="XDO_GROUP_?G_4?67?">MAETF!$91:$92</definedName>
    <definedName name="XDO_GROUP_?G_5?301?">#REF!</definedName>
    <definedName name="XDO_GROUP_?G_5?302?">#REF!</definedName>
    <definedName name="XDO_GROUP_?G_5?303?">#REF!</definedName>
    <definedName name="XDO_GROUP_?G_5?304?">#REF!</definedName>
    <definedName name="XDO_GROUP_?G_5?305?">#REF!</definedName>
    <definedName name="XDO_GROUP_?G_5?306?">#REF!</definedName>
    <definedName name="XDO_GROUP_?G_5?307?">#REF!</definedName>
    <definedName name="XDO_GROUP_?G_5?308?">#REF!</definedName>
    <definedName name="XDO_GROUP_?G_5?309?">#REF!</definedName>
    <definedName name="XDO_GROUP_?G_5?310?">#REF!</definedName>
    <definedName name="XDO_GROUP_?G_5?90?">MAETF!$7:$66</definedName>
    <definedName name="XDO_GROUP_?G_5?91?">MAETF!$74:$74</definedName>
    <definedName name="XDO_GROUP_?G_5?92?">MAETF!$87:$87</definedName>
    <definedName name="XDO_GROUP_?G_5?93?">MAETF!$92:$92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72" i="1" l="1"/>
</calcChain>
</file>

<file path=xl/sharedStrings.xml><?xml version="1.0" encoding="utf-8"?>
<sst xmlns="http://schemas.openxmlformats.org/spreadsheetml/2006/main" count="255" uniqueCount="206">
  <si>
    <t>Mirae Asset Nifty 100 ESG Sector Leaders ETF</t>
  </si>
  <si>
    <t>(Exchange Traded Fund (ETF) - An open ended scheme replicating/tracking Nifty 100 ESG Sector Leaders Total Return Index)</t>
  </si>
  <si>
    <r>
      <rPr>
        <b/>
        <sz val="11"/>
        <color rgb="FF000000"/>
        <rFont val="Calibri"/>
        <family val="2"/>
      </rPr>
      <t xml:space="preserve">NSE Symbol: </t>
    </r>
    <r>
      <rPr>
        <sz val="11"/>
        <color rgb="FF000000"/>
        <rFont val="Calibri"/>
        <family val="2"/>
      </rPr>
      <t>ESG ,</t>
    </r>
    <r>
      <rPr>
        <b/>
        <sz val="11"/>
        <color rgb="FF000000"/>
        <rFont val="Calibri"/>
        <family val="2"/>
      </rPr>
      <t xml:space="preserve"> BSE Scrip Code: </t>
    </r>
    <r>
      <rPr>
        <sz val="11"/>
        <color rgb="FF000000"/>
        <rFont val="Calibri"/>
        <family val="2"/>
      </rPr>
      <t>543246</t>
    </r>
  </si>
  <si>
    <t>MI021</t>
  </si>
  <si>
    <t>Monthly Portfolio Statement as on October 31, 2025</t>
  </si>
  <si>
    <t>Name of the Instrument</t>
  </si>
  <si>
    <t>ISIN</t>
  </si>
  <si>
    <t>Industry ^/ Rating</t>
  </si>
  <si>
    <t>Quantity</t>
  </si>
  <si>
    <t>Market/Fair Value 
(Rs. in Lacs)</t>
  </si>
  <si>
    <t>% to Net Assets</t>
  </si>
  <si>
    <t>YTM</t>
  </si>
  <si>
    <t>ESG Score*</t>
  </si>
  <si>
    <t>EQUITY &amp; EQUITY RELATED</t>
  </si>
  <si>
    <t>(a) Listed / awaiting listing on Stock Exchanges</t>
  </si>
  <si>
    <t>Reliance Industries Ltd.</t>
  </si>
  <si>
    <t>INE002A01018</t>
  </si>
  <si>
    <t>Petroleum Products</t>
  </si>
  <si>
    <t>ICICI Bank Ltd.</t>
  </si>
  <si>
    <t>INE090A01021</t>
  </si>
  <si>
    <t>Banks</t>
  </si>
  <si>
    <t>HDFC Bank Ltd.</t>
  </si>
  <si>
    <t>INE040A01034</t>
  </si>
  <si>
    <t>Bharti Airtel Ltd.</t>
  </si>
  <si>
    <t>INE397D01024</t>
  </si>
  <si>
    <t>Telecom - Services</t>
  </si>
  <si>
    <t>Infosys Ltd.</t>
  </si>
  <si>
    <t>INE009A01021</t>
  </si>
  <si>
    <t>IT - Software</t>
  </si>
  <si>
    <t>Tata Consultancy Services Ltd.</t>
  </si>
  <si>
    <t>INE467B01029</t>
  </si>
  <si>
    <t>Mahindra &amp; Mahindra Ltd.</t>
  </si>
  <si>
    <t>INE101A01026</t>
  </si>
  <si>
    <t>Automobiles</t>
  </si>
  <si>
    <t>Bajaj Finance Ltd.</t>
  </si>
  <si>
    <t>INE296A01032</t>
  </si>
  <si>
    <t>Finance</t>
  </si>
  <si>
    <t>Eternal Ltd.</t>
  </si>
  <si>
    <t>INE758T01015</t>
  </si>
  <si>
    <t>Retailing</t>
  </si>
  <si>
    <t>Hindustan Unilever Ltd.</t>
  </si>
  <si>
    <t>INE030A01027</t>
  </si>
  <si>
    <t>Diversified FMCG</t>
  </si>
  <si>
    <t>Maruti Suzuki India Ltd.</t>
  </si>
  <si>
    <t>INE585B01010</t>
  </si>
  <si>
    <t>HCL Technologies Ltd.</t>
  </si>
  <si>
    <t>INE860A01027</t>
  </si>
  <si>
    <t>Titan Company Ltd.</t>
  </si>
  <si>
    <t>INE280A01028</t>
  </si>
  <si>
    <t>Consumer Durables</t>
  </si>
  <si>
    <t>Tata Steel Ltd.</t>
  </si>
  <si>
    <t>INE081A01020</t>
  </si>
  <si>
    <t>Ferrous Metals</t>
  </si>
  <si>
    <t>Ultratech Cement Ltd.</t>
  </si>
  <si>
    <t>INE481G01011</t>
  </si>
  <si>
    <t>Cement &amp; Cement Products</t>
  </si>
  <si>
    <t>Power Grid Corporation of India Ltd.</t>
  </si>
  <si>
    <t>INE752E01010</t>
  </si>
  <si>
    <t>Power</t>
  </si>
  <si>
    <t>Hindalco Industries Ltd.</t>
  </si>
  <si>
    <t>INE038A01020</t>
  </si>
  <si>
    <t>Non - Ferrous Metals</t>
  </si>
  <si>
    <t>Asian Paints Ltd.</t>
  </si>
  <si>
    <t>INE021A01026</t>
  </si>
  <si>
    <t>JSW Steel Ltd.</t>
  </si>
  <si>
    <t>INE019A01038</t>
  </si>
  <si>
    <t>Grasim Industries Ltd.</t>
  </si>
  <si>
    <t>INE047A01021</t>
  </si>
  <si>
    <t>Adani Ports and Special Economic Zone Ltd.</t>
  </si>
  <si>
    <t>INE742F01042</t>
  </si>
  <si>
    <t>Transport Infrastructure</t>
  </si>
  <si>
    <t>Shriram Finance Ltd.</t>
  </si>
  <si>
    <t>INE721A01047</t>
  </si>
  <si>
    <t>Trent Ltd.</t>
  </si>
  <si>
    <t>INE849A01020</t>
  </si>
  <si>
    <t>Jio Financial Services Ltd.</t>
  </si>
  <si>
    <t>INE758E01017</t>
  </si>
  <si>
    <t>Tech Mahindra Ltd.</t>
  </si>
  <si>
    <t>INE669C01036</t>
  </si>
  <si>
    <t>SBI Life Insurance Co. Ltd.</t>
  </si>
  <si>
    <t>INE123W01016</t>
  </si>
  <si>
    <t>Insurance</t>
  </si>
  <si>
    <t>Cipla Ltd.</t>
  </si>
  <si>
    <t>INE059A01026</t>
  </si>
  <si>
    <t>Pharmaceuticals &amp; Biotechnology</t>
  </si>
  <si>
    <t>TVS Motor Company Ltd.</t>
  </si>
  <si>
    <t>INE494B01023</t>
  </si>
  <si>
    <t>HDFC Life Insurance Company Ltd.</t>
  </si>
  <si>
    <t>INE795G01014</t>
  </si>
  <si>
    <t>Apollo Hospitals Enterprise Ltd.</t>
  </si>
  <si>
    <t>INE437A01024</t>
  </si>
  <si>
    <t>Healthcare Services</t>
  </si>
  <si>
    <t>Tata Consumer Products Ltd.</t>
  </si>
  <si>
    <t>INE192A01025</t>
  </si>
  <si>
    <t>Agricultural Food &amp; other Products</t>
  </si>
  <si>
    <t>Dr. Reddy's Laboratories Ltd.</t>
  </si>
  <si>
    <t>INE089A01031</t>
  </si>
  <si>
    <t>Hero MotoCorp Ltd.</t>
  </si>
  <si>
    <t>INE158A01026</t>
  </si>
  <si>
    <t>Cholamandalam Investment &amp; Finance Co. Ltd.</t>
  </si>
  <si>
    <t>INE121A01024</t>
  </si>
  <si>
    <t>Bharat Petroleum Corporation Ltd.</t>
  </si>
  <si>
    <t>INE029A01011</t>
  </si>
  <si>
    <t>The Indian Hotels Company Ltd.</t>
  </si>
  <si>
    <t>INE053A01029</t>
  </si>
  <si>
    <t>Leisure Services</t>
  </si>
  <si>
    <t>Adani Enterprises Ltd.</t>
  </si>
  <si>
    <t>INE423A01024</t>
  </si>
  <si>
    <t>Metals &amp; Minerals Trading</t>
  </si>
  <si>
    <t>Varun Beverages Ltd.</t>
  </si>
  <si>
    <t>INE200M01039</t>
  </si>
  <si>
    <t>Beverages</t>
  </si>
  <si>
    <t>Adani Power Ltd.</t>
  </si>
  <si>
    <t>INE814H01029</t>
  </si>
  <si>
    <t>Avenue Supermarts Ltd.</t>
  </si>
  <si>
    <t>INE192R01011</t>
  </si>
  <si>
    <t>TML Commercial Vehicles Ltd. A**</t>
  </si>
  <si>
    <t>INE1TAE01010</t>
  </si>
  <si>
    <t>Agricultural, Commercial &amp; Construction Vehicles</t>
  </si>
  <si>
    <t>Info Edge (India) Ltd.</t>
  </si>
  <si>
    <t>INE663F01032</t>
  </si>
  <si>
    <t>LTIMindtree Ltd.</t>
  </si>
  <si>
    <t>INE214T01019</t>
  </si>
  <si>
    <t>CG Power and Industrial Solutions Ltd.</t>
  </si>
  <si>
    <t>INE067A01029</t>
  </si>
  <si>
    <t>Electrical Equipment</t>
  </si>
  <si>
    <t>GAIL (India) Ltd.</t>
  </si>
  <si>
    <t>INE129A01019</t>
  </si>
  <si>
    <t>Gas</t>
  </si>
  <si>
    <t>DLF Ltd.</t>
  </si>
  <si>
    <t>INE271C01023</t>
  </si>
  <si>
    <t>Realty</t>
  </si>
  <si>
    <t>ICICI Lombard General Insurance Company Ltd.</t>
  </si>
  <si>
    <t>INE765G01017</t>
  </si>
  <si>
    <t>REC Ltd.</t>
  </si>
  <si>
    <t>INE020B01018</t>
  </si>
  <si>
    <t>Godrej Consumer Products Ltd.</t>
  </si>
  <si>
    <t>INE102D01028</t>
  </si>
  <si>
    <t>Personal Products</t>
  </si>
  <si>
    <t>Pidilite Industries Ltd.</t>
  </si>
  <si>
    <t>INE318A01026</t>
  </si>
  <si>
    <t>Chemicals &amp; Petrochemicals</t>
  </si>
  <si>
    <t>Shree Cement Ltd.</t>
  </si>
  <si>
    <t>INE070A01015</t>
  </si>
  <si>
    <t>Ambuja Cements Ltd.</t>
  </si>
  <si>
    <t>INE079A01024</t>
  </si>
  <si>
    <t>Adani Green Energy Ltd.</t>
  </si>
  <si>
    <t>INE364U01010</t>
  </si>
  <si>
    <t>Adani Energy Solutions Ltd.</t>
  </si>
  <si>
    <t>INE931S01010</t>
  </si>
  <si>
    <t>Lodha Developers Ltd.</t>
  </si>
  <si>
    <t>INE670K01029</t>
  </si>
  <si>
    <t>Bosch Ltd.</t>
  </si>
  <si>
    <t>INE323A01026</t>
  </si>
  <si>
    <t>Auto Components</t>
  </si>
  <si>
    <t>Dabur India Ltd.</t>
  </si>
  <si>
    <t>INE016A01026</t>
  </si>
  <si>
    <t>JSW Energy Ltd.</t>
  </si>
  <si>
    <t>INE121E01018</t>
  </si>
  <si>
    <t>Siemens Ltd.</t>
  </si>
  <si>
    <t>INE003A01024</t>
  </si>
  <si>
    <t>ABB India Ltd.</t>
  </si>
  <si>
    <t>INE117A01022</t>
  </si>
  <si>
    <t>Sub Total</t>
  </si>
  <si>
    <t>Weighted Average Fund Score</t>
  </si>
  <si>
    <t>(b) Unlisted</t>
  </si>
  <si>
    <t>NIL</t>
  </si>
  <si>
    <t>Total</t>
  </si>
  <si>
    <t>DEBT INSTRUMENTS</t>
  </si>
  <si>
    <t>(a) Listed / awaiting listing on Stock Exchange</t>
  </si>
  <si>
    <t>6% TVS Motor Company Ltd. NCRPS (MD 01/09/2026) A** $$</t>
  </si>
  <si>
    <t>INE494B04019</t>
  </si>
  <si>
    <t>CARE A1+</t>
  </si>
  <si>
    <t>(b) Privately placed / Unlisted</t>
  </si>
  <si>
    <t>(c) Securitised Debt Instruments</t>
  </si>
  <si>
    <t>MONEY MARKET INSTRUMENTS</t>
  </si>
  <si>
    <t>OTHERS</t>
  </si>
  <si>
    <t>(a) TREPS / Reverse Repo</t>
  </si>
  <si>
    <t>TREPS</t>
  </si>
  <si>
    <t>Other Current Assets / (Liabilities)</t>
  </si>
  <si>
    <t>Net Receivables / (Payables)</t>
  </si>
  <si>
    <t>GRAND TOTAL</t>
  </si>
  <si>
    <t>**  Thinly Traded / Non Traded Security</t>
  </si>
  <si>
    <t>#  Unlisted Security</t>
  </si>
  <si>
    <t xml:space="preserve">$  Less Than 0.01% of Net Asset Value </t>
  </si>
  <si>
    <t>^ The Name of the Industry is in accordance with Industry Classification as recommended by AMFI.</t>
  </si>
  <si>
    <t>A** Awaiting Listing</t>
  </si>
  <si>
    <t>$$ Non-Convertible Redeemable Preference shares</t>
  </si>
  <si>
    <t> Notes &amp; Symbols :-</t>
  </si>
  <si>
    <t>(1)  The provision made for below investment grade or default securities as of October 31 2025. is Rs. Nil and its percentage to Net Asset Value is Nil.</t>
  </si>
  <si>
    <t>(2)  Total value and percentage of Illiquid Equity Shares: Nil.</t>
  </si>
  <si>
    <t>(3)  Net Assets Value per unit (in Rupees) are as follows:</t>
  </si>
  <si>
    <t>Plan/Option</t>
  </si>
  <si>
    <t xml:space="preserve"> As on October 31 2025</t>
  </si>
  <si>
    <t xml:space="preserve"> As on September 30 2025</t>
  </si>
  <si>
    <t>Regular Plan - Growth Option</t>
  </si>
  <si>
    <t>(4)  No Income Distribution Cum Capital Withdrawal  was declared during the month ended October 31 2025.</t>
  </si>
  <si>
    <t>(5)  No Bonus declared during the month ended October 31 2025.</t>
  </si>
  <si>
    <t>(6)  Total outstanding exposure in derivative instruments as on October 31 2025.  is Nil.</t>
  </si>
  <si>
    <t>(7)  Total investments in Foreign Securities / Overseas ETFs / ADRs / GDRs as on October 31 2025. is Nil.</t>
  </si>
  <si>
    <t>(8)  During the period, the portfolio turnover ratio is 0.35 times.</t>
  </si>
  <si>
    <t>(9)  The Face Value per unit is Rs. 17.5/-</t>
  </si>
  <si>
    <t>(10) Investments in Fixed Deposits : Nil.</t>
  </si>
  <si>
    <t>(11) Repo in Corporate Debt is Nil.</t>
  </si>
  <si>
    <t xml:space="preserve">(12)Total value of short term deposit(s) : Nil </t>
  </si>
  <si>
    <t>*Note: This section contains information developed by Stakeholders Empowerment Services. Such information and data are proprietary of Stakeholders Empowerment Services and/or its third party suppliers (Third Party Data) and are provided for informational purposes only. They do not constitute an endorsement of any product or project, nor an investment advice and are not warranted to be complete, timely, accurate or suitable for a particular purpose. Their use is subject to conditions available at https://www.sesgovernance.com/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</si>
</sst>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_(* #,##0_);_(* \(#,##0\);_(* &quot;-&quot;??_);_(@_)"/>
    <numFmt numFmtId="165" formatCode="dd\-mmm\-yy"/>
    <numFmt numFmtId="166" formatCode="#0.0000"/>
  </numFmts>
  <fonts count="10" x14ac:knownFonts="1">
    <font>
      <sz val="11"/>
      <color rgb="FF000000"/>
      <name val="Aptos Narrow"/>
      <scheme val="minor"/>
    </font>
    <font>
      <sz val="9"/>
      <color rgb="FF000000"/>
      <name val="Arial"/>
      <family val="2"/>
    </font>
    <font>
      <b/>
      <sz val="16"/>
      <color rgb="FF000000"/>
      <name val="Arial"/>
      <family val="2"/>
    </font>
    <font>
      <sz val="10"/>
      <color rgb="FF000000"/>
      <name val="Arial"/>
      <family val="2"/>
    </font>
    <font>
      <b/>
      <sz val="11"/>
      <color rgb="FF000000"/>
      <name val="Calibri"/>
      <family val="2"/>
    </font>
    <font>
      <sz val="11"/>
      <color rgb="FF000000"/>
      <name val="Calibri"/>
      <family val="2"/>
    </font>
    <font>
      <b/>
      <sz val="10"/>
      <color rgb="FF000000"/>
      <name val="Arial"/>
      <family val="2"/>
    </font>
    <font>
      <sz val="10"/>
      <color rgb="FFFFFFFF"/>
      <name val="Arial"/>
      <family val="2"/>
    </font>
    <font>
      <b/>
      <sz val="9"/>
      <color rgb="FF000000"/>
      <name val="Arial"/>
      <family val="2"/>
    </font>
    <font>
      <sz val="9"/>
      <color rgb="FFFFFFFF"/>
      <name val="Arial"/>
      <family val="2"/>
    </font>
  </fonts>
  <fills count="3">
    <fill>
      <patternFill patternType="none"/>
    </fill>
    <fill>
      <patternFill patternType="gray125"/>
    </fill>
    <fill>
      <patternFill patternType="solid">
        <fgColor rgb="FFFFFFFF"/>
        <bgColor rgb="FFFFFFFF"/>
      </patternFill>
    </fill>
  </fills>
  <borders count="36">
    <border>
      <left/>
      <right/>
      <top/>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style="thin">
        <color rgb="FFFFFFFF"/>
      </bottom>
      <diagonal/>
    </border>
    <border>
      <left style="medium">
        <color rgb="FF000000"/>
      </left>
      <right style="medium">
        <color rgb="FF000000"/>
      </right>
      <top style="thin">
        <color rgb="FFFFFFFF"/>
      </top>
      <bottom style="medium">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top/>
      <bottom/>
      <diagonal/>
    </border>
    <border>
      <left style="thin">
        <color rgb="FF000000"/>
      </left>
      <right style="thin">
        <color rgb="FF000000"/>
      </right>
      <top/>
      <bottom style="thin">
        <color rgb="FFD9D9D9"/>
      </bottom>
      <diagonal/>
    </border>
    <border>
      <left style="thin">
        <color rgb="FF000000"/>
      </left>
      <right/>
      <top/>
      <bottom style="thin">
        <color rgb="FFD9D9D9"/>
      </bottom>
      <diagonal/>
    </border>
    <border>
      <left style="thin">
        <color rgb="FF000000"/>
      </left>
      <right style="medium">
        <color rgb="FF000000"/>
      </right>
      <top/>
      <bottom style="thin">
        <color rgb="FFD9D9D9"/>
      </bottom>
      <diagonal/>
    </border>
    <border>
      <left style="medium">
        <color rgb="FF000000"/>
      </left>
      <right style="thin">
        <color rgb="FF000000"/>
      </right>
      <top style="thin">
        <color rgb="FFD9D9D9"/>
      </top>
      <bottom style="thin">
        <color rgb="FFD9D9D9"/>
      </bottom>
      <diagonal/>
    </border>
    <border>
      <left style="medium">
        <color rgb="FF000000"/>
      </left>
      <right style="thin">
        <color rgb="FF000000"/>
      </right>
      <top/>
      <bottom style="thin">
        <color rgb="FFD9D9D9"/>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medium">
        <color rgb="FF000000"/>
      </right>
      <top/>
      <bottom style="thin">
        <color rgb="FFD9D9D9"/>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style="medium">
        <color rgb="FF000000"/>
      </left>
      <right style="thin">
        <color rgb="FF000000"/>
      </right>
      <top/>
      <bottom/>
      <diagonal/>
    </border>
    <border>
      <left style="thin">
        <color rgb="FF000000"/>
      </left>
      <right style="thin">
        <color rgb="FF000000"/>
      </right>
      <top/>
      <bottom/>
      <diagonal/>
    </border>
    <border>
      <left style="thin">
        <color rgb="FF000000"/>
      </left>
      <right/>
      <top/>
      <bottom/>
      <diagonal/>
    </border>
    <border>
      <left style="thin">
        <color rgb="FF000000"/>
      </left>
      <right style="medium">
        <color rgb="FF000000"/>
      </right>
      <top/>
      <bottom/>
      <diagonal/>
    </border>
    <border>
      <left style="medium">
        <color rgb="FF000000"/>
      </left>
      <right/>
      <top style="thin">
        <color rgb="FF000000"/>
      </top>
      <bottom/>
      <diagonal/>
    </border>
    <border>
      <left style="thin">
        <color rgb="FF000000"/>
      </left>
      <right style="medium">
        <color rgb="FF000000"/>
      </right>
      <top style="thin">
        <color rgb="FF000000"/>
      </top>
      <bottom/>
      <diagonal/>
    </border>
    <border>
      <left style="medium">
        <color rgb="FF000000"/>
      </left>
      <right/>
      <top/>
      <bottom style="thin">
        <color rgb="FF000000"/>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top/>
      <bottom style="medium">
        <color rgb="FF000000"/>
      </bottom>
      <diagonal/>
    </border>
    <border>
      <left style="thin">
        <color rgb="FF000000"/>
      </left>
      <right style="medium">
        <color rgb="FF000000"/>
      </right>
      <top/>
      <bottom style="medium">
        <color rgb="FF000000"/>
      </bottom>
      <diagonal/>
    </border>
  </borders>
  <cellStyleXfs count="1">
    <xf numFmtId="0" fontId="0" fillId="0" borderId="0"/>
  </cellStyleXfs>
  <cellXfs count="100">
    <xf numFmtId="0" fontId="0" fillId="0" borderId="0" xfId="0"/>
    <xf numFmtId="0" fontId="1" fillId="0" borderId="0" xfId="0" applyFont="1" applyAlignment="1">
      <alignment vertical="top"/>
    </xf>
    <xf numFmtId="0" fontId="2" fillId="0" borderId="1" xfId="0" applyFont="1" applyBorder="1" applyAlignment="1">
      <alignment horizontal="center" vertical="center"/>
    </xf>
    <xf numFmtId="0" fontId="1" fillId="0" borderId="1" xfId="0" applyFont="1" applyBorder="1" applyAlignment="1">
      <alignment vertical="top"/>
    </xf>
    <xf numFmtId="164" fontId="1" fillId="0" borderId="1" xfId="0" applyNumberFormat="1" applyFont="1" applyBorder="1" applyAlignment="1">
      <alignment vertical="top"/>
    </xf>
    <xf numFmtId="43" fontId="1" fillId="0" borderId="1" xfId="0" applyNumberFormat="1" applyFont="1" applyBorder="1" applyAlignment="1">
      <alignment vertical="top"/>
    </xf>
    <xf numFmtId="10" fontId="1" fillId="0" borderId="1" xfId="0" applyNumberFormat="1" applyFont="1" applyBorder="1" applyAlignment="1">
      <alignment vertical="top"/>
    </xf>
    <xf numFmtId="0" fontId="1" fillId="0" borderId="2" xfId="0" applyFont="1" applyBorder="1" applyAlignment="1">
      <alignment vertical="top"/>
    </xf>
    <xf numFmtId="164" fontId="1" fillId="0" borderId="2" xfId="0" applyNumberFormat="1" applyFont="1" applyBorder="1" applyAlignment="1">
      <alignment vertical="top"/>
    </xf>
    <xf numFmtId="43" fontId="1" fillId="0" borderId="2" xfId="0" applyNumberFormat="1" applyFont="1" applyBorder="1" applyAlignment="1">
      <alignment vertical="top"/>
    </xf>
    <xf numFmtId="10" fontId="1" fillId="0" borderId="2" xfId="0" applyNumberFormat="1" applyFont="1" applyBorder="1" applyAlignment="1">
      <alignment vertical="top"/>
    </xf>
    <xf numFmtId="0" fontId="3" fillId="0" borderId="3" xfId="0" applyFont="1" applyBorder="1" applyAlignment="1">
      <alignment horizontal="center" vertical="center" wrapText="1"/>
    </xf>
    <xf numFmtId="0" fontId="1" fillId="0" borderId="3" xfId="0" applyFont="1" applyBorder="1" applyAlignment="1">
      <alignment vertical="top"/>
    </xf>
    <xf numFmtId="164" fontId="1" fillId="0" borderId="3" xfId="0" applyNumberFormat="1" applyFont="1" applyBorder="1" applyAlignment="1">
      <alignment vertical="top"/>
    </xf>
    <xf numFmtId="43" fontId="1" fillId="0" borderId="3" xfId="0" applyNumberFormat="1" applyFont="1" applyBorder="1" applyAlignment="1">
      <alignment vertical="top"/>
    </xf>
    <xf numFmtId="10" fontId="1" fillId="0" borderId="3" xfId="0" applyNumberFormat="1" applyFont="1" applyBorder="1" applyAlignment="1">
      <alignment vertical="top"/>
    </xf>
    <xf numFmtId="0" fontId="3" fillId="0" borderId="0" xfId="0" applyFont="1" applyAlignment="1">
      <alignment vertical="top"/>
    </xf>
    <xf numFmtId="0" fontId="6" fillId="0" borderId="0" xfId="0" applyFont="1" applyAlignment="1">
      <alignment vertical="top"/>
    </xf>
    <xf numFmtId="0" fontId="7" fillId="0" borderId="0" xfId="0" applyFont="1" applyAlignment="1">
      <alignment vertical="top"/>
    </xf>
    <xf numFmtId="165" fontId="7" fillId="0" borderId="0" xfId="0" applyNumberFormat="1" applyFont="1" applyAlignment="1">
      <alignment horizontal="left" vertical="top"/>
    </xf>
    <xf numFmtId="43" fontId="3" fillId="0" borderId="0" xfId="0" applyNumberFormat="1" applyFont="1" applyAlignment="1">
      <alignment vertical="top"/>
    </xf>
    <xf numFmtId="10" fontId="3" fillId="0" borderId="0" xfId="0" applyNumberFormat="1" applyFont="1" applyAlignment="1">
      <alignment vertical="top"/>
    </xf>
    <xf numFmtId="0" fontId="8" fillId="0" borderId="0" xfId="0" applyFont="1" applyAlignment="1">
      <alignment vertical="top"/>
    </xf>
    <xf numFmtId="0" fontId="9" fillId="0" borderId="0" xfId="0" applyFont="1" applyAlignment="1">
      <alignment vertical="top"/>
    </xf>
    <xf numFmtId="165" fontId="9" fillId="0" borderId="0" xfId="0" applyNumberFormat="1" applyFont="1" applyAlignment="1">
      <alignment horizontal="left" vertical="top"/>
    </xf>
    <xf numFmtId="43" fontId="1" fillId="0" borderId="0" xfId="0" applyNumberFormat="1" applyFont="1" applyAlignment="1">
      <alignment vertical="top"/>
    </xf>
    <xf numFmtId="10" fontId="1" fillId="0" borderId="0" xfId="0" applyNumberFormat="1" applyFont="1" applyAlignment="1">
      <alignment vertical="top"/>
    </xf>
    <xf numFmtId="164" fontId="3" fillId="0" borderId="0" xfId="0" applyNumberFormat="1" applyFont="1" applyAlignment="1">
      <alignment vertical="top"/>
    </xf>
    <xf numFmtId="10" fontId="6" fillId="0" borderId="0" xfId="0" applyNumberFormat="1" applyFont="1" applyAlignment="1">
      <alignment vertical="top"/>
    </xf>
    <xf numFmtId="0" fontId="8" fillId="0" borderId="4" xfId="0" applyFont="1" applyBorder="1" applyAlignment="1">
      <alignment vertical="top"/>
    </xf>
    <xf numFmtId="0" fontId="8" fillId="0" borderId="5" xfId="0" applyFont="1" applyBorder="1" applyAlignment="1">
      <alignment horizontal="center" vertical="top"/>
    </xf>
    <xf numFmtId="164" fontId="8" fillId="0" borderId="5" xfId="0" applyNumberFormat="1" applyFont="1" applyBorder="1" applyAlignment="1">
      <alignment horizontal="center" vertical="top"/>
    </xf>
    <xf numFmtId="43" fontId="8" fillId="0" borderId="5" xfId="0" applyNumberFormat="1" applyFont="1" applyBorder="1" applyAlignment="1">
      <alignment horizontal="center" vertical="top" wrapText="1"/>
    </xf>
    <xf numFmtId="10" fontId="8" fillId="0" borderId="6" xfId="0" applyNumberFormat="1" applyFont="1" applyBorder="1" applyAlignment="1">
      <alignment horizontal="center" vertical="top" wrapText="1"/>
    </xf>
    <xf numFmtId="10" fontId="8" fillId="0" borderId="7" xfId="0" applyNumberFormat="1" applyFont="1" applyBorder="1" applyAlignment="1">
      <alignment horizontal="center" vertical="top"/>
    </xf>
    <xf numFmtId="0" fontId="9" fillId="2" borderId="0" xfId="0" applyFont="1" applyFill="1" applyAlignment="1">
      <alignment vertical="top"/>
    </xf>
    <xf numFmtId="0" fontId="8" fillId="0" borderId="8" xfId="0" applyFont="1" applyBorder="1" applyAlignment="1">
      <alignment vertical="top"/>
    </xf>
    <xf numFmtId="0" fontId="1" fillId="0" borderId="9" xfId="0" applyFont="1" applyBorder="1" applyAlignment="1">
      <alignment vertical="top"/>
    </xf>
    <xf numFmtId="164" fontId="1" fillId="0" borderId="9" xfId="0" applyNumberFormat="1" applyFont="1" applyBorder="1" applyAlignment="1">
      <alignment vertical="top"/>
    </xf>
    <xf numFmtId="43" fontId="1" fillId="0" borderId="9" xfId="0" applyNumberFormat="1" applyFont="1" applyBorder="1" applyAlignment="1">
      <alignment horizontal="right" vertical="top"/>
    </xf>
    <xf numFmtId="10" fontId="1" fillId="0" borderId="10" xfId="0" applyNumberFormat="1" applyFont="1" applyBorder="1" applyAlignment="1">
      <alignment horizontal="right" vertical="top"/>
    </xf>
    <xf numFmtId="10" fontId="1" fillId="0" borderId="11" xfId="0" applyNumberFormat="1" applyFont="1" applyBorder="1" applyAlignment="1">
      <alignment vertical="top"/>
    </xf>
    <xf numFmtId="0" fontId="8" fillId="2" borderId="12" xfId="0" applyFont="1" applyFill="1" applyBorder="1" applyAlignment="1">
      <alignment vertical="top"/>
    </xf>
    <xf numFmtId="0" fontId="1" fillId="0" borderId="13" xfId="0" applyFont="1" applyBorder="1" applyAlignment="1">
      <alignment vertical="top"/>
    </xf>
    <xf numFmtId="2" fontId="1" fillId="0" borderId="0" xfId="0" applyNumberFormat="1" applyFont="1" applyAlignment="1">
      <alignment vertical="top"/>
    </xf>
    <xf numFmtId="0" fontId="8" fillId="0" borderId="13" xfId="0" applyFont="1" applyBorder="1" applyAlignment="1">
      <alignment vertical="top"/>
    </xf>
    <xf numFmtId="43" fontId="8" fillId="2" borderId="14" xfId="0" applyNumberFormat="1" applyFont="1" applyFill="1" applyBorder="1" applyAlignment="1">
      <alignment horizontal="right" vertical="top"/>
    </xf>
    <xf numFmtId="10" fontId="8" fillId="2" borderId="15" xfId="0" applyNumberFormat="1" applyFont="1" applyFill="1" applyBorder="1" applyAlignment="1">
      <alignment horizontal="right" vertical="top"/>
    </xf>
    <xf numFmtId="2" fontId="8" fillId="0" borderId="0" xfId="0" applyNumberFormat="1" applyFont="1" applyAlignment="1">
      <alignment vertical="top"/>
    </xf>
    <xf numFmtId="43" fontId="8" fillId="2" borderId="16" xfId="0" applyNumberFormat="1" applyFont="1" applyFill="1" applyBorder="1" applyAlignment="1">
      <alignment horizontal="right" vertical="top"/>
    </xf>
    <xf numFmtId="10" fontId="8" fillId="2" borderId="17" xfId="0" applyNumberFormat="1" applyFont="1" applyFill="1" applyBorder="1" applyAlignment="1">
      <alignment horizontal="right" vertical="top"/>
    </xf>
    <xf numFmtId="164" fontId="1" fillId="0" borderId="10" xfId="0" applyNumberFormat="1" applyFont="1" applyBorder="1" applyAlignment="1">
      <alignment vertical="top"/>
    </xf>
    <xf numFmtId="10" fontId="8" fillId="2" borderId="14" xfId="0" applyNumberFormat="1" applyFont="1" applyFill="1" applyBorder="1" applyAlignment="1">
      <alignment horizontal="right" vertical="top"/>
    </xf>
    <xf numFmtId="10" fontId="1" fillId="0" borderId="18" xfId="0" applyNumberFormat="1" applyFont="1" applyBorder="1" applyAlignment="1">
      <alignment vertical="top"/>
    </xf>
    <xf numFmtId="0" fontId="8" fillId="0" borderId="19" xfId="0" applyFont="1" applyBorder="1" applyAlignment="1">
      <alignment vertical="top"/>
    </xf>
    <xf numFmtId="0" fontId="1" fillId="0" borderId="14" xfId="0" applyFont="1" applyBorder="1" applyAlignment="1">
      <alignment vertical="top"/>
    </xf>
    <xf numFmtId="164" fontId="1" fillId="0" borderId="14" xfId="0" applyNumberFormat="1" applyFont="1" applyBorder="1" applyAlignment="1">
      <alignment vertical="top"/>
    </xf>
    <xf numFmtId="43" fontId="8" fillId="2" borderId="20" xfId="0" applyNumberFormat="1" applyFont="1" applyFill="1" applyBorder="1" applyAlignment="1">
      <alignment horizontal="right" vertical="top"/>
    </xf>
    <xf numFmtId="10" fontId="8" fillId="2" borderId="21" xfId="0" applyNumberFormat="1" applyFont="1" applyFill="1" applyBorder="1" applyAlignment="1">
      <alignment horizontal="right" vertical="top"/>
    </xf>
    <xf numFmtId="10" fontId="1" fillId="0" borderId="22" xfId="0" applyNumberFormat="1" applyFont="1" applyBorder="1" applyAlignment="1">
      <alignment vertical="top"/>
    </xf>
    <xf numFmtId="0" fontId="1" fillId="0" borderId="23" xfId="0" applyFont="1" applyBorder="1" applyAlignment="1">
      <alignment vertical="top"/>
    </xf>
    <xf numFmtId="0" fontId="1" fillId="0" borderId="20" xfId="0" applyFont="1" applyBorder="1" applyAlignment="1">
      <alignment vertical="top"/>
    </xf>
    <xf numFmtId="164" fontId="1" fillId="0" borderId="20" xfId="0" applyNumberFormat="1" applyFont="1" applyBorder="1" applyAlignment="1">
      <alignment vertical="top"/>
    </xf>
    <xf numFmtId="43" fontId="1" fillId="0" borderId="20" xfId="0" applyNumberFormat="1" applyFont="1" applyBorder="1" applyAlignment="1">
      <alignment horizontal="right" vertical="top"/>
    </xf>
    <xf numFmtId="10" fontId="1" fillId="0" borderId="21" xfId="0" applyNumberFormat="1" applyFont="1" applyBorder="1" applyAlignment="1">
      <alignment horizontal="right" vertical="top"/>
    </xf>
    <xf numFmtId="10" fontId="1" fillId="0" borderId="24" xfId="0" applyNumberFormat="1" applyFont="1" applyBorder="1" applyAlignment="1">
      <alignment vertical="top"/>
    </xf>
    <xf numFmtId="10" fontId="8" fillId="2" borderId="16" xfId="0" applyNumberFormat="1" applyFont="1" applyFill="1" applyBorder="1" applyAlignment="1">
      <alignment horizontal="right" vertical="top"/>
    </xf>
    <xf numFmtId="0" fontId="1" fillId="0" borderId="25" xfId="0" applyFont="1" applyBorder="1" applyAlignment="1">
      <alignment vertical="top"/>
    </xf>
    <xf numFmtId="0" fontId="1" fillId="0" borderId="26" xfId="0" applyFont="1" applyBorder="1" applyAlignment="1">
      <alignment vertical="top"/>
    </xf>
    <xf numFmtId="164" fontId="1" fillId="0" borderId="26" xfId="0" applyNumberFormat="1" applyFont="1" applyBorder="1" applyAlignment="1">
      <alignment vertical="top"/>
    </xf>
    <xf numFmtId="43" fontId="1" fillId="0" borderId="26" xfId="0" applyNumberFormat="1" applyFont="1" applyBorder="1" applyAlignment="1">
      <alignment horizontal="right" vertical="top"/>
    </xf>
    <xf numFmtId="10" fontId="1" fillId="0" borderId="27" xfId="0" applyNumberFormat="1" applyFont="1" applyBorder="1" applyAlignment="1">
      <alignment horizontal="right" vertical="top"/>
    </xf>
    <xf numFmtId="10" fontId="1" fillId="0" borderId="28" xfId="0" applyNumberFormat="1" applyFont="1" applyBorder="1" applyAlignment="1">
      <alignment vertical="top"/>
    </xf>
    <xf numFmtId="0" fontId="8" fillId="0" borderId="29" xfId="0" applyFont="1" applyBorder="1" applyAlignment="1">
      <alignment vertical="top"/>
    </xf>
    <xf numFmtId="0" fontId="1" fillId="0" borderId="16" xfId="0" applyFont="1" applyBorder="1" applyAlignment="1">
      <alignment vertical="top"/>
    </xf>
    <xf numFmtId="164" fontId="1" fillId="0" borderId="16" xfId="0" applyNumberFormat="1" applyFont="1" applyBorder="1" applyAlignment="1">
      <alignment vertical="top"/>
    </xf>
    <xf numFmtId="43" fontId="1" fillId="0" borderId="16" xfId="0" applyNumberFormat="1" applyFont="1" applyBorder="1" applyAlignment="1">
      <alignment horizontal="right" vertical="top"/>
    </xf>
    <xf numFmtId="10" fontId="1" fillId="0" borderId="17" xfId="0" applyNumberFormat="1" applyFont="1" applyBorder="1" applyAlignment="1">
      <alignment horizontal="right" vertical="top"/>
    </xf>
    <xf numFmtId="10" fontId="1" fillId="0" borderId="30" xfId="0" applyNumberFormat="1" applyFont="1" applyBorder="1" applyAlignment="1">
      <alignment vertical="top"/>
    </xf>
    <xf numFmtId="0" fontId="8" fillId="0" borderId="14" xfId="0" applyFont="1" applyBorder="1" applyAlignment="1">
      <alignment vertical="top"/>
    </xf>
    <xf numFmtId="164" fontId="8" fillId="0" borderId="14" xfId="0" applyNumberFormat="1" applyFont="1" applyBorder="1" applyAlignment="1">
      <alignment vertical="top"/>
    </xf>
    <xf numFmtId="43" fontId="8" fillId="0" borderId="14" xfId="0" applyNumberFormat="1" applyFont="1" applyBorder="1" applyAlignment="1">
      <alignment horizontal="right" vertical="top"/>
    </xf>
    <xf numFmtId="10" fontId="8" fillId="0" borderId="14" xfId="0" applyNumberFormat="1" applyFont="1" applyBorder="1" applyAlignment="1">
      <alignment horizontal="right" vertical="top"/>
    </xf>
    <xf numFmtId="10" fontId="8" fillId="0" borderId="22" xfId="0" applyNumberFormat="1" applyFont="1" applyBorder="1" applyAlignment="1">
      <alignment vertical="top"/>
    </xf>
    <xf numFmtId="0" fontId="8" fillId="0" borderId="0" xfId="0" applyFont="1"/>
    <xf numFmtId="0" fontId="1" fillId="0" borderId="31" xfId="0" applyFont="1" applyBorder="1" applyAlignment="1">
      <alignment vertical="top"/>
    </xf>
    <xf numFmtId="0" fontId="8" fillId="2" borderId="32" xfId="0" applyFont="1" applyFill="1" applyBorder="1" applyAlignment="1">
      <alignment vertical="top"/>
    </xf>
    <xf numFmtId="0" fontId="8" fillId="2" borderId="33" xfId="0" applyFont="1" applyFill="1" applyBorder="1" applyAlignment="1">
      <alignment vertical="top"/>
    </xf>
    <xf numFmtId="164" fontId="8" fillId="2" borderId="33" xfId="0" applyNumberFormat="1" applyFont="1" applyFill="1" applyBorder="1" applyAlignment="1">
      <alignment vertical="top"/>
    </xf>
    <xf numFmtId="164" fontId="1" fillId="0" borderId="33" xfId="0" applyNumberFormat="1" applyFont="1" applyBorder="1" applyAlignment="1">
      <alignment vertical="top"/>
    </xf>
    <xf numFmtId="43" fontId="8" fillId="0" borderId="33" xfId="0" applyNumberFormat="1" applyFont="1" applyBorder="1" applyAlignment="1">
      <alignment horizontal="right" vertical="top"/>
    </xf>
    <xf numFmtId="10" fontId="8" fillId="0" borderId="34" xfId="0" applyNumberFormat="1" applyFont="1" applyBorder="1" applyAlignment="1">
      <alignment horizontal="right" vertical="top"/>
    </xf>
    <xf numFmtId="10" fontId="1" fillId="0" borderId="35" xfId="0" applyNumberFormat="1" applyFont="1" applyBorder="1" applyAlignment="1">
      <alignment vertical="top"/>
    </xf>
    <xf numFmtId="164" fontId="1" fillId="0" borderId="0" xfId="0" applyNumberFormat="1" applyFont="1" applyAlignment="1">
      <alignment vertical="top"/>
    </xf>
    <xf numFmtId="0" fontId="8" fillId="0" borderId="0" xfId="0" applyFont="1" applyAlignment="1">
      <alignment horizontal="center" vertical="top"/>
    </xf>
    <xf numFmtId="164" fontId="8" fillId="0" borderId="0" xfId="0" applyNumberFormat="1" applyFont="1" applyAlignment="1">
      <alignment horizontal="center" vertical="top"/>
    </xf>
    <xf numFmtId="43" fontId="8" fillId="0" borderId="0" xfId="0" applyNumberFormat="1" applyFont="1" applyAlignment="1">
      <alignment vertical="top"/>
    </xf>
    <xf numFmtId="10" fontId="8" fillId="0" borderId="0" xfId="0" applyNumberFormat="1" applyFont="1" applyAlignment="1">
      <alignment vertical="top"/>
    </xf>
    <xf numFmtId="166" fontId="1" fillId="0" borderId="0" xfId="0" applyNumberFormat="1" applyFont="1" applyAlignment="1">
      <alignment horizontal="center" vertical="top"/>
    </xf>
    <xf numFmtId="0" fontId="3" fillId="0" borderId="0" xfId="0" applyFont="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38100</xdr:colOff>
      <xdr:row>0</xdr:row>
      <xdr:rowOff>0</xdr:rowOff>
    </xdr:from>
    <xdr:ext cx="847725" cy="266700"/>
    <xdr:pic>
      <xdr:nvPicPr>
        <xdr:cNvPr id="2" name="Logo" descr="Logo">
          <a:extLst>
            <a:ext uri="{FF2B5EF4-FFF2-40B4-BE49-F238E27FC236}">
              <a16:creationId xmlns:a16="http://schemas.microsoft.com/office/drawing/2014/main" id="{687D614B-CB3F-43F4-95C7-F7A173DC531E}"/>
            </a:ext>
          </a:extLst>
        </xdr:cNvPr>
        <xdr:cNvPicPr>
          <a:picLocks noChangeAspect="1"/>
        </xdr:cNvPicPr>
      </xdr:nvPicPr>
      <xdr:blipFill>
        <a:blip xmlns:r="http://schemas.openxmlformats.org/officeDocument/2006/relationships" r:embed="rId1"/>
        <a:stretch>
          <a:fillRect/>
        </a:stretch>
      </xdr:blipFill>
      <xdr:spPr>
        <a:xfrm>
          <a:off x="266700" y="0"/>
          <a:ext cx="847725" cy="266700"/>
        </a:xfrm>
        <a:prstGeom prst="rect">
          <a:avLst/>
        </a:prstGeom>
      </xdr:spPr>
    </xdr:pic>
    <xdr:clientData/>
  </xdr:oneCellAnchor>
  <xdr:oneCellAnchor>
    <xdr:from>
      <xdr:col>1</xdr:col>
      <xdr:colOff>0</xdr:colOff>
      <xdr:row>125</xdr:row>
      <xdr:rowOff>0</xdr:rowOff>
    </xdr:from>
    <xdr:ext cx="8715375" cy="2095500"/>
    <xdr:pic>
      <xdr:nvPicPr>
        <xdr:cNvPr id="3" name="Picture 2">
          <a:extLst>
            <a:ext uri="{FF2B5EF4-FFF2-40B4-BE49-F238E27FC236}">
              <a16:creationId xmlns:a16="http://schemas.microsoft.com/office/drawing/2014/main" id="{8DE684F9-F02D-493A-B97A-35BB35CD5252}"/>
            </a:ext>
          </a:extLst>
        </xdr:cNvPr>
        <xdr:cNvPicPr>
          <a:picLocks noChangeAspect="1"/>
        </xdr:cNvPicPr>
      </xdr:nvPicPr>
      <xdr:blipFill>
        <a:blip xmlns:r="http://schemas.openxmlformats.org/officeDocument/2006/relationships" r:embed="rId2"/>
        <a:stretch>
          <a:fillRect/>
        </a:stretch>
      </xdr:blipFill>
      <xdr:spPr>
        <a:xfrm>
          <a:off x="228600" y="23926800"/>
          <a:ext cx="8715375" cy="2095500"/>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shah.heli\Documents\KRA\Equity%20Monthly%20Portfolio\portfolio\Monthly%20Portfolio%20Passive%20-%2031-10-2025.xlsx" TargetMode="External"/><Relationship Id="rId1" Type="http://schemas.openxmlformats.org/officeDocument/2006/relationships/externalLinkPath" Target="Monthly%20Portfolio%20Passive%20-%2031-10-20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GLSLFOF"/>
      <sheetName val="SMARTFOF"/>
      <sheetName val="INTERNET"/>
      <sheetName val="912IBXFS"/>
      <sheetName val="50EW"/>
      <sheetName val="200EWFOF"/>
      <sheetName val="200EWETF"/>
      <sheetName val="IPOFOF"/>
      <sheetName val="IPOETF"/>
      <sheetName val="B2CETFOF"/>
      <sheetName val="B2CETF"/>
      <sheetName val="1DGROWTH"/>
      <sheetName val="TM750"/>
      <sheetName val="MGOLDFOF"/>
      <sheetName val="LM250"/>
      <sheetName val="N50IF"/>
      <sheetName val="METALETF"/>
      <sheetName val="PSUBETF"/>
      <sheetName val="MULTIETF"/>
      <sheetName val="ALPHAFOF"/>
      <sheetName val="EVETF"/>
      <sheetName val="MNSFOF"/>
      <sheetName val="MIDSMALL"/>
      <sheetName val="SMQFOF"/>
      <sheetName val="SMQETF"/>
      <sheetName val="ITETF"/>
      <sheetName val="ALPHA"/>
      <sheetName val="SENSEX"/>
      <sheetName val="MAN1DLTF"/>
      <sheetName val="MANBT"/>
      <sheetName val="MASEF"/>
      <sheetName val="MANG813F"/>
      <sheetName val="MANSJ28F"/>
      <sheetName val="MANV30F"/>
      <sheetName val="MAFGF"/>
      <sheetName val="MANPF"/>
      <sheetName val="MACIF"/>
      <sheetName val="MAAIF"/>
      <sheetName val="MAGEF"/>
      <sheetName val="MANJF"/>
      <sheetName val="MANMF"/>
      <sheetName val="MAMFOF"/>
      <sheetName val="MTETF"/>
      <sheetName val="MAHSF"/>
      <sheetName val="MAHTF"/>
      <sheetName val="MASPF"/>
      <sheetName val="MATPF"/>
      <sheetName val="MANTF"/>
      <sheetName val="MAFPF"/>
      <sheetName val="MAFTF"/>
      <sheetName val="MASLF"/>
      <sheetName val="MAETF"/>
      <sheetName val="MAEAF"/>
      <sheetName val="MANNF"/>
      <sheetName val="MAN50ET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511E93-B3B2-4088-8282-686C9FA0003F}">
  <sheetPr codeName="Sheet52"/>
  <dimension ref="A1:HN144"/>
  <sheetViews>
    <sheetView showGridLines="0" tabSelected="1" zoomScaleNormal="100" workbookViewId="0">
      <pane ySplit="9" topLeftCell="A11" activePane="bottomLeft" state="frozen"/>
      <selection pane="bottomLeft" activeCell="I72" sqref="I72"/>
    </sheetView>
  </sheetViews>
  <sheetFormatPr defaultColWidth="13.85546875" defaultRowHeight="15" x14ac:dyDescent="0.25"/>
  <cols>
    <col min="1" max="1" width="3.42578125" style="1" customWidth="1"/>
    <col min="2" max="2" width="72.5703125" style="1" customWidth="1"/>
    <col min="3" max="3" width="41.5703125" style="1" customWidth="1"/>
    <col min="4" max="4" width="33.42578125" style="1" customWidth="1"/>
    <col min="5" max="5" width="25.42578125" style="93" customWidth="1"/>
    <col min="6" max="6" width="16.5703125" style="25" customWidth="1"/>
    <col min="7" max="8" width="16.5703125" style="26" customWidth="1"/>
    <col min="9" max="222" width="13.85546875" style="1"/>
  </cols>
  <sheetData>
    <row r="1" spans="1:9" ht="15.75" thickBot="1" x14ac:dyDescent="0.3">
      <c r="B1" s="2" t="s">
        <v>0</v>
      </c>
      <c r="C1" s="3"/>
      <c r="D1" s="3"/>
      <c r="E1" s="4"/>
      <c r="F1" s="5"/>
      <c r="G1" s="6"/>
      <c r="H1" s="6"/>
    </row>
    <row r="2" spans="1:9" x14ac:dyDescent="0.25">
      <c r="B2" s="7"/>
      <c r="C2" s="7"/>
      <c r="D2" s="7"/>
      <c r="E2" s="8"/>
      <c r="F2" s="9"/>
      <c r="G2" s="10"/>
      <c r="H2" s="10"/>
    </row>
    <row r="3" spans="1:9" ht="15.75" thickBot="1" x14ac:dyDescent="0.3">
      <c r="B3" s="11" t="s">
        <v>1</v>
      </c>
      <c r="C3" s="12"/>
      <c r="D3" s="12"/>
      <c r="E3" s="13"/>
      <c r="F3" s="14"/>
      <c r="G3" s="15"/>
      <c r="H3" s="15"/>
    </row>
    <row r="4" spans="1:9" x14ac:dyDescent="0.25">
      <c r="B4" s="7"/>
      <c r="C4" s="7"/>
      <c r="D4" s="7"/>
      <c r="E4" s="8"/>
      <c r="F4" s="9"/>
      <c r="G4" s="10"/>
      <c r="H4" s="10"/>
    </row>
    <row r="5" spans="1:9" ht="15.75" thickBot="1" x14ac:dyDescent="0.3">
      <c r="B5" s="11" t="s">
        <v>2</v>
      </c>
      <c r="C5" s="12"/>
      <c r="D5" s="12"/>
      <c r="E5" s="13"/>
      <c r="F5" s="14"/>
      <c r="G5" s="15"/>
      <c r="H5" s="15"/>
    </row>
    <row r="6" spans="1:9" x14ac:dyDescent="0.25">
      <c r="A6" s="16"/>
      <c r="B6" s="17" t="s">
        <v>0</v>
      </c>
      <c r="C6" s="18" t="s">
        <v>3</v>
      </c>
      <c r="E6" s="19">
        <v>45961</v>
      </c>
      <c r="F6" s="20"/>
      <c r="G6" s="21"/>
      <c r="H6" s="21"/>
    </row>
    <row r="7" spans="1:9" x14ac:dyDescent="0.25">
      <c r="B7" s="22"/>
      <c r="C7" s="23"/>
      <c r="E7" s="24"/>
    </row>
    <row r="8" spans="1:9" ht="15" customHeight="1" thickBot="1" x14ac:dyDescent="0.3">
      <c r="A8" s="16"/>
      <c r="B8" s="17" t="s">
        <v>4</v>
      </c>
      <c r="D8" s="17"/>
      <c r="E8" s="27"/>
      <c r="F8" s="20"/>
      <c r="G8" s="28"/>
      <c r="H8" s="28"/>
    </row>
    <row r="9" spans="1:9" ht="24" customHeight="1" x14ac:dyDescent="0.25">
      <c r="B9" s="29" t="s">
        <v>5</v>
      </c>
      <c r="C9" s="30" t="s">
        <v>6</v>
      </c>
      <c r="D9" s="30" t="s">
        <v>7</v>
      </c>
      <c r="E9" s="31" t="s">
        <v>8</v>
      </c>
      <c r="F9" s="32" t="s">
        <v>9</v>
      </c>
      <c r="G9" s="33" t="s">
        <v>10</v>
      </c>
      <c r="H9" s="34" t="s">
        <v>11</v>
      </c>
      <c r="I9" s="34" t="s">
        <v>12</v>
      </c>
    </row>
    <row r="10" spans="1:9" x14ac:dyDescent="0.25">
      <c r="A10" s="35"/>
      <c r="B10" s="36" t="s">
        <v>13</v>
      </c>
      <c r="C10" s="37"/>
      <c r="D10" s="37"/>
      <c r="E10" s="38"/>
      <c r="F10" s="39"/>
      <c r="G10" s="40"/>
      <c r="H10" s="41"/>
    </row>
    <row r="11" spans="1:9" x14ac:dyDescent="0.25">
      <c r="B11" s="42" t="s">
        <v>14</v>
      </c>
      <c r="C11" s="37"/>
      <c r="D11" s="37"/>
      <c r="E11" s="38"/>
      <c r="F11" s="39"/>
      <c r="G11" s="40"/>
      <c r="H11" s="41"/>
    </row>
    <row r="12" spans="1:9" x14ac:dyDescent="0.25">
      <c r="A12" s="23"/>
      <c r="B12" s="43" t="s">
        <v>15</v>
      </c>
      <c r="C12" s="37" t="s">
        <v>16</v>
      </c>
      <c r="D12" s="37" t="s">
        <v>17</v>
      </c>
      <c r="E12" s="38">
        <v>79518</v>
      </c>
      <c r="F12" s="39">
        <v>1181.96</v>
      </c>
      <c r="G12" s="40">
        <v>0.10069951404745001</v>
      </c>
      <c r="H12" s="41"/>
      <c r="I12" s="44">
        <v>68</v>
      </c>
    </row>
    <row r="13" spans="1:9" x14ac:dyDescent="0.25">
      <c r="A13" s="23"/>
      <c r="B13" s="43" t="s">
        <v>18</v>
      </c>
      <c r="C13" s="37" t="s">
        <v>19</v>
      </c>
      <c r="D13" s="37" t="s">
        <v>20</v>
      </c>
      <c r="E13" s="38">
        <v>86740</v>
      </c>
      <c r="F13" s="39">
        <v>1166.9100000000001</v>
      </c>
      <c r="G13" s="40">
        <v>9.9417946800719997E-2</v>
      </c>
      <c r="H13" s="41"/>
      <c r="I13" s="44">
        <v>76.7</v>
      </c>
    </row>
    <row r="14" spans="1:9" x14ac:dyDescent="0.25">
      <c r="A14" s="23"/>
      <c r="B14" s="43" t="s">
        <v>21</v>
      </c>
      <c r="C14" s="37" t="s">
        <v>22</v>
      </c>
      <c r="D14" s="37" t="s">
        <v>20</v>
      </c>
      <c r="E14" s="38">
        <v>117817</v>
      </c>
      <c r="F14" s="39">
        <v>1163.21</v>
      </c>
      <c r="G14" s="40">
        <v>9.9102207106670004E-2</v>
      </c>
      <c r="H14" s="41"/>
      <c r="I14" s="44">
        <v>80.099999999999994</v>
      </c>
    </row>
    <row r="15" spans="1:9" x14ac:dyDescent="0.25">
      <c r="A15" s="23"/>
      <c r="B15" s="43" t="s">
        <v>23</v>
      </c>
      <c r="C15" s="37" t="s">
        <v>24</v>
      </c>
      <c r="D15" s="37" t="s">
        <v>25</v>
      </c>
      <c r="E15" s="38">
        <v>35778</v>
      </c>
      <c r="F15" s="39">
        <v>735.06</v>
      </c>
      <c r="G15" s="40">
        <v>6.2625100392269997E-2</v>
      </c>
      <c r="H15" s="41"/>
      <c r="I15" s="44">
        <v>74.8</v>
      </c>
    </row>
    <row r="16" spans="1:9" x14ac:dyDescent="0.25">
      <c r="A16" s="23"/>
      <c r="B16" s="43" t="s">
        <v>26</v>
      </c>
      <c r="C16" s="37" t="s">
        <v>27</v>
      </c>
      <c r="D16" s="37" t="s">
        <v>28</v>
      </c>
      <c r="E16" s="38">
        <v>47292</v>
      </c>
      <c r="F16" s="39">
        <v>701.01</v>
      </c>
      <c r="G16" s="40">
        <v>5.9724155738759999E-2</v>
      </c>
      <c r="H16" s="41"/>
      <c r="I16" s="44">
        <v>80.900000000000006</v>
      </c>
    </row>
    <row r="17" spans="1:9" x14ac:dyDescent="0.25">
      <c r="A17" s="23"/>
      <c r="B17" s="43" t="s">
        <v>29</v>
      </c>
      <c r="C17" s="37" t="s">
        <v>30</v>
      </c>
      <c r="D17" s="37" t="s">
        <v>28</v>
      </c>
      <c r="E17" s="38">
        <v>13406</v>
      </c>
      <c r="F17" s="39">
        <v>409.96</v>
      </c>
      <c r="G17" s="40">
        <v>3.4927132028979999E-2</v>
      </c>
      <c r="H17" s="41"/>
      <c r="I17" s="44">
        <v>71.099999999999994</v>
      </c>
    </row>
    <row r="18" spans="1:9" x14ac:dyDescent="0.25">
      <c r="A18" s="23"/>
      <c r="B18" s="43" t="s">
        <v>31</v>
      </c>
      <c r="C18" s="37" t="s">
        <v>32</v>
      </c>
      <c r="D18" s="37" t="s">
        <v>33</v>
      </c>
      <c r="E18" s="38">
        <v>11633</v>
      </c>
      <c r="F18" s="39">
        <v>405.67</v>
      </c>
      <c r="G18" s="40">
        <v>3.456167753488E-2</v>
      </c>
      <c r="H18" s="41"/>
      <c r="I18" s="44">
        <v>74.900000000000006</v>
      </c>
    </row>
    <row r="19" spans="1:9" x14ac:dyDescent="0.25">
      <c r="A19" s="23"/>
      <c r="B19" s="43" t="s">
        <v>34</v>
      </c>
      <c r="C19" s="37" t="s">
        <v>35</v>
      </c>
      <c r="D19" s="37" t="s">
        <v>36</v>
      </c>
      <c r="E19" s="38">
        <v>34926</v>
      </c>
      <c r="F19" s="39">
        <v>364.21</v>
      </c>
      <c r="G19" s="40">
        <v>3.1029594623569998E-2</v>
      </c>
      <c r="H19" s="41"/>
      <c r="I19" s="44">
        <v>78.7</v>
      </c>
    </row>
    <row r="20" spans="1:9" x14ac:dyDescent="0.25">
      <c r="A20" s="23"/>
      <c r="B20" s="43" t="s">
        <v>37</v>
      </c>
      <c r="C20" s="37" t="s">
        <v>38</v>
      </c>
      <c r="D20" s="37" t="s">
        <v>39</v>
      </c>
      <c r="E20" s="38">
        <v>91406</v>
      </c>
      <c r="F20" s="39">
        <v>290.44</v>
      </c>
      <c r="G20" s="40">
        <v>2.474494502328E-2</v>
      </c>
      <c r="H20" s="41"/>
      <c r="I20" s="44">
        <v>70.3</v>
      </c>
    </row>
    <row r="21" spans="1:9" x14ac:dyDescent="0.25">
      <c r="A21" s="23"/>
      <c r="B21" s="43" t="s">
        <v>40</v>
      </c>
      <c r="C21" s="37" t="s">
        <v>41</v>
      </c>
      <c r="D21" s="37" t="s">
        <v>42</v>
      </c>
      <c r="E21" s="38">
        <v>11650</v>
      </c>
      <c r="F21" s="39">
        <v>287.23</v>
      </c>
      <c r="G21" s="40">
        <v>2.447130680637E-2</v>
      </c>
      <c r="H21" s="41"/>
      <c r="I21" s="44">
        <v>77.2</v>
      </c>
    </row>
    <row r="22" spans="1:9" x14ac:dyDescent="0.25">
      <c r="A22" s="23"/>
      <c r="B22" s="43" t="s">
        <v>43</v>
      </c>
      <c r="C22" s="37" t="s">
        <v>44</v>
      </c>
      <c r="D22" s="37" t="s">
        <v>33</v>
      </c>
      <c r="E22" s="38">
        <v>1722</v>
      </c>
      <c r="F22" s="39">
        <v>278.72000000000003</v>
      </c>
      <c r="G22" s="40">
        <v>2.3746461997150001E-2</v>
      </c>
      <c r="H22" s="41"/>
      <c r="I22" s="44">
        <v>76.599999999999994</v>
      </c>
    </row>
    <row r="23" spans="1:9" x14ac:dyDescent="0.25">
      <c r="A23" s="23"/>
      <c r="B23" s="43" t="s">
        <v>45</v>
      </c>
      <c r="C23" s="37" t="s">
        <v>46</v>
      </c>
      <c r="D23" s="37" t="s">
        <v>28</v>
      </c>
      <c r="E23" s="38">
        <v>13907</v>
      </c>
      <c r="F23" s="39">
        <v>214.38</v>
      </c>
      <c r="G23" s="40">
        <v>1.8264307630019998E-2</v>
      </c>
      <c r="H23" s="41"/>
      <c r="I23" s="44">
        <v>79.400000000000006</v>
      </c>
    </row>
    <row r="24" spans="1:9" x14ac:dyDescent="0.25">
      <c r="A24" s="23"/>
      <c r="B24" s="43" t="s">
        <v>47</v>
      </c>
      <c r="C24" s="37" t="s">
        <v>48</v>
      </c>
      <c r="D24" s="37" t="s">
        <v>49</v>
      </c>
      <c r="E24" s="38">
        <v>5417</v>
      </c>
      <c r="F24" s="39">
        <v>202.96</v>
      </c>
      <c r="G24" s="40">
        <v>1.7291552422929998E-2</v>
      </c>
      <c r="H24" s="41"/>
      <c r="I24" s="44">
        <v>71.099999999999994</v>
      </c>
    </row>
    <row r="25" spans="1:9" x14ac:dyDescent="0.25">
      <c r="A25" s="23"/>
      <c r="B25" s="43" t="s">
        <v>50</v>
      </c>
      <c r="C25" s="37" t="s">
        <v>51</v>
      </c>
      <c r="D25" s="37" t="s">
        <v>52</v>
      </c>
      <c r="E25" s="38">
        <v>108556</v>
      </c>
      <c r="F25" s="39">
        <v>198.48</v>
      </c>
      <c r="G25" s="40">
        <v>1.691029853513E-2</v>
      </c>
      <c r="H25" s="41"/>
      <c r="I25" s="44">
        <v>69.3</v>
      </c>
    </row>
    <row r="26" spans="1:9" x14ac:dyDescent="0.25">
      <c r="A26" s="23"/>
      <c r="B26" s="43" t="s">
        <v>53</v>
      </c>
      <c r="C26" s="37" t="s">
        <v>54</v>
      </c>
      <c r="D26" s="37" t="s">
        <v>55</v>
      </c>
      <c r="E26" s="38">
        <v>1558</v>
      </c>
      <c r="F26" s="39">
        <v>186.13</v>
      </c>
      <c r="G26" s="40">
        <v>1.5858150924429999E-2</v>
      </c>
      <c r="H26" s="41"/>
      <c r="I26" s="44">
        <v>71.099999999999994</v>
      </c>
    </row>
    <row r="27" spans="1:9" x14ac:dyDescent="0.25">
      <c r="A27" s="23"/>
      <c r="B27" s="43" t="s">
        <v>56</v>
      </c>
      <c r="C27" s="37" t="s">
        <v>57</v>
      </c>
      <c r="D27" s="37" t="s">
        <v>58</v>
      </c>
      <c r="E27" s="38">
        <v>59461</v>
      </c>
      <c r="F27" s="39">
        <v>171.34</v>
      </c>
      <c r="G27" s="40">
        <v>1.459745222167E-2</v>
      </c>
      <c r="H27" s="41"/>
      <c r="I27" s="44">
        <v>61.9</v>
      </c>
    </row>
    <row r="28" spans="1:9" x14ac:dyDescent="0.25">
      <c r="A28" s="23"/>
      <c r="B28" s="43" t="s">
        <v>59</v>
      </c>
      <c r="C28" s="37" t="s">
        <v>60</v>
      </c>
      <c r="D28" s="37" t="s">
        <v>61</v>
      </c>
      <c r="E28" s="38">
        <v>19012</v>
      </c>
      <c r="F28" s="39">
        <v>161.19</v>
      </c>
      <c r="G28" s="40">
        <v>1.3733241583969999E-2</v>
      </c>
      <c r="H28" s="41"/>
      <c r="I28" s="44">
        <v>64.7</v>
      </c>
    </row>
    <row r="29" spans="1:9" x14ac:dyDescent="0.25">
      <c r="A29" s="23"/>
      <c r="B29" s="43" t="s">
        <v>62</v>
      </c>
      <c r="C29" s="37" t="s">
        <v>63</v>
      </c>
      <c r="D29" s="37" t="s">
        <v>49</v>
      </c>
      <c r="E29" s="38">
        <v>5936</v>
      </c>
      <c r="F29" s="39">
        <v>149.04</v>
      </c>
      <c r="G29" s="40">
        <v>1.269790992505E-2</v>
      </c>
      <c r="H29" s="41"/>
      <c r="I29" s="44">
        <v>74.099999999999994</v>
      </c>
    </row>
    <row r="30" spans="1:9" x14ac:dyDescent="0.25">
      <c r="A30" s="23"/>
      <c r="B30" s="43" t="s">
        <v>64</v>
      </c>
      <c r="C30" s="37" t="s">
        <v>65</v>
      </c>
      <c r="D30" s="37" t="s">
        <v>52</v>
      </c>
      <c r="E30" s="38">
        <v>12297</v>
      </c>
      <c r="F30" s="39">
        <v>148.30000000000001</v>
      </c>
      <c r="G30" s="40">
        <v>1.2634926229740001E-2</v>
      </c>
      <c r="H30" s="41"/>
      <c r="I30" s="44">
        <v>65.7</v>
      </c>
    </row>
    <row r="31" spans="1:9" x14ac:dyDescent="0.25">
      <c r="A31" s="23"/>
      <c r="B31" s="43" t="s">
        <v>66</v>
      </c>
      <c r="C31" s="37" t="s">
        <v>67</v>
      </c>
      <c r="D31" s="37" t="s">
        <v>55</v>
      </c>
      <c r="E31" s="38">
        <v>5015</v>
      </c>
      <c r="F31" s="39">
        <v>145.02000000000001</v>
      </c>
      <c r="G31" s="40">
        <v>1.2355217699649999E-2</v>
      </c>
      <c r="H31" s="41"/>
      <c r="I31" s="44">
        <v>67.099999999999994</v>
      </c>
    </row>
    <row r="32" spans="1:9" x14ac:dyDescent="0.25">
      <c r="A32" s="23"/>
      <c r="B32" s="43" t="s">
        <v>68</v>
      </c>
      <c r="C32" s="37" t="s">
        <v>69</v>
      </c>
      <c r="D32" s="37" t="s">
        <v>70</v>
      </c>
      <c r="E32" s="38">
        <v>9688</v>
      </c>
      <c r="F32" s="39">
        <v>140.62</v>
      </c>
      <c r="G32" s="40">
        <v>1.1980567767329999E-2</v>
      </c>
      <c r="H32" s="41"/>
      <c r="I32" s="44">
        <v>74.599999999999994</v>
      </c>
    </row>
    <row r="33" spans="1:9" x14ac:dyDescent="0.25">
      <c r="A33" s="23"/>
      <c r="B33" s="43" t="s">
        <v>71</v>
      </c>
      <c r="C33" s="37" t="s">
        <v>72</v>
      </c>
      <c r="D33" s="37" t="s">
        <v>36</v>
      </c>
      <c r="E33" s="38">
        <v>18380</v>
      </c>
      <c r="F33" s="39">
        <v>137.65</v>
      </c>
      <c r="G33" s="40">
        <v>1.172723336359E-2</v>
      </c>
      <c r="H33" s="41"/>
      <c r="I33" s="44">
        <v>81.099999999999994</v>
      </c>
    </row>
    <row r="34" spans="1:9" x14ac:dyDescent="0.25">
      <c r="A34" s="23"/>
      <c r="B34" s="43" t="s">
        <v>73</v>
      </c>
      <c r="C34" s="37" t="s">
        <v>74</v>
      </c>
      <c r="D34" s="37" t="s">
        <v>39</v>
      </c>
      <c r="E34" s="38">
        <v>2913</v>
      </c>
      <c r="F34" s="39">
        <v>136.74</v>
      </c>
      <c r="G34" s="40">
        <v>1.165031197361E-2</v>
      </c>
      <c r="H34" s="41"/>
      <c r="I34" s="44">
        <v>68.900000000000006</v>
      </c>
    </row>
    <row r="35" spans="1:9" x14ac:dyDescent="0.25">
      <c r="A35" s="23"/>
      <c r="B35" s="43" t="s">
        <v>75</v>
      </c>
      <c r="C35" s="37" t="s">
        <v>76</v>
      </c>
      <c r="D35" s="37" t="s">
        <v>36</v>
      </c>
      <c r="E35" s="38">
        <v>43020</v>
      </c>
      <c r="F35" s="39">
        <v>131.99</v>
      </c>
      <c r="G35" s="40">
        <v>1.124480661806E-2</v>
      </c>
      <c r="H35" s="41"/>
      <c r="I35" s="44">
        <v>77.2</v>
      </c>
    </row>
    <row r="36" spans="1:9" x14ac:dyDescent="0.25">
      <c r="A36" s="23"/>
      <c r="B36" s="43" t="s">
        <v>77</v>
      </c>
      <c r="C36" s="37" t="s">
        <v>78</v>
      </c>
      <c r="D36" s="37" t="s">
        <v>28</v>
      </c>
      <c r="E36" s="38">
        <v>8333</v>
      </c>
      <c r="F36" s="39">
        <v>118.7</v>
      </c>
      <c r="G36" s="40">
        <v>1.011252426194E-2</v>
      </c>
      <c r="H36" s="41"/>
      <c r="I36" s="44">
        <v>77.900000000000006</v>
      </c>
    </row>
    <row r="37" spans="1:9" x14ac:dyDescent="0.25">
      <c r="A37" s="23"/>
      <c r="B37" s="43" t="s">
        <v>79</v>
      </c>
      <c r="C37" s="37" t="s">
        <v>80</v>
      </c>
      <c r="D37" s="37" t="s">
        <v>81</v>
      </c>
      <c r="E37" s="38">
        <v>5889</v>
      </c>
      <c r="F37" s="39">
        <v>115.17</v>
      </c>
      <c r="G37" s="40">
        <v>9.8122819709699997E-3</v>
      </c>
      <c r="H37" s="41"/>
      <c r="I37" s="44">
        <v>74.2</v>
      </c>
    </row>
    <row r="38" spans="1:9" x14ac:dyDescent="0.25">
      <c r="A38" s="23"/>
      <c r="B38" s="43" t="s">
        <v>82</v>
      </c>
      <c r="C38" s="37" t="s">
        <v>83</v>
      </c>
      <c r="D38" s="37" t="s">
        <v>84</v>
      </c>
      <c r="E38" s="38">
        <v>7383</v>
      </c>
      <c r="F38" s="39">
        <v>110.84</v>
      </c>
      <c r="G38" s="40">
        <v>9.4433607955500005E-3</v>
      </c>
      <c r="H38" s="41"/>
      <c r="I38" s="44">
        <v>69.3</v>
      </c>
    </row>
    <row r="39" spans="1:9" x14ac:dyDescent="0.25">
      <c r="A39" s="23"/>
      <c r="B39" s="43" t="s">
        <v>85</v>
      </c>
      <c r="C39" s="37" t="s">
        <v>86</v>
      </c>
      <c r="D39" s="37" t="s">
        <v>33</v>
      </c>
      <c r="E39" s="38">
        <v>3081</v>
      </c>
      <c r="F39" s="39">
        <v>108.1</v>
      </c>
      <c r="G39" s="40">
        <v>9.2100961677700002E-3</v>
      </c>
      <c r="H39" s="41"/>
      <c r="I39" s="44">
        <v>73.3</v>
      </c>
    </row>
    <row r="40" spans="1:9" x14ac:dyDescent="0.25">
      <c r="A40" s="23"/>
      <c r="B40" s="43" t="s">
        <v>87</v>
      </c>
      <c r="C40" s="37" t="s">
        <v>88</v>
      </c>
      <c r="D40" s="37" t="s">
        <v>81</v>
      </c>
      <c r="E40" s="38">
        <v>14086</v>
      </c>
      <c r="F40" s="39">
        <v>103.09</v>
      </c>
      <c r="G40" s="40">
        <v>8.7828606245500002E-3</v>
      </c>
      <c r="H40" s="41"/>
      <c r="I40" s="44">
        <v>76</v>
      </c>
    </row>
    <row r="41" spans="1:9" x14ac:dyDescent="0.25">
      <c r="A41" s="23"/>
      <c r="B41" s="43" t="s">
        <v>89</v>
      </c>
      <c r="C41" s="37" t="s">
        <v>90</v>
      </c>
      <c r="D41" s="37" t="s">
        <v>91</v>
      </c>
      <c r="E41" s="38">
        <v>1326</v>
      </c>
      <c r="F41" s="39">
        <v>101.85</v>
      </c>
      <c r="G41" s="40">
        <v>8.67735807015E-3</v>
      </c>
      <c r="H41" s="41"/>
      <c r="I41" s="44">
        <v>67.099999999999994</v>
      </c>
    </row>
    <row r="42" spans="1:9" x14ac:dyDescent="0.25">
      <c r="A42" s="23"/>
      <c r="B42" s="43" t="s">
        <v>92</v>
      </c>
      <c r="C42" s="37" t="s">
        <v>93</v>
      </c>
      <c r="D42" s="37" t="s">
        <v>94</v>
      </c>
      <c r="E42" s="38">
        <v>8549</v>
      </c>
      <c r="F42" s="39">
        <v>99.6</v>
      </c>
      <c r="G42" s="40">
        <v>8.4853052884899995E-3</v>
      </c>
      <c r="H42" s="41"/>
      <c r="I42" s="44">
        <v>66.8</v>
      </c>
    </row>
    <row r="43" spans="1:9" x14ac:dyDescent="0.25">
      <c r="A43" s="23"/>
      <c r="B43" s="43" t="s">
        <v>95</v>
      </c>
      <c r="C43" s="37" t="s">
        <v>96</v>
      </c>
      <c r="D43" s="37" t="s">
        <v>84</v>
      </c>
      <c r="E43" s="38">
        <v>7997</v>
      </c>
      <c r="F43" s="39">
        <v>95.77</v>
      </c>
      <c r="G43" s="40">
        <v>8.1595294284999998E-3</v>
      </c>
      <c r="H43" s="41"/>
      <c r="I43" s="44">
        <v>73.099999999999994</v>
      </c>
    </row>
    <row r="44" spans="1:9" x14ac:dyDescent="0.25">
      <c r="A44" s="23"/>
      <c r="B44" s="43" t="s">
        <v>97</v>
      </c>
      <c r="C44" s="37" t="s">
        <v>98</v>
      </c>
      <c r="D44" s="37" t="s">
        <v>33</v>
      </c>
      <c r="E44" s="38">
        <v>1704</v>
      </c>
      <c r="F44" s="39">
        <v>94.47</v>
      </c>
      <c r="G44" s="40">
        <v>8.0485758606400008E-3</v>
      </c>
      <c r="H44" s="41"/>
      <c r="I44" s="44">
        <v>76.2</v>
      </c>
    </row>
    <row r="45" spans="1:9" x14ac:dyDescent="0.25">
      <c r="A45" s="23"/>
      <c r="B45" s="43" t="s">
        <v>99</v>
      </c>
      <c r="C45" s="37" t="s">
        <v>100</v>
      </c>
      <c r="D45" s="37" t="s">
        <v>36</v>
      </c>
      <c r="E45" s="38">
        <v>5532</v>
      </c>
      <c r="F45" s="39">
        <v>93.87</v>
      </c>
      <c r="G45" s="40">
        <v>7.9972202442900008E-3</v>
      </c>
      <c r="H45" s="41"/>
      <c r="I45" s="44">
        <v>79.8</v>
      </c>
    </row>
    <row r="46" spans="1:9" x14ac:dyDescent="0.25">
      <c r="A46" s="23"/>
      <c r="B46" s="43" t="s">
        <v>101</v>
      </c>
      <c r="C46" s="37" t="s">
        <v>102</v>
      </c>
      <c r="D46" s="37" t="s">
        <v>17</v>
      </c>
      <c r="E46" s="38">
        <v>25444</v>
      </c>
      <c r="F46" s="39">
        <v>90.78</v>
      </c>
      <c r="G46" s="40">
        <v>7.7345751302799999E-3</v>
      </c>
      <c r="H46" s="41"/>
      <c r="I46" s="44">
        <v>63.9</v>
      </c>
    </row>
    <row r="47" spans="1:9" x14ac:dyDescent="0.25">
      <c r="A47" s="23"/>
      <c r="B47" s="43" t="s">
        <v>103</v>
      </c>
      <c r="C47" s="37" t="s">
        <v>104</v>
      </c>
      <c r="D47" s="37" t="s">
        <v>105</v>
      </c>
      <c r="E47" s="38">
        <v>11530</v>
      </c>
      <c r="F47" s="39">
        <v>85.53</v>
      </c>
      <c r="G47" s="40">
        <v>7.2868925571100002E-3</v>
      </c>
      <c r="H47" s="41"/>
      <c r="I47" s="44">
        <v>76.599999999999994</v>
      </c>
    </row>
    <row r="48" spans="1:9" x14ac:dyDescent="0.25">
      <c r="A48" s="23"/>
      <c r="B48" s="43" t="s">
        <v>106</v>
      </c>
      <c r="C48" s="37" t="s">
        <v>107</v>
      </c>
      <c r="D48" s="37" t="s">
        <v>108</v>
      </c>
      <c r="E48" s="38">
        <v>3419</v>
      </c>
      <c r="F48" s="39">
        <v>84.83</v>
      </c>
      <c r="G48" s="40">
        <v>7.2269008233300002E-3</v>
      </c>
      <c r="H48" s="41"/>
      <c r="I48" s="44">
        <v>64.8</v>
      </c>
    </row>
    <row r="49" spans="1:9" x14ac:dyDescent="0.25">
      <c r="A49" s="23"/>
      <c r="B49" s="43" t="s">
        <v>109</v>
      </c>
      <c r="C49" s="37" t="s">
        <v>110</v>
      </c>
      <c r="D49" s="37" t="s">
        <v>111</v>
      </c>
      <c r="E49" s="38">
        <v>17785</v>
      </c>
      <c r="F49" s="39">
        <v>83.53</v>
      </c>
      <c r="G49" s="40">
        <v>7.11630291193E-3</v>
      </c>
      <c r="H49" s="41"/>
      <c r="I49" s="44">
        <v>66.400000000000006</v>
      </c>
    </row>
    <row r="50" spans="1:9" x14ac:dyDescent="0.25">
      <c r="A50" s="23"/>
      <c r="B50" s="43" t="s">
        <v>112</v>
      </c>
      <c r="C50" s="37" t="s">
        <v>113</v>
      </c>
      <c r="D50" s="37" t="s">
        <v>58</v>
      </c>
      <c r="E50" s="38">
        <v>51667</v>
      </c>
      <c r="F50" s="39">
        <v>81.56</v>
      </c>
      <c r="G50" s="40">
        <v>6.9483879958400002E-3</v>
      </c>
      <c r="H50" s="41"/>
      <c r="I50" s="44">
        <v>64.900000000000006</v>
      </c>
    </row>
    <row r="51" spans="1:9" x14ac:dyDescent="0.25">
      <c r="A51" s="23"/>
      <c r="B51" s="43" t="s">
        <v>114</v>
      </c>
      <c r="C51" s="37" t="s">
        <v>115</v>
      </c>
      <c r="D51" s="37" t="s">
        <v>39</v>
      </c>
      <c r="E51" s="38">
        <v>1932</v>
      </c>
      <c r="F51" s="39">
        <v>80.25</v>
      </c>
      <c r="G51" s="40">
        <v>6.8367164270800003E-3</v>
      </c>
      <c r="H51" s="41"/>
      <c r="I51" s="44">
        <v>70</v>
      </c>
    </row>
    <row r="52" spans="1:9" x14ac:dyDescent="0.25">
      <c r="A52" s="23"/>
      <c r="B52" s="43" t="s">
        <v>116</v>
      </c>
      <c r="C52" s="37" t="s">
        <v>117</v>
      </c>
      <c r="D52" s="37" t="s">
        <v>118</v>
      </c>
      <c r="E52" s="38">
        <v>27230</v>
      </c>
      <c r="F52" s="39">
        <v>71</v>
      </c>
      <c r="G52" s="40">
        <v>6.0492034084400001E-3</v>
      </c>
      <c r="H52" s="41"/>
      <c r="I52" s="44"/>
    </row>
    <row r="53" spans="1:9" x14ac:dyDescent="0.25">
      <c r="A53" s="23"/>
      <c r="B53" s="43" t="s">
        <v>119</v>
      </c>
      <c r="C53" s="37" t="s">
        <v>120</v>
      </c>
      <c r="D53" s="37" t="s">
        <v>39</v>
      </c>
      <c r="E53" s="38">
        <v>5102</v>
      </c>
      <c r="F53" s="39">
        <v>70.319999999999993</v>
      </c>
      <c r="G53" s="40">
        <v>5.9911534081099997E-3</v>
      </c>
      <c r="H53" s="41"/>
      <c r="I53" s="44">
        <v>71.2</v>
      </c>
    </row>
    <row r="54" spans="1:9" x14ac:dyDescent="0.25">
      <c r="A54" s="23"/>
      <c r="B54" s="43" t="s">
        <v>121</v>
      </c>
      <c r="C54" s="37" t="s">
        <v>122</v>
      </c>
      <c r="D54" s="37" t="s">
        <v>28</v>
      </c>
      <c r="E54" s="38">
        <v>1217</v>
      </c>
      <c r="F54" s="39">
        <v>69.180000000000007</v>
      </c>
      <c r="G54" s="40">
        <v>5.8939857131999999E-3</v>
      </c>
      <c r="H54" s="41"/>
      <c r="I54" s="44">
        <v>78.900000000000006</v>
      </c>
    </row>
    <row r="55" spans="1:9" x14ac:dyDescent="0.25">
      <c r="A55" s="23"/>
      <c r="B55" s="43" t="s">
        <v>123</v>
      </c>
      <c r="C55" s="37" t="s">
        <v>124</v>
      </c>
      <c r="D55" s="37" t="s">
        <v>125</v>
      </c>
      <c r="E55" s="38">
        <v>9011</v>
      </c>
      <c r="F55" s="39">
        <v>66.38</v>
      </c>
      <c r="G55" s="40">
        <v>5.6553620425399999E-3</v>
      </c>
      <c r="H55" s="41"/>
      <c r="I55" s="44">
        <v>67.599999999999994</v>
      </c>
    </row>
    <row r="56" spans="1:9" x14ac:dyDescent="0.25">
      <c r="A56" s="23"/>
      <c r="B56" s="43" t="s">
        <v>126</v>
      </c>
      <c r="C56" s="37" t="s">
        <v>127</v>
      </c>
      <c r="D56" s="37" t="s">
        <v>128</v>
      </c>
      <c r="E56" s="38">
        <v>35409</v>
      </c>
      <c r="F56" s="39">
        <v>64.709999999999994</v>
      </c>
      <c r="G56" s="40">
        <v>5.5134195386400001E-3</v>
      </c>
      <c r="H56" s="41"/>
      <c r="I56" s="44">
        <v>68.900000000000006</v>
      </c>
    </row>
    <row r="57" spans="1:9" x14ac:dyDescent="0.25">
      <c r="A57" s="23"/>
      <c r="B57" s="43" t="s">
        <v>129</v>
      </c>
      <c r="C57" s="37" t="s">
        <v>130</v>
      </c>
      <c r="D57" s="37" t="s">
        <v>131</v>
      </c>
      <c r="E57" s="38">
        <v>8421</v>
      </c>
      <c r="F57" s="39">
        <v>63.68</v>
      </c>
      <c r="G57" s="40">
        <v>5.4256938516699998E-3</v>
      </c>
      <c r="H57" s="41"/>
      <c r="I57" s="44">
        <v>70.5</v>
      </c>
    </row>
    <row r="58" spans="1:9" x14ac:dyDescent="0.25">
      <c r="A58" s="23"/>
      <c r="B58" s="43" t="s">
        <v>132</v>
      </c>
      <c r="C58" s="37" t="s">
        <v>133</v>
      </c>
      <c r="D58" s="37" t="s">
        <v>81</v>
      </c>
      <c r="E58" s="38">
        <v>3168</v>
      </c>
      <c r="F58" s="39">
        <v>63.16</v>
      </c>
      <c r="G58" s="40">
        <v>5.3811018421699996E-3</v>
      </c>
      <c r="H58" s="41"/>
      <c r="I58" s="44">
        <v>79.400000000000006</v>
      </c>
    </row>
    <row r="59" spans="1:9" x14ac:dyDescent="0.25">
      <c r="A59" s="23"/>
      <c r="B59" s="43" t="s">
        <v>134</v>
      </c>
      <c r="C59" s="37" t="s">
        <v>135</v>
      </c>
      <c r="D59" s="37" t="s">
        <v>36</v>
      </c>
      <c r="E59" s="38">
        <v>16396</v>
      </c>
      <c r="F59" s="39">
        <v>61.46</v>
      </c>
      <c r="G59" s="40">
        <v>5.2362654474500002E-3</v>
      </c>
      <c r="H59" s="41"/>
      <c r="I59" s="44">
        <v>79.3</v>
      </c>
    </row>
    <row r="60" spans="1:9" x14ac:dyDescent="0.25">
      <c r="A60" s="23"/>
      <c r="B60" s="43" t="s">
        <v>136</v>
      </c>
      <c r="C60" s="37" t="s">
        <v>137</v>
      </c>
      <c r="D60" s="37" t="s">
        <v>138</v>
      </c>
      <c r="E60" s="38">
        <v>5280</v>
      </c>
      <c r="F60" s="39">
        <v>59.06</v>
      </c>
      <c r="G60" s="40">
        <v>5.0319343604499998E-3</v>
      </c>
      <c r="H60" s="41"/>
      <c r="I60" s="44">
        <v>76.400000000000006</v>
      </c>
    </row>
    <row r="61" spans="1:9" x14ac:dyDescent="0.25">
      <c r="A61" s="23"/>
      <c r="B61" s="43" t="s">
        <v>139</v>
      </c>
      <c r="C61" s="37" t="s">
        <v>140</v>
      </c>
      <c r="D61" s="37" t="s">
        <v>141</v>
      </c>
      <c r="E61" s="38">
        <v>4074</v>
      </c>
      <c r="F61" s="39">
        <v>58.85</v>
      </c>
      <c r="G61" s="40">
        <v>5.0141216334300001E-3</v>
      </c>
      <c r="H61" s="41"/>
      <c r="I61" s="44">
        <v>69.400000000000006</v>
      </c>
    </row>
    <row r="62" spans="1:9" x14ac:dyDescent="0.25">
      <c r="A62" s="23"/>
      <c r="B62" s="43" t="s">
        <v>142</v>
      </c>
      <c r="C62" s="37" t="s">
        <v>143</v>
      </c>
      <c r="D62" s="37" t="s">
        <v>55</v>
      </c>
      <c r="E62" s="38">
        <v>175</v>
      </c>
      <c r="F62" s="39">
        <v>49.54</v>
      </c>
      <c r="G62" s="40">
        <v>4.2208911039499997E-3</v>
      </c>
      <c r="H62" s="41"/>
      <c r="I62" s="44">
        <v>66.400000000000006</v>
      </c>
    </row>
    <row r="63" spans="1:9" x14ac:dyDescent="0.25">
      <c r="A63" s="23"/>
      <c r="B63" s="43" t="s">
        <v>144</v>
      </c>
      <c r="C63" s="37" t="s">
        <v>145</v>
      </c>
      <c r="D63" s="37" t="s">
        <v>55</v>
      </c>
      <c r="E63" s="38">
        <v>8215</v>
      </c>
      <c r="F63" s="39">
        <v>46.45</v>
      </c>
      <c r="G63" s="40">
        <v>3.9572145904699998E-3</v>
      </c>
      <c r="H63" s="41"/>
      <c r="I63" s="44">
        <v>66.599999999999994</v>
      </c>
    </row>
    <row r="64" spans="1:9" x14ac:dyDescent="0.25">
      <c r="A64" s="23"/>
      <c r="B64" s="43" t="s">
        <v>146</v>
      </c>
      <c r="C64" s="37" t="s">
        <v>147</v>
      </c>
      <c r="D64" s="37" t="s">
        <v>58</v>
      </c>
      <c r="E64" s="38">
        <v>4018</v>
      </c>
      <c r="F64" s="39">
        <v>45.81</v>
      </c>
      <c r="G64" s="40">
        <v>3.9024829428200001E-3</v>
      </c>
      <c r="H64" s="41"/>
      <c r="I64" s="44">
        <v>71.2</v>
      </c>
    </row>
    <row r="65" spans="1:10" x14ac:dyDescent="0.25">
      <c r="A65" s="23"/>
      <c r="B65" s="43" t="s">
        <v>148</v>
      </c>
      <c r="C65" s="37" t="s">
        <v>149</v>
      </c>
      <c r="D65" s="37" t="s">
        <v>58</v>
      </c>
      <c r="E65" s="38">
        <v>4553</v>
      </c>
      <c r="F65" s="39">
        <v>44.9</v>
      </c>
      <c r="G65" s="40">
        <v>3.8255059189500002E-3</v>
      </c>
      <c r="H65" s="41"/>
      <c r="I65" s="44">
        <v>74.2</v>
      </c>
    </row>
    <row r="66" spans="1:10" x14ac:dyDescent="0.25">
      <c r="A66" s="23"/>
      <c r="B66" s="43" t="s">
        <v>150</v>
      </c>
      <c r="C66" s="37" t="s">
        <v>151</v>
      </c>
      <c r="D66" s="37" t="s">
        <v>131</v>
      </c>
      <c r="E66" s="38">
        <v>3688</v>
      </c>
      <c r="F66" s="39">
        <v>44.18</v>
      </c>
      <c r="G66" s="40">
        <v>3.7638967981399999E-3</v>
      </c>
      <c r="H66" s="41"/>
      <c r="I66" s="44">
        <v>76.7</v>
      </c>
    </row>
    <row r="67" spans="1:10" x14ac:dyDescent="0.25">
      <c r="A67" s="23"/>
      <c r="B67" s="43" t="s">
        <v>152</v>
      </c>
      <c r="C67" s="37" t="s">
        <v>153</v>
      </c>
      <c r="D67" s="37" t="s">
        <v>154</v>
      </c>
      <c r="E67" s="38">
        <v>113</v>
      </c>
      <c r="F67" s="39">
        <v>42.09</v>
      </c>
      <c r="G67" s="40">
        <v>3.5856892720000002E-3</v>
      </c>
      <c r="H67" s="41"/>
      <c r="I67" s="44">
        <v>70.3</v>
      </c>
    </row>
    <row r="68" spans="1:10" x14ac:dyDescent="0.25">
      <c r="A68" s="23"/>
      <c r="B68" s="43" t="s">
        <v>155</v>
      </c>
      <c r="C68" s="37" t="s">
        <v>156</v>
      </c>
      <c r="D68" s="37" t="s">
        <v>138</v>
      </c>
      <c r="E68" s="38">
        <v>7740</v>
      </c>
      <c r="F68" s="39">
        <v>37.74</v>
      </c>
      <c r="G68" s="40">
        <v>3.21503978257E-3</v>
      </c>
      <c r="H68" s="41"/>
      <c r="I68" s="44">
        <v>75.7</v>
      </c>
    </row>
    <row r="69" spans="1:10" x14ac:dyDescent="0.25">
      <c r="A69" s="23"/>
      <c r="B69" s="43" t="s">
        <v>157</v>
      </c>
      <c r="C69" s="37" t="s">
        <v>158</v>
      </c>
      <c r="D69" s="37" t="s">
        <v>58</v>
      </c>
      <c r="E69" s="38">
        <v>7028</v>
      </c>
      <c r="F69" s="39">
        <v>37.07</v>
      </c>
      <c r="G69" s="40">
        <v>3.1581974550700001E-3</v>
      </c>
      <c r="H69" s="41"/>
      <c r="I69" s="44">
        <v>70.3</v>
      </c>
    </row>
    <row r="70" spans="1:10" x14ac:dyDescent="0.25">
      <c r="A70" s="23"/>
      <c r="B70" s="43" t="s">
        <v>159</v>
      </c>
      <c r="C70" s="37" t="s">
        <v>160</v>
      </c>
      <c r="D70" s="37" t="s">
        <v>125</v>
      </c>
      <c r="E70" s="38">
        <v>1160</v>
      </c>
      <c r="F70" s="39">
        <v>35.92</v>
      </c>
      <c r="G70" s="40">
        <v>3.06004104459E-3</v>
      </c>
      <c r="H70" s="41"/>
      <c r="I70" s="44">
        <v>61.5</v>
      </c>
    </row>
    <row r="71" spans="1:10" x14ac:dyDescent="0.25">
      <c r="A71" s="23"/>
      <c r="B71" s="43" t="s">
        <v>161</v>
      </c>
      <c r="C71" s="37" t="s">
        <v>162</v>
      </c>
      <c r="D71" s="37" t="s">
        <v>125</v>
      </c>
      <c r="E71" s="38">
        <v>688</v>
      </c>
      <c r="F71" s="39">
        <v>35.909999999999997</v>
      </c>
      <c r="G71" s="40">
        <v>3.05974455772E-3</v>
      </c>
      <c r="H71" s="41"/>
      <c r="I71" s="44">
        <v>74.2</v>
      </c>
    </row>
    <row r="72" spans="1:10" x14ac:dyDescent="0.25">
      <c r="B72" s="45" t="s">
        <v>163</v>
      </c>
      <c r="C72" s="37"/>
      <c r="D72" s="37"/>
      <c r="E72" s="38"/>
      <c r="F72" s="46">
        <v>11723.57</v>
      </c>
      <c r="G72" s="47">
        <v>0.99881585226608005</v>
      </c>
      <c r="H72" s="41"/>
      <c r="I72" s="48">
        <f>SUMPRODUCT(I12:I71,G12:G71)</f>
        <v>73.346397073883139</v>
      </c>
      <c r="J72" s="22" t="s">
        <v>164</v>
      </c>
    </row>
    <row r="73" spans="1:10" x14ac:dyDescent="0.25">
      <c r="B73" s="45" t="s">
        <v>165</v>
      </c>
      <c r="C73" s="37"/>
      <c r="D73" s="37"/>
      <c r="E73" s="38"/>
      <c r="F73" s="49"/>
      <c r="G73" s="50"/>
      <c r="H73" s="41"/>
    </row>
    <row r="74" spans="1:10" x14ac:dyDescent="0.25">
      <c r="B74" s="45" t="s">
        <v>163</v>
      </c>
      <c r="C74" s="37"/>
      <c r="D74" s="37"/>
      <c r="E74" s="51"/>
      <c r="F74" s="46" t="s">
        <v>166</v>
      </c>
      <c r="G74" s="52" t="s">
        <v>166</v>
      </c>
      <c r="H74" s="53"/>
    </row>
    <row r="75" spans="1:10" x14ac:dyDescent="0.25">
      <c r="B75" s="54" t="s">
        <v>167</v>
      </c>
      <c r="C75" s="55"/>
      <c r="D75" s="55"/>
      <c r="E75" s="56"/>
      <c r="F75" s="57">
        <v>11723.57</v>
      </c>
      <c r="G75" s="58">
        <v>0.99881585226608005</v>
      </c>
      <c r="H75" s="59"/>
    </row>
    <row r="76" spans="1:10" x14ac:dyDescent="0.25">
      <c r="B76" s="60"/>
      <c r="C76" s="61"/>
      <c r="D76" s="61"/>
      <c r="E76" s="62"/>
      <c r="F76" s="63"/>
      <c r="G76" s="64"/>
      <c r="H76" s="65"/>
    </row>
    <row r="77" spans="1:10" x14ac:dyDescent="0.25">
      <c r="A77" s="35"/>
      <c r="B77" s="36" t="s">
        <v>168</v>
      </c>
      <c r="C77" s="37"/>
      <c r="D77" s="37"/>
      <c r="E77" s="38"/>
      <c r="F77" s="39"/>
      <c r="G77" s="40"/>
      <c r="H77" s="41"/>
    </row>
    <row r="78" spans="1:10" x14ac:dyDescent="0.25">
      <c r="B78" s="42" t="s">
        <v>169</v>
      </c>
      <c r="C78" s="37"/>
      <c r="D78" s="37"/>
      <c r="E78" s="38"/>
      <c r="F78" s="39"/>
      <c r="G78" s="40"/>
      <c r="H78" s="41"/>
    </row>
    <row r="79" spans="1:10" x14ac:dyDescent="0.25">
      <c r="A79" s="23"/>
      <c r="B79" s="43" t="s">
        <v>170</v>
      </c>
      <c r="C79" s="37" t="s">
        <v>171</v>
      </c>
      <c r="D79" s="37" t="s">
        <v>172</v>
      </c>
      <c r="E79" s="38">
        <v>12408</v>
      </c>
      <c r="F79" s="39">
        <v>1.25</v>
      </c>
      <c r="G79" s="40">
        <v>1.0668017812000001E-4</v>
      </c>
      <c r="H79" s="41">
        <v>6.0499999999999998E-2</v>
      </c>
    </row>
    <row r="80" spans="1:10" x14ac:dyDescent="0.25">
      <c r="B80" s="45" t="s">
        <v>163</v>
      </c>
      <c r="C80" s="37"/>
      <c r="D80" s="37"/>
      <c r="E80" s="38"/>
      <c r="F80" s="46">
        <v>1.25</v>
      </c>
      <c r="G80" s="47">
        <v>1.0668017812000001E-4</v>
      </c>
      <c r="H80" s="41"/>
    </row>
    <row r="81" spans="1:222" x14ac:dyDescent="0.25">
      <c r="B81" s="45" t="s">
        <v>173</v>
      </c>
      <c r="C81" s="37"/>
      <c r="D81" s="37"/>
      <c r="E81" s="38"/>
      <c r="F81" s="49"/>
      <c r="G81" s="50"/>
      <c r="H81" s="41"/>
    </row>
    <row r="82" spans="1:222" x14ac:dyDescent="0.25">
      <c r="B82" s="45" t="s">
        <v>163</v>
      </c>
      <c r="C82" s="37"/>
      <c r="D82" s="37"/>
      <c r="E82" s="51"/>
      <c r="F82" s="46" t="s">
        <v>166</v>
      </c>
      <c r="G82" s="52" t="s">
        <v>166</v>
      </c>
      <c r="H82" s="53"/>
    </row>
    <row r="83" spans="1:222" x14ac:dyDescent="0.25">
      <c r="B83" s="45" t="s">
        <v>174</v>
      </c>
      <c r="C83" s="37"/>
      <c r="D83" s="37"/>
      <c r="E83" s="51"/>
      <c r="F83" s="49"/>
      <c r="G83" s="66"/>
      <c r="H83" s="53"/>
    </row>
    <row r="84" spans="1:222" x14ac:dyDescent="0.25">
      <c r="B84" s="45" t="s">
        <v>163</v>
      </c>
      <c r="C84" s="37"/>
      <c r="D84" s="37"/>
      <c r="E84" s="51"/>
      <c r="F84" s="46" t="s">
        <v>166</v>
      </c>
      <c r="G84" s="52" t="s">
        <v>166</v>
      </c>
      <c r="H84" s="53"/>
    </row>
    <row r="85" spans="1:222" x14ac:dyDescent="0.25">
      <c r="B85" s="54" t="s">
        <v>167</v>
      </c>
      <c r="C85" s="55"/>
      <c r="D85" s="55"/>
      <c r="E85" s="56"/>
      <c r="F85" s="57">
        <v>1.25</v>
      </c>
      <c r="G85" s="58">
        <v>1.0668017812000001E-4</v>
      </c>
      <c r="H85" s="59"/>
    </row>
    <row r="86" spans="1:222" x14ac:dyDescent="0.25">
      <c r="B86" s="67"/>
      <c r="C86" s="68"/>
      <c r="D86" s="68"/>
      <c r="E86" s="69"/>
      <c r="F86" s="70"/>
      <c r="G86" s="71"/>
      <c r="H86" s="72"/>
    </row>
    <row r="87" spans="1:222" x14ac:dyDescent="0.25">
      <c r="B87" s="73" t="s">
        <v>175</v>
      </c>
      <c r="C87" s="74"/>
      <c r="D87" s="74"/>
      <c r="E87" s="75"/>
      <c r="F87" s="76"/>
      <c r="G87" s="77"/>
      <c r="H87" s="78"/>
    </row>
    <row r="88" spans="1:222" s="84" customFormat="1" ht="15" customHeight="1" x14ac:dyDescent="0.2">
      <c r="A88" s="22"/>
      <c r="B88" s="54" t="s">
        <v>167</v>
      </c>
      <c r="C88" s="79"/>
      <c r="D88" s="79"/>
      <c r="E88" s="80"/>
      <c r="F88" s="81" t="s">
        <v>166</v>
      </c>
      <c r="G88" s="82" t="s">
        <v>166</v>
      </c>
      <c r="H88" s="83"/>
      <c r="I88" s="22"/>
      <c r="J88" s="22"/>
      <c r="K88" s="22"/>
      <c r="L88" s="22"/>
      <c r="M88" s="22"/>
      <c r="N88" s="22"/>
      <c r="O88" s="22"/>
      <c r="P88" s="22"/>
      <c r="Q88" s="22"/>
      <c r="R88" s="22"/>
      <c r="S88" s="22"/>
      <c r="T88" s="22"/>
      <c r="U88" s="22"/>
      <c r="V88" s="22"/>
      <c r="W88" s="22"/>
      <c r="X88" s="22"/>
      <c r="Y88" s="22"/>
      <c r="Z88" s="22"/>
      <c r="AA88" s="22"/>
      <c r="AB88" s="22"/>
      <c r="AC88" s="22"/>
      <c r="AD88" s="22"/>
      <c r="AE88" s="22"/>
      <c r="AF88" s="22"/>
      <c r="AG88" s="22"/>
      <c r="AH88" s="22"/>
      <c r="AI88" s="22"/>
      <c r="AJ88" s="22"/>
      <c r="AK88" s="22"/>
      <c r="AL88" s="22"/>
      <c r="AM88" s="22"/>
      <c r="AN88" s="22"/>
      <c r="AO88" s="22"/>
      <c r="AP88" s="22"/>
      <c r="AQ88" s="22"/>
      <c r="AR88" s="22"/>
      <c r="AS88" s="22"/>
      <c r="AT88" s="22"/>
      <c r="AU88" s="22"/>
      <c r="AV88" s="22"/>
      <c r="AW88" s="22"/>
      <c r="AX88" s="22"/>
      <c r="AY88" s="22"/>
      <c r="AZ88" s="22"/>
      <c r="BA88" s="22"/>
      <c r="BB88" s="22"/>
      <c r="BC88" s="22"/>
      <c r="BD88" s="22"/>
      <c r="BE88" s="22"/>
      <c r="BF88" s="22"/>
      <c r="BG88" s="22"/>
      <c r="BH88" s="22"/>
      <c r="BI88" s="22"/>
      <c r="BJ88" s="22"/>
      <c r="BK88" s="22"/>
      <c r="BL88" s="22"/>
      <c r="BM88" s="22"/>
      <c r="BN88" s="22"/>
      <c r="BO88" s="22"/>
      <c r="BP88" s="22"/>
      <c r="BQ88" s="22"/>
      <c r="BR88" s="22"/>
      <c r="BS88" s="22"/>
      <c r="BT88" s="22"/>
      <c r="BU88" s="22"/>
      <c r="BV88" s="22"/>
      <c r="BW88" s="22"/>
      <c r="BX88" s="22"/>
      <c r="BY88" s="22"/>
      <c r="BZ88" s="22"/>
      <c r="CA88" s="22"/>
      <c r="CB88" s="22"/>
      <c r="CC88" s="22"/>
      <c r="CD88" s="22"/>
      <c r="CE88" s="22"/>
      <c r="CF88" s="22"/>
      <c r="CG88" s="22"/>
      <c r="CH88" s="22"/>
      <c r="CI88" s="22"/>
      <c r="CJ88" s="22"/>
      <c r="CK88" s="22"/>
      <c r="CL88" s="22"/>
      <c r="CM88" s="22"/>
      <c r="CN88" s="22"/>
      <c r="CO88" s="22"/>
      <c r="CP88" s="22"/>
      <c r="CQ88" s="22"/>
      <c r="CR88" s="22"/>
      <c r="CS88" s="22"/>
      <c r="CT88" s="22"/>
      <c r="CU88" s="22"/>
      <c r="CV88" s="22"/>
      <c r="CW88" s="22"/>
      <c r="CX88" s="22"/>
      <c r="CY88" s="22"/>
      <c r="CZ88" s="22"/>
      <c r="DA88" s="22"/>
      <c r="DB88" s="22"/>
      <c r="DC88" s="22"/>
      <c r="DD88" s="22"/>
      <c r="DE88" s="22"/>
      <c r="DF88" s="22"/>
      <c r="DG88" s="22"/>
      <c r="DH88" s="22"/>
      <c r="DI88" s="22"/>
      <c r="DJ88" s="22"/>
      <c r="DK88" s="22"/>
      <c r="DL88" s="22"/>
      <c r="DM88" s="22"/>
      <c r="DN88" s="22"/>
      <c r="DO88" s="22"/>
      <c r="DP88" s="22"/>
      <c r="DQ88" s="22"/>
      <c r="DR88" s="22"/>
      <c r="DS88" s="22"/>
      <c r="DT88" s="22"/>
      <c r="DU88" s="22"/>
      <c r="DV88" s="22"/>
      <c r="DW88" s="22"/>
      <c r="DX88" s="22"/>
      <c r="DY88" s="22"/>
      <c r="DZ88" s="22"/>
      <c r="EA88" s="22"/>
      <c r="EB88" s="22"/>
      <c r="EC88" s="22"/>
      <c r="ED88" s="22"/>
      <c r="EE88" s="22"/>
      <c r="EF88" s="22"/>
      <c r="EG88" s="22"/>
      <c r="EH88" s="22"/>
      <c r="EI88" s="22"/>
      <c r="EJ88" s="22"/>
      <c r="EK88" s="22"/>
      <c r="EL88" s="22"/>
      <c r="EM88" s="22"/>
      <c r="EN88" s="22"/>
      <c r="EO88" s="22"/>
      <c r="EP88" s="22"/>
      <c r="EQ88" s="22"/>
      <c r="ER88" s="22"/>
      <c r="ES88" s="22"/>
      <c r="ET88" s="22"/>
      <c r="EU88" s="22"/>
      <c r="EV88" s="22"/>
      <c r="EW88" s="22"/>
      <c r="EX88" s="22"/>
      <c r="EY88" s="22"/>
      <c r="EZ88" s="22"/>
      <c r="FA88" s="22"/>
      <c r="FB88" s="22"/>
      <c r="FC88" s="22"/>
      <c r="FD88" s="22"/>
      <c r="FE88" s="22"/>
      <c r="FF88" s="22"/>
      <c r="FG88" s="22"/>
      <c r="FH88" s="22"/>
      <c r="FI88" s="22"/>
      <c r="FJ88" s="22"/>
      <c r="FK88" s="22"/>
      <c r="FL88" s="22"/>
      <c r="FM88" s="22"/>
      <c r="FN88" s="22"/>
      <c r="FO88" s="22"/>
      <c r="FP88" s="22"/>
      <c r="FQ88" s="22"/>
      <c r="FR88" s="22"/>
      <c r="FS88" s="22"/>
      <c r="FT88" s="22"/>
      <c r="FU88" s="22"/>
      <c r="FV88" s="22"/>
      <c r="FW88" s="22"/>
      <c r="FX88" s="22"/>
      <c r="FY88" s="22"/>
      <c r="FZ88" s="22"/>
      <c r="GA88" s="22"/>
      <c r="GB88" s="22"/>
      <c r="GC88" s="22"/>
      <c r="GD88" s="22"/>
      <c r="GE88" s="22"/>
      <c r="GF88" s="22"/>
      <c r="GG88" s="22"/>
      <c r="GH88" s="22"/>
      <c r="GI88" s="22"/>
      <c r="GJ88" s="22"/>
      <c r="GK88" s="22"/>
      <c r="GL88" s="22"/>
      <c r="GM88" s="22"/>
      <c r="GN88" s="22"/>
      <c r="GO88" s="22"/>
      <c r="GP88" s="22"/>
      <c r="GQ88" s="22"/>
      <c r="GR88" s="22"/>
      <c r="GS88" s="22"/>
      <c r="GT88" s="22"/>
      <c r="GU88" s="22"/>
      <c r="GV88" s="22"/>
      <c r="GW88" s="22"/>
      <c r="GX88" s="22"/>
      <c r="GY88" s="22"/>
      <c r="GZ88" s="22"/>
      <c r="HA88" s="22"/>
      <c r="HB88" s="22"/>
      <c r="HC88" s="22"/>
      <c r="HD88" s="22"/>
      <c r="HE88" s="22"/>
      <c r="HF88" s="22"/>
      <c r="HG88" s="22"/>
      <c r="HH88" s="22"/>
      <c r="HI88" s="22"/>
      <c r="HJ88" s="22"/>
      <c r="HK88" s="22"/>
      <c r="HL88" s="22"/>
      <c r="HM88" s="22"/>
      <c r="HN88" s="22"/>
    </row>
    <row r="89" spans="1:222" x14ac:dyDescent="0.25">
      <c r="B89" s="85"/>
      <c r="C89" s="61"/>
      <c r="D89" s="61"/>
      <c r="E89" s="62"/>
      <c r="F89" s="63"/>
      <c r="G89" s="64"/>
      <c r="H89" s="65"/>
    </row>
    <row r="90" spans="1:222" x14ac:dyDescent="0.25">
      <c r="A90" s="35"/>
      <c r="B90" s="36" t="s">
        <v>176</v>
      </c>
      <c r="C90" s="37"/>
      <c r="D90" s="37"/>
      <c r="E90" s="38"/>
      <c r="F90" s="39"/>
      <c r="G90" s="40"/>
      <c r="H90" s="41"/>
    </row>
    <row r="91" spans="1:222" x14ac:dyDescent="0.25">
      <c r="B91" s="42" t="s">
        <v>177</v>
      </c>
      <c r="C91" s="37"/>
      <c r="D91" s="37"/>
      <c r="E91" s="38"/>
      <c r="F91" s="39"/>
      <c r="G91" s="40"/>
      <c r="H91" s="41"/>
    </row>
    <row r="92" spans="1:222" x14ac:dyDescent="0.25">
      <c r="A92" s="23"/>
      <c r="B92" s="43" t="s">
        <v>178</v>
      </c>
      <c r="C92" s="37"/>
      <c r="D92" s="37"/>
      <c r="E92" s="38"/>
      <c r="F92" s="39">
        <v>1.46</v>
      </c>
      <c r="G92" s="40">
        <v>1.2453047719E-4</v>
      </c>
      <c r="H92" s="41">
        <v>5.4913999999999998E-2</v>
      </c>
    </row>
    <row r="93" spans="1:222" x14ac:dyDescent="0.25">
      <c r="B93" s="45" t="s">
        <v>163</v>
      </c>
      <c r="C93" s="37"/>
      <c r="D93" s="37"/>
      <c r="E93" s="38"/>
      <c r="F93" s="46">
        <v>1.46</v>
      </c>
      <c r="G93" s="47">
        <v>1.2453047719E-4</v>
      </c>
      <c r="H93" s="41"/>
    </row>
    <row r="94" spans="1:222" x14ac:dyDescent="0.25">
      <c r="B94" s="54" t="s">
        <v>167</v>
      </c>
      <c r="C94" s="55"/>
      <c r="D94" s="55"/>
      <c r="E94" s="56"/>
      <c r="F94" s="46">
        <v>1.46</v>
      </c>
      <c r="G94" s="47">
        <v>1.2453047719E-4</v>
      </c>
      <c r="H94" s="59"/>
    </row>
    <row r="95" spans="1:222" x14ac:dyDescent="0.25">
      <c r="B95" s="60"/>
      <c r="C95" s="61"/>
      <c r="D95" s="61"/>
      <c r="E95" s="62"/>
      <c r="F95" s="63"/>
      <c r="G95" s="64"/>
      <c r="H95" s="65"/>
    </row>
    <row r="96" spans="1:222" x14ac:dyDescent="0.25">
      <c r="B96" s="42" t="s">
        <v>179</v>
      </c>
      <c r="C96" s="37"/>
      <c r="D96" s="37"/>
      <c r="E96" s="38"/>
      <c r="F96" s="39"/>
      <c r="G96" s="40"/>
      <c r="H96" s="41"/>
    </row>
    <row r="97" spans="1:8" x14ac:dyDescent="0.25">
      <c r="A97" s="23"/>
      <c r="B97" s="43" t="s">
        <v>180</v>
      </c>
      <c r="C97" s="37"/>
      <c r="D97" s="37"/>
      <c r="E97" s="38"/>
      <c r="F97" s="39">
        <v>11.17</v>
      </c>
      <c r="G97" s="40">
        <v>9.5293707862E-4</v>
      </c>
      <c r="H97" s="41"/>
    </row>
    <row r="98" spans="1:8" x14ac:dyDescent="0.25">
      <c r="B98" s="54" t="s">
        <v>167</v>
      </c>
      <c r="C98" s="55"/>
      <c r="D98" s="55"/>
      <c r="E98" s="56"/>
      <c r="F98" s="46">
        <v>11.17</v>
      </c>
      <c r="G98" s="47">
        <v>9.5293707862E-4</v>
      </c>
      <c r="H98" s="59"/>
    </row>
    <row r="99" spans="1:8" x14ac:dyDescent="0.25">
      <c r="B99" s="60"/>
      <c r="C99" s="61"/>
      <c r="D99" s="61"/>
      <c r="E99" s="62"/>
      <c r="F99" s="63"/>
      <c r="G99" s="64"/>
      <c r="H99" s="65"/>
    </row>
    <row r="100" spans="1:8" ht="15" customHeight="1" thickBot="1" x14ac:dyDescent="0.3">
      <c r="B100" s="86" t="s">
        <v>181</v>
      </c>
      <c r="C100" s="87"/>
      <c r="D100" s="88"/>
      <c r="E100" s="89"/>
      <c r="F100" s="90">
        <v>11737.45</v>
      </c>
      <c r="G100" s="91">
        <v>1</v>
      </c>
      <c r="H100" s="92"/>
    </row>
    <row r="101" spans="1:8" x14ac:dyDescent="0.25">
      <c r="B101" s="1" t="s">
        <v>182</v>
      </c>
    </row>
    <row r="102" spans="1:8" x14ac:dyDescent="0.25">
      <c r="B102" s="1" t="s">
        <v>183</v>
      </c>
    </row>
    <row r="103" spans="1:8" x14ac:dyDescent="0.25">
      <c r="B103" s="1" t="s">
        <v>184</v>
      </c>
    </row>
    <row r="104" spans="1:8" x14ac:dyDescent="0.25">
      <c r="B104" s="1" t="s">
        <v>185</v>
      </c>
    </row>
    <row r="105" spans="1:8" x14ac:dyDescent="0.25">
      <c r="B105" s="1" t="s">
        <v>186</v>
      </c>
    </row>
    <row r="106" spans="1:8" x14ac:dyDescent="0.25">
      <c r="B106" s="1" t="s">
        <v>187</v>
      </c>
    </row>
    <row r="108" spans="1:8" x14ac:dyDescent="0.25">
      <c r="B108" s="22" t="s">
        <v>188</v>
      </c>
    </row>
    <row r="109" spans="1:8" x14ac:dyDescent="0.25">
      <c r="B109" s="1" t="s">
        <v>189</v>
      </c>
    </row>
    <row r="110" spans="1:8" x14ac:dyDescent="0.25">
      <c r="B110" s="1" t="s">
        <v>190</v>
      </c>
    </row>
    <row r="111" spans="1:8" x14ac:dyDescent="0.25">
      <c r="B111" s="1" t="s">
        <v>191</v>
      </c>
    </row>
    <row r="112" spans="1:8" x14ac:dyDescent="0.25">
      <c r="B112" s="22" t="s">
        <v>192</v>
      </c>
      <c r="C112" s="22"/>
      <c r="D112" s="94" t="s">
        <v>193</v>
      </c>
      <c r="E112" s="95" t="s">
        <v>194</v>
      </c>
      <c r="F112" s="96"/>
      <c r="G112" s="97"/>
    </row>
    <row r="113" spans="2:5" x14ac:dyDescent="0.25">
      <c r="B113" s="1" t="s">
        <v>195</v>
      </c>
      <c r="D113" s="98">
        <v>43.652700000000003</v>
      </c>
      <c r="E113" s="98">
        <v>41.9619</v>
      </c>
    </row>
    <row r="115" spans="2:5" x14ac:dyDescent="0.25">
      <c r="B115" s="1" t="s">
        <v>196</v>
      </c>
    </row>
    <row r="116" spans="2:5" x14ac:dyDescent="0.25">
      <c r="B116" s="1" t="s">
        <v>197</v>
      </c>
    </row>
    <row r="117" spans="2:5" x14ac:dyDescent="0.25">
      <c r="B117" s="1" t="s">
        <v>198</v>
      </c>
    </row>
    <row r="118" spans="2:5" x14ac:dyDescent="0.25">
      <c r="B118" s="1" t="s">
        <v>199</v>
      </c>
    </row>
    <row r="119" spans="2:5" x14ac:dyDescent="0.25">
      <c r="B119" s="1" t="s">
        <v>200</v>
      </c>
    </row>
    <row r="120" spans="2:5" x14ac:dyDescent="0.25">
      <c r="B120" s="1" t="s">
        <v>201</v>
      </c>
    </row>
    <row r="121" spans="2:5" x14ac:dyDescent="0.25">
      <c r="B121" s="1" t="s">
        <v>202</v>
      </c>
    </row>
    <row r="122" spans="2:5" x14ac:dyDescent="0.25">
      <c r="B122" s="1" t="s">
        <v>203</v>
      </c>
    </row>
    <row r="123" spans="2:5" x14ac:dyDescent="0.25">
      <c r="B123" s="1" t="s">
        <v>204</v>
      </c>
    </row>
    <row r="142" spans="2:8" x14ac:dyDescent="0.25">
      <c r="B142" s="99" t="s">
        <v>205</v>
      </c>
      <c r="C142" s="99"/>
      <c r="D142" s="99"/>
      <c r="E142" s="99"/>
      <c r="F142" s="99"/>
      <c r="G142" s="99"/>
      <c r="H142" s="99"/>
    </row>
    <row r="143" spans="2:8" x14ac:dyDescent="0.25">
      <c r="B143" s="99"/>
      <c r="C143" s="99"/>
      <c r="D143" s="99"/>
      <c r="E143" s="99"/>
      <c r="F143" s="99"/>
      <c r="G143" s="99"/>
      <c r="H143" s="99"/>
    </row>
    <row r="144" spans="2:8" x14ac:dyDescent="0.25">
      <c r="B144" s="99"/>
      <c r="C144" s="99"/>
      <c r="D144" s="99"/>
      <c r="E144" s="99"/>
      <c r="F144" s="99"/>
      <c r="G144" s="99"/>
      <c r="H144" s="99"/>
    </row>
  </sheetData>
  <mergeCells count="4">
    <mergeCell ref="B1:H2"/>
    <mergeCell ref="B3:H4"/>
    <mergeCell ref="B5:H5"/>
    <mergeCell ref="B142:H144"/>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50</vt:i4>
      </vt:variant>
    </vt:vector>
  </HeadingPairs>
  <TitlesOfParts>
    <vt:vector size="51" baseType="lpstr">
      <vt:lpstr>MAETF</vt:lpstr>
      <vt:lpstr>XDO_?AUM?20?</vt:lpstr>
      <vt:lpstr>XDO_?CLASS_3?20?</vt:lpstr>
      <vt:lpstr>XDO_?CLASS_4?64?</vt:lpstr>
      <vt:lpstr>XDO_?CLASS_4?65?</vt:lpstr>
      <vt:lpstr>XDO_?CLASS_4?66?</vt:lpstr>
      <vt:lpstr>XDO_?CLASS_4?67?</vt:lpstr>
      <vt:lpstr>XDO_?FINAL_ISIN?90?</vt:lpstr>
      <vt:lpstr>XDO_?FINAL_ISIN?91?</vt:lpstr>
      <vt:lpstr>XDO_?FINAL_ISIN?92?</vt:lpstr>
      <vt:lpstr>XDO_?FINAL_ISIN?93?</vt:lpstr>
      <vt:lpstr>XDO_?FINAL_MV?90?</vt:lpstr>
      <vt:lpstr>XDO_?FINAL_MV?91?</vt:lpstr>
      <vt:lpstr>XDO_?FINAL_MV?92?</vt:lpstr>
      <vt:lpstr>XDO_?FINAL_MV?93?</vt:lpstr>
      <vt:lpstr>XDO_?FINAL_NAME?90?</vt:lpstr>
      <vt:lpstr>XDO_?FINAL_NAME?91?</vt:lpstr>
      <vt:lpstr>XDO_?FINAL_NAME?92?</vt:lpstr>
      <vt:lpstr>XDO_?FINAL_NAME?93?</vt:lpstr>
      <vt:lpstr>XDO_?FINAL_PER_NET?90?</vt:lpstr>
      <vt:lpstr>XDO_?FINAL_PER_NET?91?</vt:lpstr>
      <vt:lpstr>XDO_?FINAL_PER_NET?92?</vt:lpstr>
      <vt:lpstr>XDO_?FINAL_PER_NET?93?</vt:lpstr>
      <vt:lpstr>XDO_?FINAL_QUANTITE?90?</vt:lpstr>
      <vt:lpstr>XDO_?FINAL_QUANTITE?91?</vt:lpstr>
      <vt:lpstr>XDO_?FINAL_QUANTITE?92?</vt:lpstr>
      <vt:lpstr>XDO_?FINAL_QUANTITE?93?</vt:lpstr>
      <vt:lpstr>XDO_?LONG_DESC?20?</vt:lpstr>
      <vt:lpstr>XDO_?NOVAL?90?</vt:lpstr>
      <vt:lpstr>XDO_?NOVAL?91?</vt:lpstr>
      <vt:lpstr>XDO_?NOVAL?92?</vt:lpstr>
      <vt:lpstr>XDO_?NOVAL?93?</vt:lpstr>
      <vt:lpstr>XDO_?NPTF?20?</vt:lpstr>
      <vt:lpstr>XDO_?RATING?90?</vt:lpstr>
      <vt:lpstr>XDO_?RATING?91?</vt:lpstr>
      <vt:lpstr>XDO_?RATING?92?</vt:lpstr>
      <vt:lpstr>XDO_?RATING?93?</vt:lpstr>
      <vt:lpstr>XDO_?TDATE?20?</vt:lpstr>
      <vt:lpstr>XDO_?YTM?90?</vt:lpstr>
      <vt:lpstr>XDO_?YTM?91?</vt:lpstr>
      <vt:lpstr>XDO_?YTM?92?</vt:lpstr>
      <vt:lpstr>XDO_?YTM?93?</vt:lpstr>
      <vt:lpstr>XDO_GROUP_?G_3?20?</vt:lpstr>
      <vt:lpstr>XDO_GROUP_?G_4?64?</vt:lpstr>
      <vt:lpstr>XDO_GROUP_?G_4?65?</vt:lpstr>
      <vt:lpstr>XDO_GROUP_?G_4?66?</vt:lpstr>
      <vt:lpstr>XDO_GROUP_?G_4?67?</vt:lpstr>
      <vt:lpstr>XDO_GROUP_?G_5?90?</vt:lpstr>
      <vt:lpstr>XDO_GROUP_?G_5?91?</vt:lpstr>
      <vt:lpstr>XDO_GROUP_?G_5?92?</vt:lpstr>
      <vt:lpstr>XDO_GROUP_?G_5?93?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Heli Shah</dc:creator>
  <cp:lastModifiedBy>Heli Shah</cp:lastModifiedBy>
  <dcterms:created xsi:type="dcterms:W3CDTF">2025-11-08T05:55:18Z</dcterms:created>
  <dcterms:modified xsi:type="dcterms:W3CDTF">2025-11-08T05:55:18Z</dcterms:modified>
</cp:coreProperties>
</file>