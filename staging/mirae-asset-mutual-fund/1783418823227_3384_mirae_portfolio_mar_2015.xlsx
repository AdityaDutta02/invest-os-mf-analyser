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270" windowWidth="14940" windowHeight="9150" activeTab="7"/>
  </bookViews>
  <sheets>
    <sheet name="MACMF" sheetId="1" r:id="rId1"/>
    <sheet name="MAEBF" sheetId="2" r:id="rId2"/>
    <sheet name="MICCF" sheetId="3" r:id="rId3"/>
    <sheet name="MICHF" sheetId="4" r:id="rId4"/>
    <sheet name="MIGCS" sheetId="5" r:id="rId5"/>
    <sheet name="MIIOF" sheetId="6" r:id="rId6"/>
    <sheet name="MILPF" sheetId="7" r:id="rId7"/>
    <sheet name="MISTB" sheetId="8" r:id="rId8"/>
  </sheets>
  <calcPr calcId="145621"/>
</workbook>
</file>

<file path=xl/calcChain.xml><?xml version="1.0" encoding="utf-8"?>
<calcChain xmlns="http://schemas.openxmlformats.org/spreadsheetml/2006/main">
  <c r="G32" i="8" l="1"/>
  <c r="H32" i="8"/>
  <c r="F32" i="8"/>
  <c r="G34" i="7"/>
  <c r="H34" i="7"/>
  <c r="F34" i="7"/>
  <c r="G82" i="6"/>
  <c r="H82" i="6"/>
  <c r="F82" i="6"/>
  <c r="G64" i="5"/>
  <c r="H64" i="5"/>
  <c r="F64" i="5"/>
  <c r="G30" i="4"/>
  <c r="H30" i="4"/>
  <c r="F30" i="4"/>
  <c r="G77" i="3"/>
  <c r="H77" i="3"/>
  <c r="F77" i="3"/>
  <c r="G88" i="2"/>
  <c r="H88" i="2"/>
  <c r="F88" i="2"/>
  <c r="G40" i="1"/>
  <c r="H40" i="1"/>
  <c r="F40" i="1"/>
  <c r="H44" i="5" l="1"/>
  <c r="F44" i="5"/>
  <c r="H18" i="5"/>
  <c r="F18" i="5"/>
  <c r="H57" i="3" l="1"/>
  <c r="F57" i="3"/>
  <c r="H47" i="3"/>
  <c r="F47" i="3"/>
  <c r="H40" i="3"/>
  <c r="F40" i="3"/>
</calcChain>
</file>

<file path=xl/sharedStrings.xml><?xml version="1.0" encoding="utf-8"?>
<sst xmlns="http://schemas.openxmlformats.org/spreadsheetml/2006/main" count="1369" uniqueCount="377">
  <si>
    <t>Mirae Asset Cash Management Fund</t>
  </si>
  <si>
    <t/>
  </si>
  <si>
    <t>Monthly Portfolio Statement as on March 31,2015</t>
  </si>
  <si>
    <t>Name of the Instrument</t>
  </si>
  <si>
    <t>ISIN</t>
  </si>
  <si>
    <t>Rating</t>
  </si>
  <si>
    <t>Quantity</t>
  </si>
  <si>
    <t>Market/Fair Value
 (Rs. in Lacs)</t>
  </si>
  <si>
    <t>Market/Fair Value (Rounded, Rs. in Lacs)</t>
  </si>
  <si>
    <t>% to Net
 Assets</t>
  </si>
  <si>
    <t>Rounded, % to Net Assets</t>
  </si>
  <si>
    <t>Money Market Instruments</t>
  </si>
  <si>
    <t>Certificate of Deposit</t>
  </si>
  <si>
    <t>IDBI Bank Ltd (21/04/2015) #</t>
  </si>
  <si>
    <t>INE008A16WF6</t>
  </si>
  <si>
    <t>ICRA A1+</t>
  </si>
  <si>
    <t>Oriental Bank of Commerce (11/05/2015) ** #</t>
  </si>
  <si>
    <t>INE141A16TL9</t>
  </si>
  <si>
    <t>CRISIL A1+</t>
  </si>
  <si>
    <t>Canara Bank (30/04/2015) ** #</t>
  </si>
  <si>
    <t>INE476A16PO1</t>
  </si>
  <si>
    <t>Axis Bank Ltd (06/04/2015) ** #</t>
  </si>
  <si>
    <t>INE238A16YN9</t>
  </si>
  <si>
    <t>Bank of Baroda (21/04/2015) #</t>
  </si>
  <si>
    <t>INE028A16AP9</t>
  </si>
  <si>
    <t>Corporation Bank (27/04/2015) ** #</t>
  </si>
  <si>
    <t>INE112A16HJ9</t>
  </si>
  <si>
    <t>Union Bank of India (30/04/2015) ** #</t>
  </si>
  <si>
    <t>INE692A16DY8</t>
  </si>
  <si>
    <t>Oriental Bank of Commerce (05/05/2015) ** #</t>
  </si>
  <si>
    <t>INE141A16SW8</t>
  </si>
  <si>
    <t>State Bank of Hyderabad (25/05/2015) ** #</t>
  </si>
  <si>
    <t>INE649A16FJ4</t>
  </si>
  <si>
    <t>Axis Bank Ltd (29/05/2015) ** #</t>
  </si>
  <si>
    <t>INE238A16YG3</t>
  </si>
  <si>
    <t>Union Bank of India (04/06/2015) ** #</t>
  </si>
  <si>
    <t>INE692A16DI1</t>
  </si>
  <si>
    <t>Indusind Bank Ltd (29/04/2015) ** #</t>
  </si>
  <si>
    <t>INE095A16PV4</t>
  </si>
  <si>
    <t>Sub Total</t>
  </si>
  <si>
    <t>Total</t>
  </si>
  <si>
    <t>CBLO / Reverse Repo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</si>
  <si>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</si>
  <si>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</si>
  <si>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</si>
  <si>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</si>
  <si>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</si>
  <si>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</si>
  <si>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Mirae Asset Emerging Blue Chip Fund</t>
  </si>
  <si>
    <t>Industry</t>
  </si>
  <si>
    <t>Equity &amp; Equity related</t>
  </si>
  <si>
    <t>(a) Listed / awaiting listing on Stock Exchanges</t>
  </si>
  <si>
    <t>Yes Bank Ltd</t>
  </si>
  <si>
    <t>INE528G01019</t>
  </si>
  <si>
    <t>Banks</t>
  </si>
  <si>
    <t>Sundaram Finance Ltd</t>
  </si>
  <si>
    <t>INE660A01013</t>
  </si>
  <si>
    <t>Finance</t>
  </si>
  <si>
    <t>ICICI Bank Ltd</t>
  </si>
  <si>
    <t>INE090A01021</t>
  </si>
  <si>
    <t>ING Vysya Bank Ltd</t>
  </si>
  <si>
    <t>INE166A01011</t>
  </si>
  <si>
    <t>Hindustan Petroleum Corporation Ltd</t>
  </si>
  <si>
    <t>INE094A01015</t>
  </si>
  <si>
    <t>Petroleum Products</t>
  </si>
  <si>
    <t>Gateway Distriparks Ltd</t>
  </si>
  <si>
    <t>INE852F01015</t>
  </si>
  <si>
    <t>Transportation</t>
  </si>
  <si>
    <t>FAG Bearings India Ltd</t>
  </si>
  <si>
    <t>INE513A01014</t>
  </si>
  <si>
    <t>Industrial Products</t>
  </si>
  <si>
    <t>Natco Pharma Ltd</t>
  </si>
  <si>
    <t>INE987B01018</t>
  </si>
  <si>
    <t>Pharmaceuticals</t>
  </si>
  <si>
    <t>IPCA Laboratories Ltd</t>
  </si>
  <si>
    <t>INE571A01020</t>
  </si>
  <si>
    <t>Karur Vysya Bank Ltd</t>
  </si>
  <si>
    <t>INE036D01010</t>
  </si>
  <si>
    <t>Divi's Laboratories Ltd</t>
  </si>
  <si>
    <t>INE361B01024</t>
  </si>
  <si>
    <t>Voltas Ltd</t>
  </si>
  <si>
    <t>INE226A01021</t>
  </si>
  <si>
    <t>Construction Project</t>
  </si>
  <si>
    <t>JK Cement Ltd</t>
  </si>
  <si>
    <t>INE823G01014</t>
  </si>
  <si>
    <t>Cement</t>
  </si>
  <si>
    <t>Glenmark Pharmaceuticals Ltd</t>
  </si>
  <si>
    <t>INE935A01035</t>
  </si>
  <si>
    <t>Exide Industries Ltd</t>
  </si>
  <si>
    <t>INE302A01020</t>
  </si>
  <si>
    <t>Auto Ancillaries</t>
  </si>
  <si>
    <t>Pidilite Industries Ltd</t>
  </si>
  <si>
    <t>INE318A01026</t>
  </si>
  <si>
    <t>Chemicals</t>
  </si>
  <si>
    <t>HSIL Ltd</t>
  </si>
  <si>
    <t>INE415A01038</t>
  </si>
  <si>
    <t>Consumer Durables</t>
  </si>
  <si>
    <t>Asian Paints Ltd</t>
  </si>
  <si>
    <t>INE021A01026</t>
  </si>
  <si>
    <t>Consumer Non Durables</t>
  </si>
  <si>
    <t>The Federal Bank  Ltd</t>
  </si>
  <si>
    <t>INE171A01029</t>
  </si>
  <si>
    <t>Amara Raja Batteries Ltd</t>
  </si>
  <si>
    <t>INE885A01032</t>
  </si>
  <si>
    <t>Tata Chemicals Ltd</t>
  </si>
  <si>
    <t>INE092A01019</t>
  </si>
  <si>
    <t>Prism CEMENT Ltd</t>
  </si>
  <si>
    <t>INE010A01011</t>
  </si>
  <si>
    <t>Vinati Organics Ltd</t>
  </si>
  <si>
    <t>INE410B01029</t>
  </si>
  <si>
    <t>Carborundum Universal Ltd</t>
  </si>
  <si>
    <t>INE120A01034</t>
  </si>
  <si>
    <t>Bharat Forge Ltd</t>
  </si>
  <si>
    <t>INE465A01025</t>
  </si>
  <si>
    <t>Sun TV Network Ltd</t>
  </si>
  <si>
    <t>INE424H01027</t>
  </si>
  <si>
    <t>Media &amp; Entertainment</t>
  </si>
  <si>
    <t>Dewan Housing Finance Corporation Ltd</t>
  </si>
  <si>
    <t>INE202B01012</t>
  </si>
  <si>
    <t>Akzo Nobel India Ltd</t>
  </si>
  <si>
    <t>INE133A01011</t>
  </si>
  <si>
    <t>Emami Ltd</t>
  </si>
  <si>
    <t>INE548C01032</t>
  </si>
  <si>
    <t>Tech Mahindra Ltd</t>
  </si>
  <si>
    <t>INE669C01036</t>
  </si>
  <si>
    <t>Software</t>
  </si>
  <si>
    <t>Torrent Pharmaceuticals Ltd</t>
  </si>
  <si>
    <t>INE685A01028</t>
  </si>
  <si>
    <t>Britannia Industries Ltd</t>
  </si>
  <si>
    <t>INE216A01022</t>
  </si>
  <si>
    <t>Atul Ltd</t>
  </si>
  <si>
    <t>INE100A01010</t>
  </si>
  <si>
    <t>Eicher Motors Ltd</t>
  </si>
  <si>
    <t>INE066A01013</t>
  </si>
  <si>
    <t>Auto</t>
  </si>
  <si>
    <t>Gillette India Ltd</t>
  </si>
  <si>
    <t>INE322A01010</t>
  </si>
  <si>
    <t>Gulf Oil Lubricants India Ltd</t>
  </si>
  <si>
    <t>INE635Q01029</t>
  </si>
  <si>
    <t>LIC Housing Finance Ltd</t>
  </si>
  <si>
    <t>INE115A01026</t>
  </si>
  <si>
    <t>Solar Industries India Ltd</t>
  </si>
  <si>
    <t>INE343H01011</t>
  </si>
  <si>
    <t>Coromandel International Ltd</t>
  </si>
  <si>
    <t>INE169A01031</t>
  </si>
  <si>
    <t>Fertilisers</t>
  </si>
  <si>
    <t>Indian Bank</t>
  </si>
  <si>
    <t>INE562A01011</t>
  </si>
  <si>
    <t>Triveni Turbine Ltd</t>
  </si>
  <si>
    <t>INE152M01016</t>
  </si>
  <si>
    <t>Industrial Capital Goods</t>
  </si>
  <si>
    <t>VST Tillers Tractors Ltd</t>
  </si>
  <si>
    <t>INE764D01017</t>
  </si>
  <si>
    <t>Thermax Ltd</t>
  </si>
  <si>
    <t>INE152A01029</t>
  </si>
  <si>
    <t>Colgate Palmolive (India) Ltd</t>
  </si>
  <si>
    <t>INE259A01022</t>
  </si>
  <si>
    <t>HT Media Ltd</t>
  </si>
  <si>
    <t>INE501G01024</t>
  </si>
  <si>
    <t>Crompton  Greaves Ltd</t>
  </si>
  <si>
    <t>INE067A01029</t>
  </si>
  <si>
    <t>Info Edge (India) Ltd</t>
  </si>
  <si>
    <t>INE663F01024</t>
  </si>
  <si>
    <t>Petronet LNG Ltd</t>
  </si>
  <si>
    <t>INE347G01014</t>
  </si>
  <si>
    <t>Gas</t>
  </si>
  <si>
    <t>Godfrey Phillips India Ltd</t>
  </si>
  <si>
    <t>INE260B01028</t>
  </si>
  <si>
    <t>Bajaj Finance Ltd</t>
  </si>
  <si>
    <t>INE296A01016</t>
  </si>
  <si>
    <t>Eclerx Services Ltd</t>
  </si>
  <si>
    <t>INE738I01010</t>
  </si>
  <si>
    <t>CESC Ltd</t>
  </si>
  <si>
    <t>INE486A01013</t>
  </si>
  <si>
    <t>Power</t>
  </si>
  <si>
    <t>Multi Commodity Exchange of India Ltd</t>
  </si>
  <si>
    <t>INE745G01035</t>
  </si>
  <si>
    <t>Gayatri Projects Ltd</t>
  </si>
  <si>
    <t>INE336H01015</t>
  </si>
  <si>
    <t>Construction</t>
  </si>
  <si>
    <t>NIIT Technologies Ltd</t>
  </si>
  <si>
    <t>INE591G01017</t>
  </si>
  <si>
    <t>Titagarh Wagons Ltd</t>
  </si>
  <si>
    <t>INE615H01012</t>
  </si>
  <si>
    <t>Gulf Oil Corporation Ltd</t>
  </si>
  <si>
    <t>INE077F01035</t>
  </si>
  <si>
    <t>Oil India Ltd</t>
  </si>
  <si>
    <t>INE274J01014</t>
  </si>
  <si>
    <t>Oil</t>
  </si>
  <si>
    <t>Gujarat State Petronet Ltd</t>
  </si>
  <si>
    <t>INE246F01010</t>
  </si>
  <si>
    <t>Titan Company Limited</t>
  </si>
  <si>
    <t>INE280A01028</t>
  </si>
  <si>
    <t>$0.00%</t>
  </si>
  <si>
    <t>(b) Unlisted</t>
  </si>
  <si>
    <t>NIL</t>
  </si>
  <si>
    <t xml:space="preserve">$  Less Than 0.01% of Net Asset Value </t>
  </si>
  <si>
    <t>Mirae Asset India China Consumption Fund</t>
  </si>
  <si>
    <t>HDFC Bank Ltd</t>
  </si>
  <si>
    <t>INE040A01026</t>
  </si>
  <si>
    <t>Tencent Holdings</t>
  </si>
  <si>
    <t>KYG875721634</t>
  </si>
  <si>
    <t>Internet Software &amp; Services</t>
  </si>
  <si>
    <t>Indusind Bank Ltd</t>
  </si>
  <si>
    <t>INE095A01012</t>
  </si>
  <si>
    <t>Housing Development Finance Corporation Ltd</t>
  </si>
  <si>
    <t>INE001A01036</t>
  </si>
  <si>
    <t>IN9155A01020</t>
  </si>
  <si>
    <t>ITC Ltd</t>
  </si>
  <si>
    <t>INE154A01025</t>
  </si>
  <si>
    <t>Maruti Suzuki India Ltd</t>
  </si>
  <si>
    <t>INE585B01010</t>
  </si>
  <si>
    <t>Vipshop Holding Ltd</t>
  </si>
  <si>
    <t>US92763W1036</t>
  </si>
  <si>
    <t>Miscellaneous</t>
  </si>
  <si>
    <t>Hero MotoCorp Ltd</t>
  </si>
  <si>
    <t>INE158A01026</t>
  </si>
  <si>
    <t>Samsonite  International  S A</t>
  </si>
  <si>
    <t>LU0633102719</t>
  </si>
  <si>
    <t>Apparel, Accessories and Luxury Goods</t>
  </si>
  <si>
    <t>Procter &amp; Gamble Hygiene and Health Care Ltd</t>
  </si>
  <si>
    <t>INE179A01014</t>
  </si>
  <si>
    <t>AIA GROUP LTD</t>
  </si>
  <si>
    <t>HK0000069689</t>
  </si>
  <si>
    <t>Life &amp; Health Insurance</t>
  </si>
  <si>
    <t>Ping An Ins Grp-H</t>
  </si>
  <si>
    <t>CNE1000003X6</t>
  </si>
  <si>
    <t>Glaxosmithkline Consumer Healthcare Ltd</t>
  </si>
  <si>
    <t>INE264A01014</t>
  </si>
  <si>
    <t>Lenovo Group Ltd</t>
  </si>
  <si>
    <t>HK0992009065</t>
  </si>
  <si>
    <t>Computer Hardware</t>
  </si>
  <si>
    <t>Brilliance China Automotive Holdings Ltd</t>
  </si>
  <si>
    <t>BMG1368B1028</t>
  </si>
  <si>
    <t>Automobile Manufacturers</t>
  </si>
  <si>
    <t>State Bank of India</t>
  </si>
  <si>
    <t>INE062A01020</t>
  </si>
  <si>
    <t>ALIBABA GROUP HOLDING ADR</t>
  </si>
  <si>
    <t>US01609W1027</t>
  </si>
  <si>
    <t>Baidu Sp ADR-A</t>
  </si>
  <si>
    <t>US0567521085</t>
  </si>
  <si>
    <t>Sihuan Pharmaceutical Holdings Group Ord Shs</t>
  </si>
  <si>
    <t>BMG8162K1137</t>
  </si>
  <si>
    <t>Bharti Airtel Ltd</t>
  </si>
  <si>
    <t>INE397D01024</t>
  </si>
  <si>
    <t>Telecom - Services</t>
  </si>
  <si>
    <t>Mirae Asset China Advantage Fund</t>
  </si>
  <si>
    <t>Industry / Rating</t>
  </si>
  <si>
    <t>Others</t>
  </si>
  <si>
    <t>International  Mutual Fund Units</t>
  </si>
  <si>
    <t>Mirae Asset China Sector Leader Eq Class X Cap USD</t>
  </si>
  <si>
    <t>LU0587760769</t>
  </si>
  <si>
    <t>Mirae Asset Global Commodity Stocks Fund</t>
  </si>
  <si>
    <t>BHP Billiton Ltd</t>
  </si>
  <si>
    <t>AU000000BHP4</t>
  </si>
  <si>
    <t>Diversified Metals &amp; Mining</t>
  </si>
  <si>
    <t>Oil &amp; Natural Gas Corporation Ltd</t>
  </si>
  <si>
    <t>INE213A01029</t>
  </si>
  <si>
    <t>Reliance Industries Ltd</t>
  </si>
  <si>
    <t>INE002A01018</t>
  </si>
  <si>
    <t>Petrochina Company Ltd</t>
  </si>
  <si>
    <t>CNE1000003W8</t>
  </si>
  <si>
    <t>Integrated Oil &amp; Gas</t>
  </si>
  <si>
    <t>China Petroleum -H-</t>
  </si>
  <si>
    <t>CNE1000002Q2</t>
  </si>
  <si>
    <t>Cnooc Ltd</t>
  </si>
  <si>
    <t>HK0883013259</t>
  </si>
  <si>
    <t>Oil &amp; Gas Exploration &amp; Production</t>
  </si>
  <si>
    <t>Rio Tinto Ltd</t>
  </si>
  <si>
    <t>AU000000RIO1</t>
  </si>
  <si>
    <t>Woodside Petroleum Ltd</t>
  </si>
  <si>
    <t>AU000000WPL2</t>
  </si>
  <si>
    <t>Sesa Sterlite Ltd</t>
  </si>
  <si>
    <t>INE205A01025</t>
  </si>
  <si>
    <t>Non - Ferrous Metals</t>
  </si>
  <si>
    <t>Coal India Ltd</t>
  </si>
  <si>
    <t>INE522F01014</t>
  </si>
  <si>
    <t>Minerals/Mining</t>
  </si>
  <si>
    <t>AMCOR LIMITED</t>
  </si>
  <si>
    <t>AU000000AMC4</t>
  </si>
  <si>
    <t>Paper Packaging</t>
  </si>
  <si>
    <t>China Shenhua - H</t>
  </si>
  <si>
    <t>CNE1000002R0</t>
  </si>
  <si>
    <t>Coal &amp; Consumable Fuels</t>
  </si>
  <si>
    <t>Origin Energy Ltd</t>
  </si>
  <si>
    <t>AU000000ORG5</t>
  </si>
  <si>
    <t>Anhui Conch -H-</t>
  </si>
  <si>
    <t>CNE1000001W2</t>
  </si>
  <si>
    <t>Construction Materials</t>
  </si>
  <si>
    <t>Orica Ltd</t>
  </si>
  <si>
    <t>AU000000ORI1</t>
  </si>
  <si>
    <t>Commodity Chemicals</t>
  </si>
  <si>
    <t>Bharat Petroleum Corporation Ltd</t>
  </si>
  <si>
    <t>INE029A01011</t>
  </si>
  <si>
    <t>Santos Ltd-AUD</t>
  </si>
  <si>
    <t>AU000000STO6</t>
  </si>
  <si>
    <t>Oil Search Ltd</t>
  </si>
  <si>
    <t>PG0008579883</t>
  </si>
  <si>
    <t>Hindalco Industries Ltd</t>
  </si>
  <si>
    <t>INE038A01020</t>
  </si>
  <si>
    <t>Jiangxi Copper Company Ltd</t>
  </si>
  <si>
    <t>CNE1000003K3</t>
  </si>
  <si>
    <t>POSCO (Pohang Iron &amp; Steel Co Ltd )</t>
  </si>
  <si>
    <t>KR7005490008</t>
  </si>
  <si>
    <t>Steel</t>
  </si>
  <si>
    <t>Kunlun Energy Company Ltd</t>
  </si>
  <si>
    <t>BMG5320C1082</t>
  </si>
  <si>
    <t>PT Semen Indonesia ( Persero) TBK</t>
  </si>
  <si>
    <t>ID1000106800</t>
  </si>
  <si>
    <t>LG Chemicals Ltd</t>
  </si>
  <si>
    <t>KR7051910008</t>
  </si>
  <si>
    <t>SK Innovation Co Ltd</t>
  </si>
  <si>
    <t>KR7096770003</t>
  </si>
  <si>
    <t>Oil &amp; Gas Refining &amp; Marketing</t>
  </si>
  <si>
    <t>Cairn India Ltd</t>
  </si>
  <si>
    <t>INE910H01017</t>
  </si>
  <si>
    <t>China National Building Materia Ltd</t>
  </si>
  <si>
    <t>CNE1000002N9</t>
  </si>
  <si>
    <t>Dongkuk Steel Mill Co Ltd</t>
  </si>
  <si>
    <t>KR7001230002</t>
  </si>
  <si>
    <t>Orora Ltd</t>
  </si>
  <si>
    <t>AU000000ORA8</t>
  </si>
  <si>
    <t>Mirae Asset India Opportunities Fund</t>
  </si>
  <si>
    <t>Larsen &amp; Toubro Ltd</t>
  </si>
  <si>
    <t>INE018A01030</t>
  </si>
  <si>
    <t>Infosys Ltd</t>
  </si>
  <si>
    <t>INE009A01021</t>
  </si>
  <si>
    <t>Tata Consultancy Services Ltd</t>
  </si>
  <si>
    <t>INE467B01029</t>
  </si>
  <si>
    <t>Sun Pharmaceuticals Industries Ltd</t>
  </si>
  <si>
    <t>INE044A01036</t>
  </si>
  <si>
    <t>Axis Bank Ltd</t>
  </si>
  <si>
    <t>INE238A01034</t>
  </si>
  <si>
    <t>HCL Technologies Ltd</t>
  </si>
  <si>
    <t>INE860A01027</t>
  </si>
  <si>
    <t>Lupin Ltd</t>
  </si>
  <si>
    <t>INE326A01037</t>
  </si>
  <si>
    <t>Tata Steel Ltd</t>
  </si>
  <si>
    <t>INE081A01012</t>
  </si>
  <si>
    <t>Ferrous Metals</t>
  </si>
  <si>
    <t>Bank of Baroda</t>
  </si>
  <si>
    <t>INE028A01039</t>
  </si>
  <si>
    <t>Mirae Asset Ultra Short Term Bond Fund</t>
  </si>
  <si>
    <t>Axis Bank Ltd (19/01/2016) ** #</t>
  </si>
  <si>
    <t>INE238A16YO7</t>
  </si>
  <si>
    <t>Canara Bank (15/12/2015) ** #</t>
  </si>
  <si>
    <t>INE476A16PJ1</t>
  </si>
  <si>
    <t>Corporation Bank (08/12/2015) ** #</t>
  </si>
  <si>
    <t>INE112A16HG5</t>
  </si>
  <si>
    <t>Mirae Asset Short Term Bond Fund</t>
  </si>
  <si>
    <t>EQUITY &amp; EQUITY RELATED</t>
  </si>
  <si>
    <t>(a) Listed/Awaiting listing on Stock Exchanges</t>
  </si>
  <si>
    <t>DEBT INSTRUMENTS</t>
  </si>
  <si>
    <t xml:space="preserve">(a) Listed/Awaiting Listing on Stock Exchanges </t>
  </si>
  <si>
    <t xml:space="preserve">(b) Privately placed/Unlisted </t>
  </si>
  <si>
    <t>(c) Securitised Debt Instruments</t>
  </si>
  <si>
    <t>(a) Listed/Awaiting Listing on Stock Exchanges</t>
  </si>
  <si>
    <t>American Depository Receipt</t>
  </si>
  <si>
    <t>India Equity Share*</t>
  </si>
  <si>
    <t>FOREIGN SECURITIES/OVERSEAS ETFS@@</t>
  </si>
  <si>
    <t>International Equity Shares</t>
  </si>
  <si>
    <t>* Industry classification as recommended by AMFI.</t>
  </si>
  <si>
    <t>@@ Industry Classification as per GICS Sub-Industry Classification</t>
  </si>
  <si>
    <r>
      <t>Industry</t>
    </r>
    <r>
      <rPr>
        <sz val="9"/>
        <rFont val="Arial"/>
        <family val="2"/>
      </rPr>
      <t>*</t>
    </r>
  </si>
  <si>
    <t>Tata Motors Ltd DVR Shares</t>
  </si>
  <si>
    <t>(An Open - Ended Liquid Scheme)</t>
  </si>
  <si>
    <t>Average maturity in days</t>
  </si>
  <si>
    <t xml:space="preserve"> (An Open - Ended Equity Fund)</t>
  </si>
  <si>
    <t>Portfolio Turnover Ratio^</t>
  </si>
  <si>
    <t>^Basis last rolling 12 month</t>
  </si>
  <si>
    <t>(An Open - Ended Equity Oriented Scheme)</t>
  </si>
  <si>
    <t>(An Open - Ended Fund of Funds Scheme)</t>
  </si>
  <si>
    <t>(An Open - Ended Debt Scheme)</t>
  </si>
  <si>
    <t>z</t>
  </si>
  <si>
    <t>32.84 days</t>
  </si>
  <si>
    <t>178.96 days</t>
  </si>
  <si>
    <t>125.52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</si>
</sst>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;\(#,##0.00\)%"/>
    <numFmt numFmtId="166" formatCode="#,##0.00%"/>
  </numFmts>
  <fonts count="22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4"/>
      <name val="Tahoma"/>
      <family val="2"/>
    </font>
    <font>
      <b/>
      <sz val="9"/>
      <name val="Tahoma"/>
      <family val="2"/>
    </font>
    <font>
      <b/>
      <sz val="9"/>
      <color theme="1"/>
      <name val="Tahoma"/>
      <family val="2"/>
    </font>
    <font>
      <b/>
      <sz val="9"/>
      <color indexed="72"/>
      <name val="Tahoma"/>
      <family val="2"/>
    </font>
    <font>
      <b/>
      <sz val="11"/>
      <color rgb="FF000000"/>
      <name val="Calibri"/>
      <family val="2"/>
    </font>
    <font>
      <sz val="9"/>
      <name val="Tahoma"/>
      <family val="2"/>
    </font>
    <font>
      <b/>
      <sz val="15"/>
      <name val="Tahoma"/>
      <family val="2"/>
    </font>
    <font>
      <b/>
      <sz val="10"/>
      <color theme="1"/>
      <name val="Tahoma"/>
      <family val="2"/>
    </font>
    <font>
      <sz val="9"/>
      <color theme="1"/>
      <name val="Tahoma"/>
      <family val="2"/>
    </font>
    <font>
      <sz val="9"/>
      <color indexed="7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173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165" fontId="3" fillId="0" borderId="1" xfId="0" applyNumberFormat="1" applyFont="1" applyFill="1" applyBorder="1" applyAlignment="1" applyProtection="1">
      <alignment horizontal="right" vertical="top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8" fillId="0" borderId="4" xfId="0" applyFont="1" applyBorder="1"/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4" fontId="2" fillId="0" borderId="5" xfId="0" applyNumberFormat="1" applyFont="1" applyFill="1" applyBorder="1" applyAlignment="1" applyProtection="1">
      <alignment horizontal="right" vertical="top" wrapText="1"/>
    </xf>
    <xf numFmtId="0" fontId="7" fillId="0" borderId="4" xfId="0" applyFont="1" applyBorder="1"/>
    <xf numFmtId="4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6" xfId="0" applyNumberFormat="1" applyFont="1" applyFill="1" applyBorder="1" applyAlignment="1" applyProtection="1">
      <alignment horizontal="right" vertical="top" wrapText="1"/>
    </xf>
    <xf numFmtId="0" fontId="0" fillId="0" borderId="4" xfId="0" applyBorder="1"/>
    <xf numFmtId="0" fontId="3" fillId="0" borderId="8" xfId="0" applyNumberFormat="1" applyFont="1" applyFill="1" applyBorder="1" applyAlignment="1" applyProtection="1">
      <alignment horizontal="lef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4" fontId="0" fillId="0" borderId="0" xfId="0" applyNumberFormat="1" applyFont="1" applyFill="1" applyBorder="1" applyAlignment="1"/>
    <xf numFmtId="10" fontId="0" fillId="0" borderId="0" xfId="0" applyNumberFormat="1" applyFont="1" applyFill="1" applyBorder="1" applyAlignment="1"/>
    <xf numFmtId="2" fontId="10" fillId="0" borderId="5" xfId="0" applyNumberFormat="1" applyFont="1" applyFill="1" applyBorder="1" applyAlignment="1" applyProtection="1">
      <alignment horizontal="right" vertical="top" wrapText="1"/>
    </xf>
    <xf numFmtId="164" fontId="10" fillId="0" borderId="5" xfId="0" applyNumberFormat="1" applyFont="1" applyFill="1" applyBorder="1" applyAlignment="1" applyProtection="1">
      <alignment horizontal="right" vertical="top" wrapText="1"/>
    </xf>
    <xf numFmtId="165" fontId="2" fillId="0" borderId="3" xfId="0" applyNumberFormat="1" applyFont="1" applyFill="1" applyBorder="1" applyAlignment="1" applyProtection="1">
      <alignment horizontal="right" vertical="top" wrapText="1"/>
    </xf>
    <xf numFmtId="164" fontId="9" fillId="0" borderId="3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13" fillId="2" borderId="0" xfId="1" applyNumberFormat="1" applyFont="1" applyFill="1" applyBorder="1" applyAlignment="1" applyProtection="1">
      <alignment horizontal="center" vertical="top" wrapText="1"/>
    </xf>
    <xf numFmtId="0" fontId="1" fillId="2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left" vertical="top" wrapText="1"/>
    </xf>
    <xf numFmtId="0" fontId="6" fillId="2" borderId="0" xfId="0" applyNumberFormat="1" applyFont="1" applyFill="1" applyBorder="1" applyAlignment="1" applyProtection="1">
      <alignment horizontal="left" vertical="top" wrapText="1"/>
    </xf>
    <xf numFmtId="0" fontId="0" fillId="2" borderId="0" xfId="0" applyNumberFormat="1" applyFont="1" applyFill="1" applyBorder="1" applyAlignment="1"/>
    <xf numFmtId="0" fontId="4" fillId="2" borderId="0" xfId="0" applyNumberFormat="1" applyFont="1" applyFill="1" applyBorder="1" applyAlignment="1" applyProtection="1">
      <alignment horizontal="left" vertical="top" wrapText="1"/>
    </xf>
    <xf numFmtId="4" fontId="1" fillId="2" borderId="0" xfId="0" applyNumberFormat="1" applyFont="1" applyFill="1" applyBorder="1" applyAlignment="1" applyProtection="1">
      <alignment horizontal="left" vertical="top" wrapText="1"/>
    </xf>
    <xf numFmtId="10" fontId="1" fillId="2" borderId="0" xfId="0" applyNumberFormat="1" applyFont="1" applyFill="1" applyBorder="1" applyAlignment="1" applyProtection="1">
      <alignment horizontal="left" vertical="top" wrapText="1"/>
    </xf>
    <xf numFmtId="0" fontId="2" fillId="2" borderId="0" xfId="0" applyNumberFormat="1" applyFont="1" applyFill="1" applyBorder="1" applyAlignment="1" applyProtection="1">
      <alignment horizontal="left" vertical="top" wrapText="1"/>
    </xf>
    <xf numFmtId="4" fontId="0" fillId="2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166" fontId="2" fillId="0" borderId="19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left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4" fontId="2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Font="1" applyBorder="1"/>
    <xf numFmtId="0" fontId="7" fillId="0" borderId="5" xfId="0" applyFont="1" applyBorder="1"/>
    <xf numFmtId="0" fontId="9" fillId="0" borderId="5" xfId="0" applyNumberFormat="1" applyFont="1" applyFill="1" applyBorder="1" applyAlignment="1" applyProtection="1">
      <alignment horizontal="center" vertical="center" wrapText="1"/>
    </xf>
    <xf numFmtId="4" fontId="9" fillId="0" borderId="5" xfId="0" applyNumberFormat="1" applyFont="1" applyFill="1" applyBorder="1" applyAlignment="1" applyProtection="1">
      <alignment horizontal="center" vertical="center" wrapText="1"/>
    </xf>
    <xf numFmtId="0" fontId="0" fillId="0" borderId="5" xfId="0" applyBorder="1"/>
    <xf numFmtId="4" fontId="3" fillId="0" borderId="5" xfId="0" applyNumberFormat="1" applyFont="1" applyFill="1" applyBorder="1" applyAlignment="1" applyProtection="1">
      <alignment horizontal="left" vertical="top" wrapText="1"/>
    </xf>
    <xf numFmtId="0" fontId="1" fillId="0" borderId="5" xfId="0" applyNumberFormat="1" applyFont="1" applyFill="1" applyBorder="1" applyAlignment="1" applyProtection="1">
      <alignment horizontal="left" vertical="top" wrapText="1"/>
    </xf>
    <xf numFmtId="3" fontId="3" fillId="0" borderId="5" xfId="0" applyNumberFormat="1" applyFont="1" applyFill="1" applyBorder="1" applyAlignment="1" applyProtection="1">
      <alignment horizontal="right" vertical="top" wrapText="1"/>
    </xf>
    <xf numFmtId="4" fontId="3" fillId="0" borderId="5" xfId="0" applyNumberFormat="1" applyFont="1" applyFill="1" applyBorder="1" applyAlignment="1" applyProtection="1">
      <alignment horizontal="right" vertical="top" wrapText="1"/>
    </xf>
    <xf numFmtId="164" fontId="3" fillId="0" borderId="5" xfId="0" applyNumberFormat="1" applyFont="1" applyFill="1" applyBorder="1" applyAlignment="1" applyProtection="1">
      <alignment horizontal="right" vertical="top" wrapText="1"/>
    </xf>
    <xf numFmtId="164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21" xfId="0" applyNumberFormat="1" applyFont="1" applyFill="1" applyBorder="1" applyAlignment="1" applyProtection="1">
      <alignment horizontal="left" vertical="center" wrapText="1"/>
    </xf>
    <xf numFmtId="0" fontId="2" fillId="0" borderId="22" xfId="0" applyNumberFormat="1" applyFont="1" applyFill="1" applyBorder="1" applyAlignment="1" applyProtection="1">
      <alignment horizontal="left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4" fontId="2" fillId="0" borderId="22" xfId="0" applyNumberFormat="1" applyFont="1" applyFill="1" applyBorder="1" applyAlignment="1" applyProtection="1">
      <alignment horizontal="center" vertical="center" wrapText="1"/>
    </xf>
    <xf numFmtId="10" fontId="2" fillId="0" borderId="23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center" vertical="center" wrapText="1"/>
    </xf>
    <xf numFmtId="10" fontId="9" fillId="0" borderId="6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10" fontId="3" fillId="0" borderId="6" xfId="0" applyNumberFormat="1" applyFont="1" applyFill="1" applyBorder="1" applyAlignment="1" applyProtection="1">
      <alignment horizontal="right" vertical="top" wrapText="1"/>
    </xf>
    <xf numFmtId="10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24" xfId="0" applyNumberFormat="1" applyFont="1" applyFill="1" applyBorder="1" applyAlignment="1" applyProtection="1">
      <alignment horizontal="left" vertical="top" wrapText="1"/>
    </xf>
    <xf numFmtId="0" fontId="3" fillId="0" borderId="25" xfId="0" applyNumberFormat="1" applyFont="1" applyFill="1" applyBorder="1" applyAlignment="1" applyProtection="1">
      <alignment horizontal="left" vertical="top" wrapText="1"/>
    </xf>
    <xf numFmtId="4" fontId="2" fillId="0" borderId="25" xfId="0" applyNumberFormat="1" applyFont="1" applyFill="1" applyBorder="1" applyAlignment="1" applyProtection="1">
      <alignment horizontal="right" vertical="top" wrapText="1"/>
    </xf>
    <xf numFmtId="164" fontId="2" fillId="0" borderId="25" xfId="0" applyNumberFormat="1" applyFont="1" applyFill="1" applyBorder="1" applyAlignment="1" applyProtection="1">
      <alignment horizontal="right" vertical="top" wrapText="1"/>
    </xf>
    <xf numFmtId="10" fontId="2" fillId="0" borderId="26" xfId="0" applyNumberFormat="1" applyFont="1" applyFill="1" applyBorder="1" applyAlignment="1" applyProtection="1">
      <alignment horizontal="right" vertical="top" wrapText="1"/>
    </xf>
    <xf numFmtId="165" fontId="2" fillId="0" borderId="1" xfId="0" applyNumberFormat="1" applyFont="1" applyFill="1" applyBorder="1" applyAlignment="1" applyProtection="1">
      <alignment horizontal="righ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164" fontId="2" fillId="0" borderId="8" xfId="0" applyNumberFormat="1" applyFont="1" applyFill="1" applyBorder="1" applyAlignment="1" applyProtection="1">
      <alignment horizontal="right" vertical="top" wrapText="1"/>
    </xf>
    <xf numFmtId="10" fontId="2" fillId="0" borderId="9" xfId="0" applyNumberFormat="1" applyFont="1" applyFill="1" applyBorder="1" applyAlignment="1" applyProtection="1">
      <alignment horizontal="right" vertical="top" wrapText="1"/>
    </xf>
    <xf numFmtId="165" fontId="2" fillId="0" borderId="0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10" fontId="9" fillId="0" borderId="6" xfId="0" applyNumberFormat="1" applyFont="1" applyFill="1" applyBorder="1" applyAlignment="1" applyProtection="1">
      <alignment horizontal="right" vertical="top" wrapText="1"/>
    </xf>
    <xf numFmtId="0" fontId="10" fillId="0" borderId="5" xfId="0" applyNumberFormat="1" applyFont="1" applyFill="1" applyBorder="1" applyAlignment="1" applyProtection="1">
      <alignment horizontal="right" vertical="center" wrapText="1"/>
    </xf>
    <xf numFmtId="10" fontId="10" fillId="0" borderId="6" xfId="0" applyNumberFormat="1" applyFont="1" applyFill="1" applyBorder="1" applyAlignment="1" applyProtection="1">
      <alignment horizontal="right" vertical="center" wrapText="1"/>
    </xf>
    <xf numFmtId="0" fontId="2" fillId="0" borderId="5" xfId="0" applyNumberFormat="1" applyFont="1" applyFill="1" applyBorder="1" applyAlignment="1" applyProtection="1">
      <alignment horizontal="right" vertical="center" wrapText="1"/>
    </xf>
    <xf numFmtId="0" fontId="2" fillId="0" borderId="27" xfId="0" applyNumberFormat="1" applyFont="1" applyFill="1" applyBorder="1" applyAlignment="1" applyProtection="1">
      <alignment horizontal="left" vertical="top" wrapText="1"/>
    </xf>
    <xf numFmtId="0" fontId="3" fillId="0" borderId="28" xfId="0" applyNumberFormat="1" applyFont="1" applyFill="1" applyBorder="1" applyAlignment="1" applyProtection="1">
      <alignment horizontal="left" vertical="top" wrapText="1"/>
    </xf>
    <xf numFmtId="4" fontId="2" fillId="0" borderId="28" xfId="0" applyNumberFormat="1" applyFont="1" applyFill="1" applyBorder="1" applyAlignment="1" applyProtection="1">
      <alignment horizontal="right" vertical="top" wrapText="1"/>
    </xf>
    <xf numFmtId="164" fontId="2" fillId="0" borderId="28" xfId="0" applyNumberFormat="1" applyFont="1" applyFill="1" applyBorder="1" applyAlignment="1" applyProtection="1">
      <alignment horizontal="right" vertical="top" wrapText="1"/>
    </xf>
    <xf numFmtId="10" fontId="2" fillId="0" borderId="29" xfId="0" applyNumberFormat="1" applyFont="1" applyFill="1" applyBorder="1" applyAlignment="1" applyProtection="1">
      <alignment horizontal="right" vertical="top" wrapText="1"/>
    </xf>
    <xf numFmtId="0" fontId="14" fillId="0" borderId="20" xfId="0" applyNumberFormat="1" applyFont="1" applyFill="1" applyBorder="1" applyAlignment="1" applyProtection="1">
      <alignment horizontal="center" wrapText="1"/>
    </xf>
    <xf numFmtId="2" fontId="15" fillId="0" borderId="30" xfId="0" applyNumberFormat="1" applyFont="1" applyFill="1" applyBorder="1" applyAlignment="1" applyProtection="1">
      <alignment horizontal="center" vertical="top" wrapText="1"/>
    </xf>
    <xf numFmtId="0" fontId="15" fillId="2" borderId="0" xfId="0" applyNumberFormat="1" applyFont="1" applyFill="1" applyBorder="1" applyAlignment="1" applyProtection="1">
      <alignment horizontal="center" vertical="top" wrapText="1"/>
    </xf>
    <xf numFmtId="0" fontId="3" fillId="0" borderId="1" xfId="0" applyNumberFormat="1" applyFont="1" applyFill="1" applyBorder="1" applyAlignment="1" applyProtection="1">
      <alignment horizontal="right" vertical="top" wrapText="1"/>
    </xf>
    <xf numFmtId="0" fontId="2" fillId="0" borderId="18" xfId="0" applyNumberFormat="1" applyFont="1" applyFill="1" applyBorder="1" applyAlignment="1" applyProtection="1">
      <alignment horizontal="right" vertical="top" wrapText="1"/>
    </xf>
    <xf numFmtId="164" fontId="9" fillId="0" borderId="31" xfId="0" applyNumberFormat="1" applyFont="1" applyFill="1" applyBorder="1" applyAlignment="1" applyProtection="1">
      <alignment horizontal="right" vertical="top" wrapText="1"/>
    </xf>
    <xf numFmtId="165" fontId="2" fillId="0" borderId="32" xfId="0" applyNumberFormat="1" applyFont="1" applyFill="1" applyBorder="1" applyAlignment="1" applyProtection="1">
      <alignment horizontal="right" vertical="top" wrapText="1"/>
    </xf>
    <xf numFmtId="0" fontId="2" fillId="0" borderId="5" xfId="0" applyNumberFormat="1" applyFont="1" applyFill="1" applyBorder="1" applyAlignment="1" applyProtection="1">
      <alignment horizontal="right" vertical="top" wrapText="1"/>
    </xf>
    <xf numFmtId="0" fontId="2" fillId="0" borderId="33" xfId="0" applyNumberFormat="1" applyFont="1" applyFill="1" applyBorder="1" applyAlignment="1" applyProtection="1">
      <alignment horizontal="left" vertical="top" wrapText="1"/>
    </xf>
    <xf numFmtId="0" fontId="3" fillId="0" borderId="34" xfId="0" applyNumberFormat="1" applyFont="1" applyFill="1" applyBorder="1" applyAlignment="1" applyProtection="1">
      <alignment horizontal="left" vertical="top" wrapText="1"/>
    </xf>
    <xf numFmtId="4" fontId="3" fillId="0" borderId="34" xfId="0" applyNumberFormat="1" applyFont="1" applyFill="1" applyBorder="1" applyAlignment="1" applyProtection="1">
      <alignment horizontal="left" vertical="top" wrapText="1"/>
    </xf>
    <xf numFmtId="0" fontId="1" fillId="0" borderId="34" xfId="0" applyNumberFormat="1" applyFont="1" applyFill="1" applyBorder="1" applyAlignment="1" applyProtection="1">
      <alignment horizontal="left" vertical="top" wrapText="1"/>
    </xf>
    <xf numFmtId="10" fontId="3" fillId="0" borderId="35" xfId="0" applyNumberFormat="1" applyFont="1" applyFill="1" applyBorder="1" applyAlignment="1" applyProtection="1">
      <alignment horizontal="left" vertical="top" wrapText="1"/>
    </xf>
    <xf numFmtId="0" fontId="2" fillId="0" borderId="27" xfId="0" applyNumberFormat="1" applyFont="1" applyFill="1" applyBorder="1" applyAlignment="1" applyProtection="1">
      <alignment horizontal="left" vertical="center" wrapText="1"/>
    </xf>
    <xf numFmtId="0" fontId="2" fillId="0" borderId="28" xfId="0" applyNumberFormat="1" applyFont="1" applyFill="1" applyBorder="1" applyAlignment="1" applyProtection="1">
      <alignment horizontal="left" vertical="center" wrapText="1"/>
    </xf>
    <xf numFmtId="0" fontId="2" fillId="0" borderId="28" xfId="0" applyNumberFormat="1" applyFont="1" applyFill="1" applyBorder="1" applyAlignment="1" applyProtection="1">
      <alignment horizontal="center" vertical="center" wrapText="1"/>
    </xf>
    <xf numFmtId="4" fontId="2" fillId="0" borderId="28" xfId="0" applyNumberFormat="1" applyFont="1" applyFill="1" applyBorder="1" applyAlignment="1" applyProtection="1">
      <alignment horizontal="center" vertical="center" wrapText="1"/>
    </xf>
    <xf numFmtId="10" fontId="2" fillId="0" borderId="29" xfId="0" applyNumberFormat="1" applyFont="1" applyFill="1" applyBorder="1" applyAlignment="1" applyProtection="1">
      <alignment horizontal="center" vertical="center" wrapText="1"/>
    </xf>
    <xf numFmtId="164" fontId="9" fillId="0" borderId="36" xfId="0" applyNumberFormat="1" applyFont="1" applyFill="1" applyBorder="1" applyAlignment="1" applyProtection="1">
      <alignment horizontal="right" vertical="top" wrapText="1"/>
    </xf>
    <xf numFmtId="0" fontId="15" fillId="2" borderId="4" xfId="0" applyNumberFormat="1" applyFont="1" applyFill="1" applyBorder="1" applyAlignment="1" applyProtection="1">
      <alignment horizontal="left" vertical="top" wrapText="1"/>
    </xf>
    <xf numFmtId="4" fontId="10" fillId="0" borderId="5" xfId="0" applyNumberFormat="1" applyFont="1" applyFill="1" applyBorder="1" applyAlignment="1" applyProtection="1">
      <alignment horizontal="right" vertical="top" wrapText="1"/>
    </xf>
    <xf numFmtId="10" fontId="10" fillId="0" borderId="6" xfId="0" applyNumberFormat="1" applyFont="1" applyFill="1" applyBorder="1" applyAlignment="1" applyProtection="1">
      <alignment horizontal="right" vertical="top" wrapText="1"/>
    </xf>
    <xf numFmtId="0" fontId="13" fillId="0" borderId="37" xfId="0" applyNumberFormat="1" applyFont="1" applyFill="1" applyBorder="1" applyAlignment="1" applyProtection="1">
      <alignment horizontal="left" vertical="top" wrapText="1"/>
    </xf>
    <xf numFmtId="2" fontId="16" fillId="0" borderId="20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 applyProtection="1">
      <alignment horizontal="left" vertical="top" wrapText="1"/>
    </xf>
    <xf numFmtId="0" fontId="13" fillId="2" borderId="0" xfId="0" applyNumberFormat="1" applyFont="1" applyFill="1" applyBorder="1" applyAlignment="1" applyProtection="1">
      <alignment horizontal="center" vertical="top" wrapText="1"/>
    </xf>
    <xf numFmtId="0" fontId="11" fillId="2" borderId="0" xfId="0" applyNumberFormat="1" applyFont="1" applyFill="1" applyBorder="1" applyAlignment="1"/>
    <xf numFmtId="2" fontId="2" fillId="0" borderId="5" xfId="0" applyNumberFormat="1" applyFont="1" applyFill="1" applyBorder="1" applyAlignment="1" applyProtection="1">
      <alignment horizontal="right" vertical="top" wrapText="1"/>
    </xf>
    <xf numFmtId="2" fontId="3" fillId="0" borderId="5" xfId="0" applyNumberFormat="1" applyFont="1" applyFill="1" applyBorder="1" applyAlignment="1" applyProtection="1">
      <alignment horizontal="right" vertical="top" wrapText="1"/>
    </xf>
    <xf numFmtId="0" fontId="10" fillId="0" borderId="4" xfId="0" applyNumberFormat="1" applyFont="1" applyFill="1" applyBorder="1" applyAlignment="1" applyProtection="1">
      <alignment horizontal="left" vertical="top" wrapText="1"/>
    </xf>
    <xf numFmtId="0" fontId="10" fillId="0" borderId="33" xfId="0" applyNumberFormat="1" applyFont="1" applyFill="1" applyBorder="1" applyAlignment="1" applyProtection="1">
      <alignment horizontal="left" vertical="top" wrapText="1"/>
    </xf>
    <xf numFmtId="3" fontId="3" fillId="0" borderId="34" xfId="0" applyNumberFormat="1" applyFont="1" applyFill="1" applyBorder="1" applyAlignment="1" applyProtection="1">
      <alignment horizontal="right" vertical="top" wrapText="1"/>
    </xf>
    <xf numFmtId="4" fontId="3" fillId="0" borderId="34" xfId="0" applyNumberFormat="1" applyFont="1" applyFill="1" applyBorder="1" applyAlignment="1" applyProtection="1">
      <alignment horizontal="right" vertical="top" wrapText="1"/>
    </xf>
    <xf numFmtId="164" fontId="3" fillId="0" borderId="34" xfId="0" applyNumberFormat="1" applyFont="1" applyFill="1" applyBorder="1" applyAlignment="1" applyProtection="1">
      <alignment horizontal="right" vertical="top" wrapText="1"/>
    </xf>
    <xf numFmtId="10" fontId="3" fillId="0" borderId="35" xfId="0" applyNumberFormat="1" applyFont="1" applyFill="1" applyBorder="1" applyAlignment="1" applyProtection="1">
      <alignment horizontal="right" vertical="top" wrapText="1"/>
    </xf>
    <xf numFmtId="164" fontId="9" fillId="0" borderId="0" xfId="0" applyNumberFormat="1" applyFont="1" applyFill="1" applyBorder="1" applyAlignment="1" applyProtection="1">
      <alignment horizontal="right" vertical="top" wrapText="1"/>
    </xf>
    <xf numFmtId="2" fontId="13" fillId="0" borderId="20" xfId="0" applyNumberFormat="1" applyFont="1" applyFill="1" applyBorder="1" applyAlignment="1" applyProtection="1">
      <alignment horizontal="center" vertical="top" wrapText="1"/>
    </xf>
    <xf numFmtId="0" fontId="17" fillId="0" borderId="4" xfId="0" applyFont="1" applyBorder="1" applyAlignment="1"/>
    <xf numFmtId="0" fontId="15" fillId="0" borderId="5" xfId="0" applyNumberFormat="1" applyFont="1" applyFill="1" applyBorder="1" applyAlignment="1" applyProtection="1">
      <alignment horizontal="left" vertical="center"/>
    </xf>
    <xf numFmtId="0" fontId="15" fillId="0" borderId="5" xfId="0" applyNumberFormat="1" applyFont="1" applyFill="1" applyBorder="1" applyAlignment="1" applyProtection="1">
      <alignment horizontal="center" vertical="center"/>
    </xf>
    <xf numFmtId="0" fontId="19" fillId="0" borderId="5" xfId="0" applyNumberFormat="1" applyFont="1" applyFill="1" applyBorder="1" applyAlignment="1" applyProtection="1">
      <alignment horizontal="right" vertical="center"/>
    </xf>
    <xf numFmtId="0" fontId="19" fillId="0" borderId="6" xfId="0" applyNumberFormat="1" applyFont="1" applyFill="1" applyBorder="1" applyAlignment="1" applyProtection="1">
      <alignment horizontal="right" vertical="center"/>
    </xf>
    <xf numFmtId="0" fontId="15" fillId="0" borderId="4" xfId="0" applyNumberFormat="1" applyFont="1" applyFill="1" applyBorder="1" applyAlignment="1" applyProtection="1">
      <alignment horizontal="left" vertical="center"/>
    </xf>
    <xf numFmtId="2" fontId="15" fillId="0" borderId="5" xfId="0" applyNumberFormat="1" applyFont="1" applyFill="1" applyBorder="1" applyAlignment="1" applyProtection="1">
      <alignment horizontal="center" vertical="center"/>
    </xf>
    <xf numFmtId="10" fontId="15" fillId="0" borderId="5" xfId="0" applyNumberFormat="1" applyFont="1" applyFill="1" applyBorder="1" applyAlignment="1" applyProtection="1">
      <alignment horizontal="center" vertical="center"/>
    </xf>
    <xf numFmtId="2" fontId="15" fillId="0" borderId="6" xfId="0" applyNumberFormat="1" applyFont="1" applyFill="1" applyBorder="1" applyAlignment="1" applyProtection="1">
      <alignment horizontal="center" vertical="center"/>
    </xf>
    <xf numFmtId="0" fontId="14" fillId="0" borderId="4" xfId="0" applyFont="1" applyBorder="1" applyAlignment="1"/>
    <xf numFmtId="0" fontId="20" fillId="0" borderId="4" xfId="0" applyFont="1" applyBorder="1" applyAlignment="1"/>
    <xf numFmtId="4" fontId="15" fillId="0" borderId="5" xfId="0" applyNumberFormat="1" applyFont="1" applyFill="1" applyBorder="1" applyAlignment="1" applyProtection="1">
      <alignment horizontal="center" vertical="center"/>
    </xf>
    <xf numFmtId="10" fontId="15" fillId="0" borderId="6" xfId="0" applyNumberFormat="1" applyFont="1" applyFill="1" applyBorder="1" applyAlignment="1" applyProtection="1">
      <alignment horizontal="center" vertical="center"/>
    </xf>
    <xf numFmtId="0" fontId="15" fillId="0" borderId="4" xfId="0" applyNumberFormat="1" applyFont="1" applyFill="1" applyBorder="1" applyAlignment="1" applyProtection="1">
      <alignment horizontal="left" vertical="top" wrapText="1"/>
    </xf>
    <xf numFmtId="0" fontId="15" fillId="0" borderId="5" xfId="0" applyNumberFormat="1" applyFont="1" applyFill="1" applyBorder="1" applyAlignment="1" applyProtection="1">
      <alignment horizontal="left" vertical="center" wrapText="1"/>
    </xf>
    <xf numFmtId="0" fontId="15" fillId="0" borderId="5" xfId="0" applyNumberFormat="1" applyFont="1" applyFill="1" applyBorder="1" applyAlignment="1" applyProtection="1">
      <alignment horizontal="center" vertical="center" wrapText="1"/>
    </xf>
    <xf numFmtId="4" fontId="15" fillId="0" borderId="5" xfId="0" applyNumberFormat="1" applyFont="1" applyFill="1" applyBorder="1" applyAlignment="1" applyProtection="1">
      <alignment horizontal="center" vertical="center" wrapText="1"/>
    </xf>
    <xf numFmtId="10" fontId="15" fillId="0" borderId="6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left" vertical="center" wrapText="1"/>
    </xf>
    <xf numFmtId="164" fontId="10" fillId="0" borderId="6" xfId="0" applyNumberFormat="1" applyFont="1" applyFill="1" applyBorder="1" applyAlignment="1" applyProtection="1">
      <alignment horizontal="right" vertical="top" wrapText="1"/>
    </xf>
    <xf numFmtId="0" fontId="13" fillId="2" borderId="37" xfId="0" applyNumberFormat="1" applyFont="1" applyFill="1" applyBorder="1" applyAlignment="1" applyProtection="1">
      <alignment horizontal="left" vertical="top" wrapText="1"/>
    </xf>
    <xf numFmtId="2" fontId="13" fillId="2" borderId="20" xfId="0" applyNumberFormat="1" applyFont="1" applyFill="1" applyBorder="1" applyAlignment="1" applyProtection="1">
      <alignment horizontal="center" vertical="top" wrapText="1"/>
    </xf>
    <xf numFmtId="0" fontId="15" fillId="2" borderId="0" xfId="0" applyNumberFormat="1" applyFont="1" applyFill="1" applyBorder="1" applyAlignment="1" applyProtection="1">
      <alignment horizontal="center" vertical="center" wrapText="1"/>
    </xf>
    <xf numFmtId="0" fontId="15" fillId="0" borderId="37" xfId="0" applyNumberFormat="1" applyFont="1" applyFill="1" applyBorder="1" applyAlignment="1" applyProtection="1">
      <alignment horizontal="left" vertical="top" wrapText="1"/>
    </xf>
    <xf numFmtId="0" fontId="21" fillId="2" borderId="0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10" fontId="2" fillId="0" borderId="6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10" fontId="7" fillId="2" borderId="0" xfId="0" applyNumberFormat="1" applyFont="1" applyFill="1" applyBorder="1" applyAlignment="1"/>
    <xf numFmtId="0" fontId="12" fillId="2" borderId="11" xfId="1" applyNumberFormat="1" applyFont="1" applyFill="1" applyBorder="1" applyAlignment="1" applyProtection="1">
      <alignment horizontal="center" vertical="top" wrapText="1"/>
    </xf>
    <xf numFmtId="0" fontId="12" fillId="2" borderId="12" xfId="1" applyNumberFormat="1" applyFont="1" applyFill="1" applyBorder="1" applyAlignment="1" applyProtection="1">
      <alignment horizontal="center" vertical="top" wrapText="1"/>
    </xf>
    <xf numFmtId="0" fontId="12" fillId="2" borderId="13" xfId="1" applyNumberFormat="1" applyFont="1" applyFill="1" applyBorder="1" applyAlignment="1" applyProtection="1">
      <alignment horizontal="center" vertical="top" wrapText="1"/>
    </xf>
    <xf numFmtId="0" fontId="13" fillId="2" borderId="14" xfId="1" applyNumberFormat="1" applyFont="1" applyFill="1" applyBorder="1" applyAlignment="1" applyProtection="1">
      <alignment horizontal="center" vertical="top" wrapText="1"/>
    </xf>
    <xf numFmtId="0" fontId="13" fillId="2" borderId="15" xfId="1" applyNumberFormat="1" applyFont="1" applyFill="1" applyBorder="1" applyAlignment="1" applyProtection="1">
      <alignment horizontal="center" vertical="top" wrapText="1"/>
    </xf>
    <xf numFmtId="0" fontId="13" fillId="2" borderId="16" xfId="1" applyNumberFormat="1" applyFont="1" applyFill="1" applyBorder="1" applyAlignment="1" applyProtection="1">
      <alignment horizontal="center" vertical="top" wrapText="1"/>
    </xf>
    <xf numFmtId="0" fontId="12" fillId="2" borderId="11" xfId="0" applyNumberFormat="1" applyFont="1" applyFill="1" applyBorder="1" applyAlignment="1" applyProtection="1">
      <alignment horizontal="center" vertical="top" wrapText="1"/>
    </xf>
    <xf numFmtId="0" fontId="12" fillId="2" borderId="12" xfId="0" applyNumberFormat="1" applyFont="1" applyFill="1" applyBorder="1" applyAlignment="1" applyProtection="1">
      <alignment horizontal="center" vertical="top" wrapText="1"/>
    </xf>
    <xf numFmtId="0" fontId="12" fillId="2" borderId="13" xfId="0" applyNumberFormat="1" applyFont="1" applyFill="1" applyBorder="1" applyAlignment="1" applyProtection="1">
      <alignment horizontal="center" vertical="top" wrapText="1"/>
    </xf>
    <xf numFmtId="0" fontId="15" fillId="2" borderId="14" xfId="0" applyNumberFormat="1" applyFont="1" applyFill="1" applyBorder="1" applyAlignment="1" applyProtection="1">
      <alignment horizontal="center" vertical="top" wrapText="1"/>
    </xf>
    <xf numFmtId="0" fontId="15" fillId="2" borderId="15" xfId="0" applyNumberFormat="1" applyFont="1" applyFill="1" applyBorder="1" applyAlignment="1" applyProtection="1">
      <alignment horizontal="center" vertical="top" wrapText="1"/>
    </xf>
    <xf numFmtId="0" fontId="15" fillId="2" borderId="16" xfId="0" applyNumberFormat="1" applyFont="1" applyFill="1" applyBorder="1" applyAlignment="1" applyProtection="1">
      <alignment horizontal="center" vertical="top" wrapText="1"/>
    </xf>
    <xf numFmtId="0" fontId="18" fillId="2" borderId="11" xfId="0" applyNumberFormat="1" applyFont="1" applyFill="1" applyBorder="1" applyAlignment="1" applyProtection="1">
      <alignment horizontal="center" vertical="top" wrapText="1"/>
    </xf>
    <xf numFmtId="0" fontId="18" fillId="2" borderId="12" xfId="0" applyNumberFormat="1" applyFont="1" applyFill="1" applyBorder="1" applyAlignment="1" applyProtection="1">
      <alignment horizontal="center" vertical="top" wrapText="1"/>
    </xf>
    <xf numFmtId="0" fontId="18" fillId="2" borderId="13" xfId="0" applyNumberFormat="1" applyFont="1" applyFill="1" applyBorder="1" applyAlignment="1" applyProtection="1">
      <alignment horizontal="center" vertical="top" wrapText="1"/>
    </xf>
    <xf numFmtId="0" fontId="13" fillId="2" borderId="14" xfId="0" applyNumberFormat="1" applyFont="1" applyFill="1" applyBorder="1" applyAlignment="1" applyProtection="1">
      <alignment horizontal="center" vertical="top" wrapText="1"/>
    </xf>
    <xf numFmtId="0" fontId="13" fillId="2" borderId="15" xfId="0" applyNumberFormat="1" applyFont="1" applyFill="1" applyBorder="1" applyAlignment="1" applyProtection="1">
      <alignment horizontal="center" vertical="top" wrapText="1"/>
    </xf>
    <xf numFmtId="0" fontId="13" fillId="2" borderId="16" xfId="0" applyNumberFormat="1" applyFont="1" applyFill="1" applyBorder="1" applyAlignment="1" applyProtection="1">
      <alignment horizontal="center" vertical="top" wrapText="1"/>
    </xf>
    <xf numFmtId="0" fontId="15" fillId="2" borderId="14" xfId="0" applyNumberFormat="1" applyFont="1" applyFill="1" applyBorder="1" applyAlignment="1" applyProtection="1">
      <alignment horizontal="center" vertical="center" wrapText="1"/>
    </xf>
    <xf numFmtId="0" fontId="15" fillId="2" borderId="15" xfId="0" applyNumberFormat="1" applyFont="1" applyFill="1" applyBorder="1" applyAlignment="1" applyProtection="1">
      <alignment horizontal="center" vertical="center" wrapText="1"/>
    </xf>
    <xf numFmtId="0" fontId="15" fillId="2" borderId="16" xfId="0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Y1112"/>
  <sheetViews>
    <sheetView zoomScaleNormal="100" workbookViewId="0"/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22.85546875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155" width="9.140625" style="28"/>
  </cols>
  <sheetData>
    <row r="1" spans="1:9" ht="15.95" customHeight="1">
      <c r="A1" s="25"/>
      <c r="B1" s="152" t="s">
        <v>0</v>
      </c>
      <c r="C1" s="153"/>
      <c r="D1" s="153"/>
      <c r="E1" s="153"/>
      <c r="F1" s="153"/>
      <c r="G1" s="153"/>
      <c r="H1" s="154"/>
      <c r="I1" s="1"/>
    </row>
    <row r="2" spans="1:9" ht="12.95" customHeight="1" thickBot="1">
      <c r="A2" s="25"/>
      <c r="B2" s="155" t="s">
        <v>365</v>
      </c>
      <c r="C2" s="156"/>
      <c r="D2" s="156"/>
      <c r="E2" s="156"/>
      <c r="F2" s="156"/>
      <c r="G2" s="156"/>
      <c r="H2" s="157"/>
      <c r="I2" s="1"/>
    </row>
    <row r="3" spans="1:9" s="28" customFormat="1" ht="12.95" customHeight="1">
      <c r="A3" s="25"/>
      <c r="B3" s="24"/>
      <c r="C3" s="24"/>
      <c r="D3" s="24"/>
      <c r="E3" s="24"/>
      <c r="F3" s="24"/>
      <c r="G3" s="24"/>
      <c r="H3" s="24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53" t="s">
        <v>3</v>
      </c>
      <c r="C6" s="54" t="s">
        <v>4</v>
      </c>
      <c r="D6" s="55" t="s">
        <v>5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 ht="12.95" customHeight="1">
      <c r="A7" s="25"/>
      <c r="B7" s="7" t="s">
        <v>350</v>
      </c>
      <c r="C7" s="42"/>
      <c r="D7" s="40"/>
      <c r="E7" s="40"/>
      <c r="F7" s="41"/>
      <c r="G7" s="40"/>
      <c r="H7" s="58"/>
      <c r="I7" s="4"/>
    </row>
    <row r="8" spans="1:9" ht="12.95" customHeight="1">
      <c r="A8" s="25"/>
      <c r="B8" s="11" t="s">
        <v>351</v>
      </c>
      <c r="C8" s="39"/>
      <c r="D8" s="40"/>
      <c r="E8" s="77" t="s">
        <v>195</v>
      </c>
      <c r="F8" s="77" t="s">
        <v>195</v>
      </c>
      <c r="G8" s="77" t="s">
        <v>195</v>
      </c>
      <c r="H8" s="78" t="s">
        <v>195</v>
      </c>
      <c r="I8" s="5" t="s">
        <v>195</v>
      </c>
    </row>
    <row r="9" spans="1:9" ht="12.95" customHeight="1">
      <c r="A9" s="27"/>
      <c r="B9" s="14" t="s">
        <v>194</v>
      </c>
      <c r="C9" s="39"/>
      <c r="D9" s="40"/>
      <c r="E9" s="77" t="s">
        <v>195</v>
      </c>
      <c r="F9" s="77" t="s">
        <v>195</v>
      </c>
      <c r="G9" s="77" t="s">
        <v>195</v>
      </c>
      <c r="H9" s="78" t="s">
        <v>195</v>
      </c>
      <c r="I9" s="5" t="s">
        <v>195</v>
      </c>
    </row>
    <row r="10" spans="1:9" ht="12.95" customHeight="1">
      <c r="A10" s="25"/>
      <c r="B10" s="14"/>
      <c r="C10" s="39"/>
      <c r="D10" s="40"/>
      <c r="E10" s="77"/>
      <c r="F10" s="77"/>
      <c r="G10" s="77"/>
      <c r="H10" s="78"/>
      <c r="I10" s="5"/>
    </row>
    <row r="11" spans="1:9" ht="12.95" customHeight="1">
      <c r="A11" s="25"/>
      <c r="B11" s="7" t="s">
        <v>352</v>
      </c>
      <c r="C11" s="39"/>
      <c r="D11" s="40"/>
      <c r="E11" s="77"/>
      <c r="F11" s="77"/>
      <c r="G11" s="77"/>
      <c r="H11" s="78"/>
      <c r="I11" s="5"/>
    </row>
    <row r="12" spans="1:9" ht="12.95" customHeight="1">
      <c r="A12" s="25"/>
      <c r="B12" s="11" t="s">
        <v>353</v>
      </c>
      <c r="C12" s="39"/>
      <c r="D12" s="40"/>
      <c r="E12" s="77" t="s">
        <v>195</v>
      </c>
      <c r="F12" s="77" t="s">
        <v>195</v>
      </c>
      <c r="G12" s="77" t="s">
        <v>195</v>
      </c>
      <c r="H12" s="78" t="s">
        <v>195</v>
      </c>
      <c r="I12" s="5" t="s">
        <v>195</v>
      </c>
    </row>
    <row r="13" spans="1:9" ht="12.95" customHeight="1">
      <c r="A13" s="27"/>
      <c r="B13" s="14" t="s">
        <v>354</v>
      </c>
      <c r="C13" s="39"/>
      <c r="D13" s="40"/>
      <c r="E13" s="77" t="s">
        <v>195</v>
      </c>
      <c r="F13" s="77" t="s">
        <v>195</v>
      </c>
      <c r="G13" s="79"/>
      <c r="H13" s="78" t="s">
        <v>195</v>
      </c>
      <c r="I13" s="6"/>
    </row>
    <row r="14" spans="1:9" ht="12.95" customHeight="1">
      <c r="A14" s="25"/>
      <c r="B14" s="14" t="s">
        <v>355</v>
      </c>
      <c r="C14" s="39"/>
      <c r="D14" s="40"/>
      <c r="E14" s="77" t="s">
        <v>195</v>
      </c>
      <c r="F14" s="77" t="s">
        <v>195</v>
      </c>
      <c r="G14" s="79"/>
      <c r="H14" s="78" t="s">
        <v>195</v>
      </c>
      <c r="I14" s="6"/>
    </row>
    <row r="15" spans="1:9" ht="12.95" customHeight="1">
      <c r="A15" s="25"/>
      <c r="B15" s="14"/>
      <c r="C15" s="39"/>
      <c r="D15" s="40"/>
      <c r="E15" s="44"/>
      <c r="F15" s="45"/>
      <c r="G15" s="40"/>
      <c r="H15" s="59"/>
      <c r="I15" s="3"/>
    </row>
    <row r="16" spans="1:9" ht="12.95" customHeight="1">
      <c r="A16" s="25"/>
      <c r="B16" s="60" t="s">
        <v>11</v>
      </c>
      <c r="C16" s="9" t="s">
        <v>1</v>
      </c>
      <c r="D16" s="9" t="s">
        <v>1</v>
      </c>
      <c r="E16" s="9" t="s">
        <v>1</v>
      </c>
      <c r="F16" s="47" t="s">
        <v>1</v>
      </c>
      <c r="G16" s="48"/>
      <c r="H16" s="61" t="s">
        <v>1</v>
      </c>
      <c r="I16" s="36" t="s">
        <v>1</v>
      </c>
    </row>
    <row r="17" spans="1:9" ht="12.95" customHeight="1">
      <c r="A17" s="25"/>
      <c r="B17" s="60"/>
      <c r="C17" s="9"/>
      <c r="D17" s="9"/>
      <c r="E17" s="9"/>
      <c r="F17" s="47"/>
      <c r="G17" s="48"/>
      <c r="H17" s="61"/>
      <c r="I17" s="36"/>
    </row>
    <row r="18" spans="1:9" ht="12.95" customHeight="1">
      <c r="A18" s="25"/>
      <c r="B18" s="60" t="s">
        <v>12</v>
      </c>
      <c r="C18" s="9" t="s">
        <v>1</v>
      </c>
      <c r="D18" s="9" t="s">
        <v>1</v>
      </c>
      <c r="E18" s="9" t="s">
        <v>1</v>
      </c>
      <c r="F18" s="47" t="s">
        <v>1</v>
      </c>
      <c r="G18" s="48"/>
      <c r="H18" s="61" t="s">
        <v>1</v>
      </c>
      <c r="I18" s="36" t="s">
        <v>1</v>
      </c>
    </row>
    <row r="19" spans="1:9" ht="12.95" customHeight="1">
      <c r="A19" s="27"/>
      <c r="B19" s="62" t="s">
        <v>13</v>
      </c>
      <c r="C19" s="9" t="s">
        <v>14</v>
      </c>
      <c r="D19" s="9" t="s">
        <v>15</v>
      </c>
      <c r="E19" s="49">
        <v>1000000</v>
      </c>
      <c r="F19" s="50">
        <v>995.27183000000002</v>
      </c>
      <c r="G19" s="51">
        <v>995.27</v>
      </c>
      <c r="H19" s="63">
        <v>0.13887263420533263</v>
      </c>
      <c r="I19" s="2">
        <v>0.1389</v>
      </c>
    </row>
    <row r="20" spans="1:9" ht="12.95" customHeight="1">
      <c r="A20" s="27"/>
      <c r="B20" s="62" t="s">
        <v>16</v>
      </c>
      <c r="C20" s="9" t="s">
        <v>17</v>
      </c>
      <c r="D20" s="9" t="s">
        <v>18</v>
      </c>
      <c r="E20" s="49">
        <v>1000000</v>
      </c>
      <c r="F20" s="50">
        <v>990.63849000000005</v>
      </c>
      <c r="G20" s="51">
        <v>990.64</v>
      </c>
      <c r="H20" s="63">
        <v>0.13822613330821698</v>
      </c>
      <c r="I20" s="2">
        <v>0.13819999999999999</v>
      </c>
    </row>
    <row r="21" spans="1:9" ht="12.95" customHeight="1">
      <c r="A21" s="27"/>
      <c r="B21" s="62" t="s">
        <v>19</v>
      </c>
      <c r="C21" s="9" t="s">
        <v>20</v>
      </c>
      <c r="D21" s="9" t="s">
        <v>18</v>
      </c>
      <c r="E21" s="49">
        <v>990000</v>
      </c>
      <c r="F21" s="50">
        <v>983.02049999999997</v>
      </c>
      <c r="G21" s="51">
        <v>983.02</v>
      </c>
      <c r="H21" s="63">
        <v>0.13716317713206369</v>
      </c>
      <c r="I21" s="2">
        <v>0.13719999999999999</v>
      </c>
    </row>
    <row r="22" spans="1:9" ht="12.95" customHeight="1">
      <c r="A22" s="27"/>
      <c r="B22" s="62" t="s">
        <v>21</v>
      </c>
      <c r="C22" s="9" t="s">
        <v>22</v>
      </c>
      <c r="D22" s="9" t="s">
        <v>18</v>
      </c>
      <c r="E22" s="49">
        <v>500000</v>
      </c>
      <c r="F22" s="50">
        <v>499.42055499999998</v>
      </c>
      <c r="G22" s="51">
        <v>499.42</v>
      </c>
      <c r="H22" s="63">
        <v>6.9685332146032106E-2</v>
      </c>
      <c r="I22" s="2">
        <v>6.9699999999999998E-2</v>
      </c>
    </row>
    <row r="23" spans="1:9" ht="12.95" customHeight="1">
      <c r="A23" s="27"/>
      <c r="B23" s="62" t="s">
        <v>23</v>
      </c>
      <c r="C23" s="9" t="s">
        <v>24</v>
      </c>
      <c r="D23" s="9" t="s">
        <v>15</v>
      </c>
      <c r="E23" s="49">
        <v>500000</v>
      </c>
      <c r="F23" s="50">
        <v>497.63258000000002</v>
      </c>
      <c r="G23" s="51">
        <v>497.63</v>
      </c>
      <c r="H23" s="63">
        <v>6.9435851762222514E-2</v>
      </c>
      <c r="I23" s="2">
        <v>6.9400000000000003E-2</v>
      </c>
    </row>
    <row r="24" spans="1:9" ht="12.95" customHeight="1">
      <c r="A24" s="27"/>
      <c r="B24" s="62" t="s">
        <v>25</v>
      </c>
      <c r="C24" s="9" t="s">
        <v>26</v>
      </c>
      <c r="D24" s="9" t="s">
        <v>15</v>
      </c>
      <c r="E24" s="49">
        <v>500000</v>
      </c>
      <c r="F24" s="50">
        <v>496.90632499999998</v>
      </c>
      <c r="G24" s="51">
        <v>496.91</v>
      </c>
      <c r="H24" s="63">
        <v>6.9334515683058304E-2</v>
      </c>
      <c r="I24" s="2">
        <v>6.93E-2</v>
      </c>
    </row>
    <row r="25" spans="1:9" ht="12.95" customHeight="1">
      <c r="A25" s="27"/>
      <c r="B25" s="62" t="s">
        <v>27</v>
      </c>
      <c r="C25" s="9" t="s">
        <v>28</v>
      </c>
      <c r="D25" s="9" t="s">
        <v>18</v>
      </c>
      <c r="E25" s="49">
        <v>500000</v>
      </c>
      <c r="F25" s="50">
        <v>496.45256999999998</v>
      </c>
      <c r="G25" s="51">
        <v>496.45</v>
      </c>
      <c r="H25" s="63">
        <v>6.9271202173889809E-2</v>
      </c>
      <c r="I25" s="2">
        <v>6.93E-2</v>
      </c>
    </row>
    <row r="26" spans="1:9" ht="12.95" customHeight="1">
      <c r="A26" s="27"/>
      <c r="B26" s="62" t="s">
        <v>29</v>
      </c>
      <c r="C26" s="9" t="s">
        <v>30</v>
      </c>
      <c r="D26" s="9" t="s">
        <v>18</v>
      </c>
      <c r="E26" s="49">
        <v>500000</v>
      </c>
      <c r="F26" s="50">
        <v>496.08902999999998</v>
      </c>
      <c r="G26" s="51">
        <v>496.09</v>
      </c>
      <c r="H26" s="63">
        <v>6.9220476577206327E-2</v>
      </c>
      <c r="I26" s="2">
        <v>6.9199999999999998E-2</v>
      </c>
    </row>
    <row r="27" spans="1:9" ht="12.95" customHeight="1">
      <c r="A27" s="27"/>
      <c r="B27" s="62" t="s">
        <v>31</v>
      </c>
      <c r="C27" s="9" t="s">
        <v>32</v>
      </c>
      <c r="D27" s="9" t="s">
        <v>15</v>
      </c>
      <c r="E27" s="49">
        <v>500000</v>
      </c>
      <c r="F27" s="50">
        <v>493.740815</v>
      </c>
      <c r="G27" s="51">
        <v>493.74</v>
      </c>
      <c r="H27" s="63">
        <v>6.889282458013285E-2</v>
      </c>
      <c r="I27" s="2">
        <v>6.8900000000000003E-2</v>
      </c>
    </row>
    <row r="28" spans="1:9" ht="12.95" customHeight="1">
      <c r="A28" s="27"/>
      <c r="B28" s="62" t="s">
        <v>33</v>
      </c>
      <c r="C28" s="9" t="s">
        <v>34</v>
      </c>
      <c r="D28" s="9" t="s">
        <v>18</v>
      </c>
      <c r="E28" s="49">
        <v>500000</v>
      </c>
      <c r="F28" s="50">
        <v>493.19457</v>
      </c>
      <c r="G28" s="51">
        <v>493.19</v>
      </c>
      <c r="H28" s="63">
        <v>6.8816605722344534E-2</v>
      </c>
      <c r="I28" s="2">
        <v>6.88E-2</v>
      </c>
    </row>
    <row r="29" spans="1:9" ht="12.95" customHeight="1">
      <c r="A29" s="27"/>
      <c r="B29" s="62" t="s">
        <v>35</v>
      </c>
      <c r="C29" s="9" t="s">
        <v>36</v>
      </c>
      <c r="D29" s="9" t="s">
        <v>18</v>
      </c>
      <c r="E29" s="49">
        <v>400000</v>
      </c>
      <c r="F29" s="50">
        <v>394.50080000000003</v>
      </c>
      <c r="G29" s="51">
        <v>394.5</v>
      </c>
      <c r="H29" s="63">
        <v>5.5045630390353845E-2</v>
      </c>
      <c r="I29" s="2">
        <v>5.5E-2</v>
      </c>
    </row>
    <row r="30" spans="1:9" ht="12.95" customHeight="1">
      <c r="A30" s="27"/>
      <c r="B30" s="62" t="s">
        <v>37</v>
      </c>
      <c r="C30" s="9" t="s">
        <v>38</v>
      </c>
      <c r="D30" s="9" t="s">
        <v>18</v>
      </c>
      <c r="E30" s="49">
        <v>60000</v>
      </c>
      <c r="F30" s="50">
        <v>59.598731999999998</v>
      </c>
      <c r="G30" s="51">
        <v>59.6</v>
      </c>
      <c r="H30" s="63">
        <v>8.3159521435843837E-3</v>
      </c>
      <c r="I30" s="2">
        <v>8.3000000000000001E-3</v>
      </c>
    </row>
    <row r="31" spans="1:9" ht="12.95" customHeight="1">
      <c r="A31" s="25"/>
      <c r="B31" s="60" t="s">
        <v>39</v>
      </c>
      <c r="C31" s="9" t="s">
        <v>1</v>
      </c>
      <c r="D31" s="9" t="s">
        <v>1</v>
      </c>
      <c r="E31" s="9" t="s">
        <v>1</v>
      </c>
      <c r="F31" s="10">
        <v>6896.466797</v>
      </c>
      <c r="G31" s="52">
        <v>6896.46</v>
      </c>
      <c r="H31" s="64">
        <v>0.96228033582443795</v>
      </c>
      <c r="I31" s="37">
        <v>0.96220000000000006</v>
      </c>
    </row>
    <row r="32" spans="1:9" ht="12.95" customHeight="1">
      <c r="A32" s="25"/>
      <c r="B32" s="60" t="s">
        <v>40</v>
      </c>
      <c r="C32" s="9" t="s">
        <v>1</v>
      </c>
      <c r="D32" s="9" t="s">
        <v>1</v>
      </c>
      <c r="E32" s="9" t="s">
        <v>1</v>
      </c>
      <c r="F32" s="10">
        <v>6896.466797</v>
      </c>
      <c r="G32" s="52">
        <v>6896.46</v>
      </c>
      <c r="H32" s="64">
        <v>0.96228033582443795</v>
      </c>
      <c r="I32" s="37">
        <v>0.96220000000000006</v>
      </c>
    </row>
    <row r="33" spans="1:9" ht="12.95" customHeight="1">
      <c r="A33" s="25"/>
      <c r="B33" s="60"/>
      <c r="C33" s="9"/>
      <c r="D33" s="9"/>
      <c r="E33" s="9"/>
      <c r="F33" s="10"/>
      <c r="G33" s="52"/>
      <c r="H33" s="64"/>
      <c r="I33" s="70"/>
    </row>
    <row r="34" spans="1:9" ht="12.95" customHeight="1">
      <c r="A34" s="25"/>
      <c r="B34" s="60" t="s">
        <v>41</v>
      </c>
      <c r="C34" s="9" t="s">
        <v>1</v>
      </c>
      <c r="D34" s="9" t="s">
        <v>1</v>
      </c>
      <c r="E34" s="9" t="s">
        <v>1</v>
      </c>
      <c r="F34" s="47" t="s">
        <v>1</v>
      </c>
      <c r="G34" s="48"/>
      <c r="H34" s="61" t="s">
        <v>1</v>
      </c>
      <c r="I34" s="36" t="s">
        <v>1</v>
      </c>
    </row>
    <row r="35" spans="1:9" ht="12.95" customHeight="1">
      <c r="A35" s="27"/>
      <c r="B35" s="62" t="s">
        <v>42</v>
      </c>
      <c r="C35" s="9" t="s">
        <v>1</v>
      </c>
      <c r="D35" s="9" t="s">
        <v>43</v>
      </c>
      <c r="E35" s="49"/>
      <c r="F35" s="50">
        <v>268.51734699999997</v>
      </c>
      <c r="G35" s="51">
        <v>268.52</v>
      </c>
      <c r="H35" s="63">
        <v>3.7466860995872223E-2</v>
      </c>
      <c r="I35" s="2">
        <v>3.7499999999999999E-2</v>
      </c>
    </row>
    <row r="36" spans="1:9" ht="12.95" customHeight="1">
      <c r="A36" s="25"/>
      <c r="B36" s="60" t="s">
        <v>39</v>
      </c>
      <c r="C36" s="9" t="s">
        <v>1</v>
      </c>
      <c r="D36" s="9" t="s">
        <v>1</v>
      </c>
      <c r="E36" s="9" t="s">
        <v>1</v>
      </c>
      <c r="F36" s="10">
        <v>268.51734699999997</v>
      </c>
      <c r="G36" s="52">
        <v>268.52</v>
      </c>
      <c r="H36" s="64">
        <v>3.7466860995872223E-2</v>
      </c>
      <c r="I36" s="37">
        <v>3.7499999999999999E-2</v>
      </c>
    </row>
    <row r="37" spans="1:9" ht="12.95" customHeight="1">
      <c r="A37" s="25"/>
      <c r="B37" s="60"/>
      <c r="C37" s="9"/>
      <c r="D37" s="9"/>
      <c r="E37" s="9"/>
      <c r="F37" s="10"/>
      <c r="G37" s="52"/>
      <c r="H37" s="64"/>
      <c r="I37" s="37"/>
    </row>
    <row r="38" spans="1:9" ht="12.95" customHeight="1">
      <c r="A38" s="25"/>
      <c r="B38" s="60" t="s">
        <v>44</v>
      </c>
      <c r="C38" s="9" t="s">
        <v>1</v>
      </c>
      <c r="D38" s="9" t="s">
        <v>1</v>
      </c>
      <c r="E38" s="9" t="s">
        <v>1</v>
      </c>
      <c r="F38" s="12">
        <v>1.8117888</v>
      </c>
      <c r="G38" s="75">
        <v>1.82</v>
      </c>
      <c r="H38" s="76">
        <v>2.5280317968979078E-4</v>
      </c>
      <c r="I38" s="37">
        <v>2.9999999999999997E-4</v>
      </c>
    </row>
    <row r="39" spans="1:9" ht="12.95" customHeight="1">
      <c r="A39" s="25"/>
      <c r="B39" s="60" t="s">
        <v>39</v>
      </c>
      <c r="C39" s="15"/>
      <c r="D39" s="15"/>
      <c r="E39" s="15"/>
      <c r="F39" s="10">
        <v>1.8117888</v>
      </c>
      <c r="G39" s="52">
        <v>1.82</v>
      </c>
      <c r="H39" s="64">
        <v>2.5280317968979078E-4</v>
      </c>
      <c r="I39" s="74"/>
    </row>
    <row r="40" spans="1:9" ht="12.95" customHeight="1">
      <c r="A40" s="25"/>
      <c r="B40" s="60" t="s">
        <v>40</v>
      </c>
      <c r="C40" s="15"/>
      <c r="D40" s="15"/>
      <c r="E40" s="15"/>
      <c r="F40" s="16">
        <f>F36+F39</f>
        <v>270.32913579999996</v>
      </c>
      <c r="G40" s="16">
        <f t="shared" ref="G40:H40" si="0">G36+G39</f>
        <v>270.33999999999997</v>
      </c>
      <c r="H40" s="64">
        <f t="shared" si="0"/>
        <v>3.7719664175562016E-2</v>
      </c>
      <c r="I40" s="74"/>
    </row>
    <row r="41" spans="1:9" ht="12.95" customHeight="1" thickBot="1">
      <c r="A41" s="25"/>
      <c r="B41" s="71"/>
      <c r="C41" s="15"/>
      <c r="D41" s="15"/>
      <c r="E41" s="15"/>
      <c r="F41" s="16"/>
      <c r="G41" s="72"/>
      <c r="H41" s="73"/>
      <c r="I41" s="74"/>
    </row>
    <row r="42" spans="1:9" ht="12.95" customHeight="1" thickBot="1">
      <c r="A42" s="25"/>
      <c r="B42" s="80" t="s">
        <v>45</v>
      </c>
      <c r="C42" s="81" t="s">
        <v>1</v>
      </c>
      <c r="D42" s="81" t="s">
        <v>1</v>
      </c>
      <c r="E42" s="81" t="s">
        <v>1</v>
      </c>
      <c r="F42" s="82">
        <v>7166.7959327999997</v>
      </c>
      <c r="G42" s="83">
        <v>7166.8</v>
      </c>
      <c r="H42" s="84">
        <v>1</v>
      </c>
      <c r="I42" s="38">
        <v>1</v>
      </c>
    </row>
    <row r="43" spans="1:9" s="28" customFormat="1" ht="12.95" customHeight="1">
      <c r="A43" s="25"/>
      <c r="B43" s="26" t="s">
        <v>1</v>
      </c>
      <c r="C43" s="25"/>
      <c r="D43" s="25"/>
      <c r="E43" s="25"/>
      <c r="F43" s="30"/>
      <c r="G43" s="25"/>
      <c r="H43" s="31"/>
      <c r="I43" s="25"/>
    </row>
    <row r="44" spans="1:9" s="28" customFormat="1" ht="12.95" customHeight="1">
      <c r="A44" s="25"/>
      <c r="B44" s="32" t="s">
        <v>43</v>
      </c>
      <c r="C44" s="25"/>
      <c r="D44" s="25"/>
      <c r="E44" s="25"/>
      <c r="F44" s="30"/>
      <c r="G44" s="25"/>
      <c r="H44" s="31"/>
      <c r="I44" s="25"/>
    </row>
    <row r="45" spans="1:9" s="28" customFormat="1" ht="12.95" customHeight="1">
      <c r="A45" s="25"/>
      <c r="B45" s="32" t="s">
        <v>46</v>
      </c>
      <c r="C45" s="25"/>
      <c r="D45" s="25"/>
      <c r="E45" s="25"/>
      <c r="F45" s="30"/>
      <c r="G45" s="25"/>
      <c r="H45" s="31"/>
      <c r="I45" s="25"/>
    </row>
    <row r="46" spans="1:9" s="28" customFormat="1" ht="12.95" customHeight="1">
      <c r="A46" s="25"/>
      <c r="B46" s="32" t="s">
        <v>47</v>
      </c>
      <c r="C46" s="25"/>
      <c r="D46" s="25"/>
      <c r="E46" s="25"/>
      <c r="F46" s="30"/>
      <c r="G46" s="25"/>
      <c r="H46" s="31"/>
      <c r="I46" s="25"/>
    </row>
    <row r="47" spans="1:9" s="28" customFormat="1" ht="12.95" customHeight="1" thickBot="1">
      <c r="A47" s="25"/>
      <c r="B47" s="32" t="s">
        <v>1</v>
      </c>
      <c r="C47" s="25"/>
      <c r="D47" s="25"/>
      <c r="E47" s="25"/>
      <c r="F47" s="30"/>
      <c r="G47" s="25"/>
      <c r="H47" s="31"/>
      <c r="I47" s="25"/>
    </row>
    <row r="48" spans="1:9" s="28" customFormat="1" ht="12.95" customHeight="1" thickBot="1">
      <c r="A48" s="25"/>
      <c r="B48" s="85" t="s">
        <v>366</v>
      </c>
      <c r="C48" s="86" t="s">
        <v>374</v>
      </c>
      <c r="D48" s="25"/>
      <c r="E48" s="25"/>
      <c r="F48" s="30"/>
      <c r="G48" s="25"/>
      <c r="H48" s="31"/>
      <c r="I48" s="25"/>
    </row>
    <row r="49" spans="2:8" s="28" customFormat="1">
      <c r="F49" s="33"/>
      <c r="H49" s="34"/>
    </row>
    <row r="50" spans="2:8" s="28" customFormat="1">
      <c r="B50" s="111"/>
      <c r="F50" s="33"/>
      <c r="H50" s="34"/>
    </row>
    <row r="51" spans="2:8" s="28" customFormat="1">
      <c r="C51" s="33"/>
      <c r="E51" s="34"/>
    </row>
    <row r="52" spans="2:8" s="28" customFormat="1">
      <c r="C52" s="33"/>
      <c r="E52" s="34"/>
    </row>
    <row r="53" spans="2:8" s="28" customFormat="1">
      <c r="C53" s="33"/>
      <c r="E53" s="34"/>
    </row>
    <row r="54" spans="2:8" s="28" customFormat="1">
      <c r="C54" s="33"/>
      <c r="E54" s="34"/>
    </row>
    <row r="55" spans="2:8" s="28" customFormat="1">
      <c r="C55" s="33"/>
      <c r="E55" s="34"/>
    </row>
    <row r="56" spans="2:8" s="28" customFormat="1">
      <c r="C56" s="33"/>
      <c r="E56" s="34"/>
    </row>
    <row r="57" spans="2:8" s="28" customFormat="1">
      <c r="C57" s="33"/>
      <c r="E57" s="34"/>
    </row>
    <row r="58" spans="2:8" s="28" customFormat="1">
      <c r="C58" s="33"/>
      <c r="E58" s="34"/>
    </row>
    <row r="59" spans="2:8" s="28" customFormat="1">
      <c r="C59" s="33"/>
      <c r="E59" s="34"/>
    </row>
    <row r="60" spans="2:8" s="28" customFormat="1">
      <c r="C60" s="33"/>
      <c r="E60" s="34"/>
    </row>
    <row r="61" spans="2:8" s="28" customFormat="1">
      <c r="C61" s="33"/>
      <c r="E61" s="34"/>
    </row>
    <row r="62" spans="2:8" s="28" customFormat="1">
      <c r="C62" s="33"/>
      <c r="E62" s="34"/>
    </row>
    <row r="63" spans="2:8" s="28" customFormat="1">
      <c r="C63" s="33"/>
      <c r="E63" s="34"/>
    </row>
    <row r="64" spans="2:8" s="28" customFormat="1">
      <c r="C64" s="33"/>
      <c r="E64" s="34"/>
    </row>
    <row r="65" spans="3:8" s="28" customFormat="1">
      <c r="C65" s="33"/>
      <c r="E65" s="34"/>
    </row>
    <row r="66" spans="3:8" s="28" customFormat="1">
      <c r="C66" s="33"/>
      <c r="E66" s="34"/>
    </row>
    <row r="67" spans="3:8" s="28" customFormat="1">
      <c r="C67" s="33"/>
      <c r="E67" s="34"/>
    </row>
    <row r="68" spans="3:8" s="28" customFormat="1">
      <c r="C68" s="33"/>
      <c r="E68" s="34"/>
    </row>
    <row r="69" spans="3:8" s="28" customFormat="1">
      <c r="C69" s="33"/>
      <c r="E69" s="34"/>
    </row>
    <row r="70" spans="3:8" s="28" customFormat="1">
      <c r="C70" s="33"/>
      <c r="E70" s="34"/>
    </row>
    <row r="71" spans="3:8" s="28" customFormat="1">
      <c r="C71" s="33"/>
      <c r="E71" s="34"/>
    </row>
    <row r="72" spans="3:8" s="28" customFormat="1">
      <c r="C72" s="33"/>
      <c r="E72" s="34"/>
    </row>
    <row r="73" spans="3:8" s="28" customFormat="1">
      <c r="C73" s="33"/>
      <c r="E73" s="34"/>
    </row>
    <row r="74" spans="3:8" s="28" customFormat="1">
      <c r="C74" s="33"/>
      <c r="E74" s="34"/>
    </row>
    <row r="75" spans="3:8" s="28" customFormat="1">
      <c r="C75" s="33"/>
      <c r="E75" s="34"/>
    </row>
    <row r="76" spans="3:8" s="28" customFormat="1">
      <c r="C76" s="33"/>
      <c r="E76" s="34"/>
    </row>
    <row r="77" spans="3:8" s="28" customFormat="1">
      <c r="F77" s="33"/>
      <c r="H77" s="34"/>
    </row>
    <row r="78" spans="3:8" s="28" customFormat="1">
      <c r="F78" s="33"/>
      <c r="H78" s="34"/>
    </row>
    <row r="79" spans="3:8" s="28" customFormat="1">
      <c r="F79" s="33"/>
      <c r="H79" s="34"/>
    </row>
    <row r="80" spans="3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  <row r="793" spans="6:8" s="28" customFormat="1">
      <c r="F793" s="33"/>
      <c r="H793" s="34"/>
    </row>
    <row r="794" spans="6:8" s="28" customFormat="1">
      <c r="F794" s="33"/>
      <c r="H794" s="34"/>
    </row>
    <row r="795" spans="6:8" s="28" customFormat="1">
      <c r="F795" s="33"/>
      <c r="H795" s="34"/>
    </row>
    <row r="796" spans="6:8" s="28" customFormat="1">
      <c r="F796" s="33"/>
      <c r="H796" s="34"/>
    </row>
    <row r="797" spans="6:8" s="28" customFormat="1">
      <c r="F797" s="33"/>
      <c r="H797" s="34"/>
    </row>
    <row r="798" spans="6:8" s="28" customFormat="1">
      <c r="F798" s="33"/>
      <c r="H798" s="34"/>
    </row>
    <row r="799" spans="6:8" s="28" customFormat="1">
      <c r="F799" s="33"/>
      <c r="H799" s="34"/>
    </row>
    <row r="800" spans="6:8" s="28" customFormat="1">
      <c r="F800" s="33"/>
      <c r="H800" s="34"/>
    </row>
    <row r="801" spans="6:8" s="28" customFormat="1">
      <c r="F801" s="33"/>
      <c r="H801" s="34"/>
    </row>
    <row r="802" spans="6:8" s="28" customFormat="1">
      <c r="F802" s="33"/>
      <c r="H802" s="34"/>
    </row>
    <row r="803" spans="6:8" s="28" customFormat="1">
      <c r="F803" s="33"/>
      <c r="H803" s="34"/>
    </row>
    <row r="804" spans="6:8" s="28" customFormat="1">
      <c r="F804" s="33"/>
      <c r="H804" s="34"/>
    </row>
    <row r="805" spans="6:8" s="28" customFormat="1">
      <c r="F805" s="33"/>
      <c r="H805" s="34"/>
    </row>
    <row r="806" spans="6:8" s="28" customFormat="1">
      <c r="F806" s="33"/>
      <c r="H806" s="34"/>
    </row>
    <row r="807" spans="6:8" s="28" customFormat="1">
      <c r="F807" s="33"/>
      <c r="H807" s="34"/>
    </row>
    <row r="808" spans="6:8" s="28" customFormat="1">
      <c r="F808" s="33"/>
      <c r="H808" s="34"/>
    </row>
    <row r="809" spans="6:8" s="28" customFormat="1">
      <c r="F809" s="33"/>
      <c r="H809" s="34"/>
    </row>
    <row r="810" spans="6:8" s="28" customFormat="1">
      <c r="F810" s="33"/>
      <c r="H810" s="34"/>
    </row>
    <row r="811" spans="6:8" s="28" customFormat="1">
      <c r="F811" s="33"/>
      <c r="H811" s="34"/>
    </row>
    <row r="812" spans="6:8" s="28" customFormat="1">
      <c r="F812" s="33"/>
      <c r="H812" s="34"/>
    </row>
    <row r="813" spans="6:8" s="28" customFormat="1">
      <c r="F813" s="33"/>
      <c r="H813" s="34"/>
    </row>
    <row r="814" spans="6:8" s="28" customFormat="1">
      <c r="F814" s="33"/>
      <c r="H814" s="34"/>
    </row>
    <row r="815" spans="6:8" s="28" customFormat="1">
      <c r="F815" s="33"/>
      <c r="H815" s="34"/>
    </row>
    <row r="816" spans="6:8" s="28" customFormat="1">
      <c r="F816" s="33"/>
      <c r="H816" s="34"/>
    </row>
    <row r="817" spans="6:8" s="28" customFormat="1">
      <c r="F817" s="33"/>
      <c r="H817" s="34"/>
    </row>
    <row r="818" spans="6:8" s="28" customFormat="1">
      <c r="F818" s="33"/>
      <c r="H818" s="34"/>
    </row>
    <row r="819" spans="6:8" s="28" customFormat="1">
      <c r="F819" s="33"/>
      <c r="H819" s="34"/>
    </row>
    <row r="820" spans="6:8" s="28" customFormat="1">
      <c r="F820" s="33"/>
      <c r="H820" s="34"/>
    </row>
    <row r="821" spans="6:8" s="28" customFormat="1">
      <c r="F821" s="33"/>
      <c r="H821" s="34"/>
    </row>
    <row r="822" spans="6:8" s="28" customFormat="1">
      <c r="F822" s="33"/>
      <c r="H822" s="34"/>
    </row>
    <row r="823" spans="6:8" s="28" customFormat="1">
      <c r="F823" s="33"/>
      <c r="H823" s="34"/>
    </row>
    <row r="824" spans="6:8" s="28" customFormat="1">
      <c r="F824" s="33"/>
      <c r="H824" s="34"/>
    </row>
    <row r="825" spans="6:8" s="28" customFormat="1">
      <c r="F825" s="33"/>
      <c r="H825" s="34"/>
    </row>
    <row r="826" spans="6:8" s="28" customFormat="1">
      <c r="F826" s="33"/>
      <c r="H826" s="34"/>
    </row>
    <row r="827" spans="6:8" s="28" customFormat="1">
      <c r="F827" s="33"/>
      <c r="H827" s="34"/>
    </row>
    <row r="828" spans="6:8" s="28" customFormat="1">
      <c r="F828" s="33"/>
      <c r="H828" s="34"/>
    </row>
    <row r="829" spans="6:8" s="28" customFormat="1">
      <c r="F829" s="33"/>
      <c r="H829" s="34"/>
    </row>
    <row r="830" spans="6:8" s="28" customFormat="1">
      <c r="F830" s="33"/>
      <c r="H830" s="34"/>
    </row>
    <row r="831" spans="6:8" s="28" customFormat="1">
      <c r="F831" s="33"/>
      <c r="H831" s="34"/>
    </row>
    <row r="832" spans="6:8" s="28" customFormat="1">
      <c r="F832" s="33"/>
      <c r="H832" s="34"/>
    </row>
    <row r="833" spans="6:8" s="28" customFormat="1">
      <c r="F833" s="33"/>
      <c r="H833" s="34"/>
    </row>
    <row r="834" spans="6:8" s="28" customFormat="1">
      <c r="F834" s="33"/>
      <c r="H834" s="34"/>
    </row>
    <row r="835" spans="6:8" s="28" customFormat="1">
      <c r="F835" s="33"/>
      <c r="H835" s="34"/>
    </row>
    <row r="836" spans="6:8" s="28" customFormat="1">
      <c r="F836" s="33"/>
      <c r="H836" s="34"/>
    </row>
    <row r="837" spans="6:8" s="28" customFormat="1">
      <c r="F837" s="33"/>
      <c r="H837" s="34"/>
    </row>
    <row r="838" spans="6:8" s="28" customFormat="1">
      <c r="F838" s="33"/>
      <c r="H838" s="34"/>
    </row>
    <row r="839" spans="6:8" s="28" customFormat="1">
      <c r="F839" s="33"/>
      <c r="H839" s="34"/>
    </row>
    <row r="840" spans="6:8" s="28" customFormat="1">
      <c r="F840" s="33"/>
      <c r="H840" s="34"/>
    </row>
    <row r="841" spans="6:8" s="28" customFormat="1">
      <c r="F841" s="33"/>
      <c r="H841" s="34"/>
    </row>
    <row r="842" spans="6:8" s="28" customFormat="1">
      <c r="F842" s="33"/>
      <c r="H842" s="34"/>
    </row>
    <row r="843" spans="6:8" s="28" customFormat="1">
      <c r="F843" s="33"/>
      <c r="H843" s="34"/>
    </row>
    <row r="844" spans="6:8" s="28" customFormat="1">
      <c r="F844" s="33"/>
      <c r="H844" s="34"/>
    </row>
    <row r="845" spans="6:8" s="28" customFormat="1">
      <c r="F845" s="33"/>
      <c r="H845" s="34"/>
    </row>
    <row r="846" spans="6:8" s="28" customFormat="1">
      <c r="F846" s="33"/>
      <c r="H846" s="34"/>
    </row>
    <row r="847" spans="6:8" s="28" customFormat="1">
      <c r="F847" s="33"/>
      <c r="H847" s="34"/>
    </row>
    <row r="848" spans="6:8" s="28" customFormat="1">
      <c r="F848" s="33"/>
      <c r="H848" s="34"/>
    </row>
    <row r="849" spans="6:8" s="28" customFormat="1">
      <c r="F849" s="33"/>
      <c r="H849" s="34"/>
    </row>
    <row r="850" spans="6:8" s="28" customFormat="1">
      <c r="F850" s="33"/>
      <c r="H850" s="34"/>
    </row>
    <row r="851" spans="6:8" s="28" customFormat="1">
      <c r="F851" s="33"/>
      <c r="H851" s="34"/>
    </row>
    <row r="852" spans="6:8" s="28" customFormat="1">
      <c r="F852" s="33"/>
      <c r="H852" s="34"/>
    </row>
    <row r="853" spans="6:8" s="28" customFormat="1">
      <c r="F853" s="33"/>
      <c r="H853" s="34"/>
    </row>
    <row r="854" spans="6:8" s="28" customFormat="1">
      <c r="F854" s="33"/>
      <c r="H854" s="34"/>
    </row>
    <row r="855" spans="6:8" s="28" customFormat="1">
      <c r="F855" s="33"/>
      <c r="H855" s="34"/>
    </row>
    <row r="856" spans="6:8" s="28" customFormat="1">
      <c r="F856" s="33"/>
      <c r="H856" s="34"/>
    </row>
    <row r="857" spans="6:8" s="28" customFormat="1">
      <c r="F857" s="33"/>
      <c r="H857" s="34"/>
    </row>
    <row r="858" spans="6:8" s="28" customFormat="1">
      <c r="F858" s="33"/>
      <c r="H858" s="34"/>
    </row>
    <row r="859" spans="6:8" s="28" customFormat="1">
      <c r="F859" s="33"/>
      <c r="H859" s="34"/>
    </row>
    <row r="860" spans="6:8" s="28" customFormat="1">
      <c r="F860" s="33"/>
      <c r="H860" s="34"/>
    </row>
    <row r="861" spans="6:8" s="28" customFormat="1">
      <c r="F861" s="33"/>
      <c r="H861" s="34"/>
    </row>
    <row r="862" spans="6:8" s="28" customFormat="1">
      <c r="F862" s="33"/>
      <c r="H862" s="34"/>
    </row>
    <row r="863" spans="6:8" s="28" customFormat="1">
      <c r="F863" s="33"/>
      <c r="H863" s="34"/>
    </row>
    <row r="864" spans="6:8" s="28" customFormat="1">
      <c r="F864" s="33"/>
      <c r="H864" s="34"/>
    </row>
    <row r="865" spans="6:8" s="28" customFormat="1">
      <c r="F865" s="33"/>
      <c r="H865" s="34"/>
    </row>
    <row r="866" spans="6:8" s="28" customFormat="1">
      <c r="F866" s="33"/>
      <c r="H866" s="34"/>
    </row>
    <row r="867" spans="6:8" s="28" customFormat="1">
      <c r="F867" s="33"/>
      <c r="H867" s="34"/>
    </row>
    <row r="868" spans="6:8" s="28" customFormat="1">
      <c r="F868" s="33"/>
      <c r="H868" s="34"/>
    </row>
    <row r="869" spans="6:8" s="28" customFormat="1">
      <c r="F869" s="33"/>
      <c r="H869" s="34"/>
    </row>
    <row r="870" spans="6:8" s="28" customFormat="1">
      <c r="F870" s="33"/>
      <c r="H870" s="34"/>
    </row>
    <row r="871" spans="6:8" s="28" customFormat="1">
      <c r="F871" s="33"/>
      <c r="H871" s="34"/>
    </row>
    <row r="872" spans="6:8" s="28" customFormat="1">
      <c r="F872" s="33"/>
      <c r="H872" s="34"/>
    </row>
    <row r="873" spans="6:8" s="28" customFormat="1">
      <c r="F873" s="33"/>
      <c r="H873" s="34"/>
    </row>
    <row r="874" spans="6:8" s="28" customFormat="1">
      <c r="F874" s="33"/>
      <c r="H874" s="34"/>
    </row>
    <row r="875" spans="6:8" s="28" customFormat="1">
      <c r="F875" s="33"/>
      <c r="H875" s="34"/>
    </row>
    <row r="876" spans="6:8" s="28" customFormat="1">
      <c r="F876" s="33"/>
      <c r="H876" s="34"/>
    </row>
    <row r="877" spans="6:8" s="28" customFormat="1">
      <c r="F877" s="33"/>
      <c r="H877" s="34"/>
    </row>
    <row r="878" spans="6:8" s="28" customFormat="1">
      <c r="F878" s="33"/>
      <c r="H878" s="34"/>
    </row>
    <row r="879" spans="6:8" s="28" customFormat="1">
      <c r="F879" s="33"/>
      <c r="H879" s="34"/>
    </row>
    <row r="880" spans="6:8" s="28" customFormat="1">
      <c r="F880" s="33"/>
      <c r="H880" s="34"/>
    </row>
    <row r="881" spans="6:8" s="28" customFormat="1">
      <c r="F881" s="33"/>
      <c r="H881" s="34"/>
    </row>
    <row r="882" spans="6:8" s="28" customFormat="1">
      <c r="F882" s="33"/>
      <c r="H882" s="34"/>
    </row>
    <row r="883" spans="6:8" s="28" customFormat="1">
      <c r="F883" s="33"/>
      <c r="H883" s="34"/>
    </row>
    <row r="884" spans="6:8" s="28" customFormat="1">
      <c r="F884" s="33"/>
      <c r="H884" s="34"/>
    </row>
    <row r="885" spans="6:8" s="28" customFormat="1">
      <c r="F885" s="33"/>
      <c r="H885" s="34"/>
    </row>
    <row r="886" spans="6:8" s="28" customFormat="1">
      <c r="F886" s="33"/>
      <c r="H886" s="34"/>
    </row>
    <row r="887" spans="6:8" s="28" customFormat="1">
      <c r="F887" s="33"/>
      <c r="H887" s="34"/>
    </row>
    <row r="888" spans="6:8" s="28" customFormat="1">
      <c r="F888" s="33"/>
      <c r="H888" s="34"/>
    </row>
    <row r="889" spans="6:8" s="28" customFormat="1">
      <c r="F889" s="33"/>
      <c r="H889" s="34"/>
    </row>
    <row r="890" spans="6:8" s="28" customFormat="1">
      <c r="F890" s="33"/>
      <c r="H890" s="34"/>
    </row>
    <row r="891" spans="6:8" s="28" customFormat="1">
      <c r="F891" s="33"/>
      <c r="H891" s="34"/>
    </row>
    <row r="892" spans="6:8" s="28" customFormat="1">
      <c r="F892" s="33"/>
      <c r="H892" s="34"/>
    </row>
    <row r="893" spans="6:8" s="28" customFormat="1">
      <c r="F893" s="33"/>
      <c r="H893" s="34"/>
    </row>
    <row r="894" spans="6:8" s="28" customFormat="1">
      <c r="F894" s="33"/>
      <c r="H894" s="34"/>
    </row>
    <row r="895" spans="6:8" s="28" customFormat="1">
      <c r="F895" s="33"/>
      <c r="H895" s="34"/>
    </row>
    <row r="896" spans="6:8" s="28" customFormat="1">
      <c r="F896" s="33"/>
      <c r="H896" s="34"/>
    </row>
    <row r="897" spans="6:8" s="28" customFormat="1">
      <c r="F897" s="33"/>
      <c r="H897" s="34"/>
    </row>
    <row r="898" spans="6:8" s="28" customFormat="1">
      <c r="F898" s="33"/>
      <c r="H898" s="34"/>
    </row>
    <row r="899" spans="6:8" s="28" customFormat="1">
      <c r="F899" s="33"/>
      <c r="H899" s="34"/>
    </row>
    <row r="900" spans="6:8" s="28" customFormat="1">
      <c r="F900" s="33"/>
      <c r="H900" s="34"/>
    </row>
    <row r="901" spans="6:8" s="28" customFormat="1">
      <c r="F901" s="33"/>
      <c r="H901" s="34"/>
    </row>
    <row r="902" spans="6:8" s="28" customFormat="1">
      <c r="F902" s="33"/>
      <c r="H902" s="34"/>
    </row>
    <row r="903" spans="6:8" s="28" customFormat="1">
      <c r="F903" s="33"/>
      <c r="H903" s="34"/>
    </row>
    <row r="904" spans="6:8" s="28" customFormat="1">
      <c r="F904" s="33"/>
      <c r="H904" s="34"/>
    </row>
    <row r="905" spans="6:8" s="28" customFormat="1">
      <c r="F905" s="33"/>
      <c r="H905" s="34"/>
    </row>
    <row r="906" spans="6:8" s="28" customFormat="1">
      <c r="F906" s="33"/>
      <c r="H906" s="34"/>
    </row>
    <row r="907" spans="6:8" s="28" customFormat="1">
      <c r="F907" s="33"/>
      <c r="H907" s="34"/>
    </row>
    <row r="908" spans="6:8" s="28" customFormat="1">
      <c r="F908" s="33"/>
      <c r="H908" s="34"/>
    </row>
    <row r="909" spans="6:8" s="28" customFormat="1">
      <c r="F909" s="33"/>
      <c r="H909" s="34"/>
    </row>
    <row r="910" spans="6:8" s="28" customFormat="1">
      <c r="F910" s="33"/>
      <c r="H910" s="34"/>
    </row>
    <row r="911" spans="6:8" s="28" customFormat="1">
      <c r="F911" s="33"/>
      <c r="H911" s="34"/>
    </row>
    <row r="912" spans="6:8" s="28" customFormat="1">
      <c r="F912" s="33"/>
      <c r="H912" s="34"/>
    </row>
    <row r="913" spans="6:8" s="28" customFormat="1">
      <c r="F913" s="33"/>
      <c r="H913" s="34"/>
    </row>
    <row r="914" spans="6:8" s="28" customFormat="1">
      <c r="F914" s="33"/>
      <c r="H914" s="34"/>
    </row>
    <row r="915" spans="6:8" s="28" customFormat="1">
      <c r="F915" s="33"/>
      <c r="H915" s="34"/>
    </row>
    <row r="916" spans="6:8" s="28" customFormat="1">
      <c r="F916" s="33"/>
      <c r="H916" s="34"/>
    </row>
    <row r="917" spans="6:8" s="28" customFormat="1">
      <c r="F917" s="33"/>
      <c r="H917" s="34"/>
    </row>
    <row r="918" spans="6:8" s="28" customFormat="1">
      <c r="F918" s="33"/>
      <c r="H918" s="34"/>
    </row>
    <row r="919" spans="6:8" s="28" customFormat="1">
      <c r="F919" s="33"/>
      <c r="H919" s="34"/>
    </row>
    <row r="920" spans="6:8" s="28" customFormat="1">
      <c r="F920" s="33"/>
      <c r="H920" s="34"/>
    </row>
    <row r="921" spans="6:8" s="28" customFormat="1">
      <c r="F921" s="33"/>
      <c r="H921" s="34"/>
    </row>
    <row r="922" spans="6:8" s="28" customFormat="1">
      <c r="F922" s="33"/>
      <c r="H922" s="34"/>
    </row>
    <row r="923" spans="6:8" s="28" customFormat="1">
      <c r="F923" s="33"/>
      <c r="H923" s="34"/>
    </row>
    <row r="924" spans="6:8" s="28" customFormat="1">
      <c r="F924" s="33"/>
      <c r="H924" s="34"/>
    </row>
    <row r="925" spans="6:8" s="28" customFormat="1">
      <c r="F925" s="33"/>
      <c r="H925" s="34"/>
    </row>
    <row r="926" spans="6:8" s="28" customFormat="1">
      <c r="F926" s="33"/>
      <c r="H926" s="34"/>
    </row>
    <row r="927" spans="6:8" s="28" customFormat="1">
      <c r="F927" s="33"/>
      <c r="H927" s="34"/>
    </row>
    <row r="928" spans="6:8" s="28" customFormat="1">
      <c r="F928" s="33"/>
      <c r="H928" s="34"/>
    </row>
    <row r="929" spans="6:8" s="28" customFormat="1">
      <c r="F929" s="33"/>
      <c r="H929" s="34"/>
    </row>
    <row r="930" spans="6:8" s="28" customFormat="1">
      <c r="F930" s="33"/>
      <c r="H930" s="34"/>
    </row>
    <row r="931" spans="6:8" s="28" customFormat="1">
      <c r="F931" s="33"/>
      <c r="H931" s="34"/>
    </row>
    <row r="932" spans="6:8" s="28" customFormat="1">
      <c r="F932" s="33"/>
      <c r="H932" s="34"/>
    </row>
    <row r="933" spans="6:8" s="28" customFormat="1">
      <c r="F933" s="33"/>
      <c r="H933" s="34"/>
    </row>
    <row r="934" spans="6:8" s="28" customFormat="1">
      <c r="F934" s="33"/>
      <c r="H934" s="34"/>
    </row>
    <row r="935" spans="6:8" s="28" customFormat="1">
      <c r="F935" s="33"/>
      <c r="H935" s="34"/>
    </row>
    <row r="936" spans="6:8" s="28" customFormat="1">
      <c r="F936" s="33"/>
      <c r="H936" s="34"/>
    </row>
    <row r="937" spans="6:8" s="28" customFormat="1">
      <c r="F937" s="33"/>
      <c r="H937" s="34"/>
    </row>
    <row r="938" spans="6:8" s="28" customFormat="1">
      <c r="F938" s="33"/>
      <c r="H938" s="34"/>
    </row>
    <row r="939" spans="6:8" s="28" customFormat="1">
      <c r="F939" s="33"/>
      <c r="H939" s="34"/>
    </row>
    <row r="940" spans="6:8" s="28" customFormat="1">
      <c r="F940" s="33"/>
      <c r="H940" s="34"/>
    </row>
    <row r="941" spans="6:8" s="28" customFormat="1">
      <c r="F941" s="33"/>
      <c r="H941" s="34"/>
    </row>
    <row r="942" spans="6:8" s="28" customFormat="1">
      <c r="F942" s="33"/>
      <c r="H942" s="34"/>
    </row>
    <row r="943" spans="6:8" s="28" customFormat="1">
      <c r="F943" s="33"/>
      <c r="H943" s="34"/>
    </row>
    <row r="944" spans="6:8" s="28" customFormat="1">
      <c r="F944" s="33"/>
      <c r="H944" s="34"/>
    </row>
    <row r="945" spans="6:8" s="28" customFormat="1">
      <c r="F945" s="33"/>
      <c r="H945" s="34"/>
    </row>
    <row r="946" spans="6:8" s="28" customFormat="1">
      <c r="F946" s="33"/>
      <c r="H946" s="34"/>
    </row>
    <row r="947" spans="6:8" s="28" customFormat="1">
      <c r="F947" s="33"/>
      <c r="H947" s="34"/>
    </row>
    <row r="948" spans="6:8" s="28" customFormat="1">
      <c r="F948" s="33"/>
      <c r="H948" s="34"/>
    </row>
    <row r="949" spans="6:8" s="28" customFormat="1">
      <c r="F949" s="33"/>
      <c r="H949" s="34"/>
    </row>
    <row r="950" spans="6:8" s="28" customFormat="1">
      <c r="F950" s="33"/>
      <c r="H950" s="34"/>
    </row>
    <row r="951" spans="6:8" s="28" customFormat="1">
      <c r="F951" s="33"/>
      <c r="H951" s="34"/>
    </row>
    <row r="952" spans="6:8" s="28" customFormat="1">
      <c r="F952" s="33"/>
      <c r="H952" s="34"/>
    </row>
    <row r="953" spans="6:8" s="28" customFormat="1">
      <c r="F953" s="33"/>
      <c r="H953" s="34"/>
    </row>
    <row r="954" spans="6:8" s="28" customFormat="1">
      <c r="F954" s="33"/>
      <c r="H954" s="34"/>
    </row>
    <row r="955" spans="6:8" s="28" customFormat="1">
      <c r="F955" s="33"/>
      <c r="H955" s="34"/>
    </row>
    <row r="956" spans="6:8" s="28" customFormat="1">
      <c r="F956" s="33"/>
      <c r="H956" s="34"/>
    </row>
    <row r="957" spans="6:8" s="28" customFormat="1">
      <c r="F957" s="33"/>
      <c r="H957" s="34"/>
    </row>
    <row r="958" spans="6:8" s="28" customFormat="1">
      <c r="F958" s="33"/>
      <c r="H958" s="34"/>
    </row>
    <row r="959" spans="6:8" s="28" customFormat="1">
      <c r="F959" s="33"/>
      <c r="H959" s="34"/>
    </row>
    <row r="960" spans="6:8" s="28" customFormat="1">
      <c r="F960" s="33"/>
      <c r="H960" s="34"/>
    </row>
    <row r="961" spans="6:8" s="28" customFormat="1">
      <c r="F961" s="33"/>
      <c r="H961" s="34"/>
    </row>
    <row r="962" spans="6:8" s="28" customFormat="1">
      <c r="F962" s="33"/>
      <c r="H962" s="34"/>
    </row>
    <row r="963" spans="6:8" s="28" customFormat="1">
      <c r="F963" s="33"/>
      <c r="H963" s="34"/>
    </row>
    <row r="964" spans="6:8" s="28" customFormat="1">
      <c r="F964" s="33"/>
      <c r="H964" s="34"/>
    </row>
    <row r="965" spans="6:8" s="28" customFormat="1">
      <c r="F965" s="33"/>
      <c r="H965" s="34"/>
    </row>
    <row r="966" spans="6:8" s="28" customFormat="1">
      <c r="F966" s="33"/>
      <c r="H966" s="34"/>
    </row>
    <row r="967" spans="6:8" s="28" customFormat="1">
      <c r="F967" s="33"/>
      <c r="H967" s="34"/>
    </row>
    <row r="968" spans="6:8" s="28" customFormat="1">
      <c r="F968" s="33"/>
      <c r="H968" s="34"/>
    </row>
    <row r="969" spans="6:8" s="28" customFormat="1">
      <c r="F969" s="33"/>
      <c r="H969" s="34"/>
    </row>
    <row r="970" spans="6:8" s="28" customFormat="1">
      <c r="F970" s="33"/>
      <c r="H970" s="34"/>
    </row>
    <row r="971" spans="6:8" s="28" customFormat="1">
      <c r="F971" s="33"/>
      <c r="H971" s="34"/>
    </row>
    <row r="972" spans="6:8" s="28" customFormat="1">
      <c r="F972" s="33"/>
      <c r="H972" s="34"/>
    </row>
    <row r="973" spans="6:8" s="28" customFormat="1">
      <c r="F973" s="33"/>
      <c r="H973" s="34"/>
    </row>
    <row r="974" spans="6:8" s="28" customFormat="1">
      <c r="F974" s="33"/>
      <c r="H974" s="34"/>
    </row>
    <row r="975" spans="6:8" s="28" customFormat="1">
      <c r="F975" s="33"/>
      <c r="H975" s="34"/>
    </row>
    <row r="976" spans="6:8" s="28" customFormat="1">
      <c r="F976" s="33"/>
      <c r="H976" s="34"/>
    </row>
    <row r="977" spans="6:8" s="28" customFormat="1">
      <c r="F977" s="33"/>
      <c r="H977" s="34"/>
    </row>
    <row r="978" spans="6:8" s="28" customFormat="1">
      <c r="F978" s="33"/>
      <c r="H978" s="34"/>
    </row>
    <row r="979" spans="6:8" s="28" customFormat="1">
      <c r="F979" s="33"/>
      <c r="H979" s="34"/>
    </row>
    <row r="980" spans="6:8" s="28" customFormat="1">
      <c r="F980" s="33"/>
      <c r="H980" s="34"/>
    </row>
    <row r="981" spans="6:8" s="28" customFormat="1">
      <c r="F981" s="33"/>
      <c r="H981" s="34"/>
    </row>
    <row r="982" spans="6:8" s="28" customFormat="1">
      <c r="F982" s="33"/>
      <c r="H982" s="34"/>
    </row>
    <row r="983" spans="6:8" s="28" customFormat="1">
      <c r="F983" s="33"/>
      <c r="H983" s="34"/>
    </row>
    <row r="984" spans="6:8" s="28" customFormat="1">
      <c r="F984" s="33"/>
      <c r="H984" s="34"/>
    </row>
    <row r="985" spans="6:8" s="28" customFormat="1">
      <c r="F985" s="33"/>
      <c r="H985" s="34"/>
    </row>
    <row r="986" spans="6:8" s="28" customFormat="1">
      <c r="F986" s="33"/>
      <c r="H986" s="34"/>
    </row>
    <row r="987" spans="6:8" s="28" customFormat="1">
      <c r="F987" s="33"/>
      <c r="H987" s="34"/>
    </row>
    <row r="988" spans="6:8" s="28" customFormat="1">
      <c r="F988" s="33"/>
      <c r="H988" s="34"/>
    </row>
    <row r="989" spans="6:8" s="28" customFormat="1">
      <c r="F989" s="33"/>
      <c r="H989" s="34"/>
    </row>
    <row r="990" spans="6:8" s="28" customFormat="1">
      <c r="F990" s="33"/>
      <c r="H990" s="34"/>
    </row>
    <row r="991" spans="6:8" s="28" customFormat="1">
      <c r="F991" s="33"/>
      <c r="H991" s="34"/>
    </row>
    <row r="992" spans="6:8" s="28" customFormat="1">
      <c r="F992" s="33"/>
      <c r="H992" s="34"/>
    </row>
    <row r="993" spans="6:8" s="28" customFormat="1">
      <c r="F993" s="33"/>
      <c r="H993" s="34"/>
    </row>
    <row r="994" spans="6:8" s="28" customFormat="1">
      <c r="F994" s="33"/>
      <c r="H994" s="34"/>
    </row>
    <row r="995" spans="6:8" s="28" customFormat="1">
      <c r="F995" s="33"/>
      <c r="H995" s="34"/>
    </row>
    <row r="996" spans="6:8" s="28" customFormat="1">
      <c r="F996" s="33"/>
      <c r="H996" s="34"/>
    </row>
    <row r="997" spans="6:8" s="28" customFormat="1">
      <c r="F997" s="33"/>
      <c r="H997" s="34"/>
    </row>
    <row r="998" spans="6:8" s="28" customFormat="1">
      <c r="F998" s="33"/>
      <c r="H998" s="34"/>
    </row>
    <row r="999" spans="6:8" s="28" customFormat="1">
      <c r="F999" s="33"/>
      <c r="H999" s="34"/>
    </row>
    <row r="1000" spans="6:8" s="28" customFormat="1">
      <c r="F1000" s="33"/>
      <c r="H1000" s="34"/>
    </row>
    <row r="1001" spans="6:8" s="28" customFormat="1">
      <c r="F1001" s="33"/>
      <c r="H1001" s="34"/>
    </row>
    <row r="1002" spans="6:8" s="28" customFormat="1">
      <c r="F1002" s="33"/>
      <c r="H1002" s="34"/>
    </row>
    <row r="1003" spans="6:8" s="28" customFormat="1">
      <c r="F1003" s="33"/>
      <c r="H1003" s="34"/>
    </row>
    <row r="1004" spans="6:8" s="28" customFormat="1">
      <c r="F1004" s="33"/>
      <c r="H1004" s="34"/>
    </row>
    <row r="1005" spans="6:8" s="28" customFormat="1">
      <c r="F1005" s="33"/>
      <c r="H1005" s="34"/>
    </row>
    <row r="1006" spans="6:8" s="28" customFormat="1">
      <c r="F1006" s="33"/>
      <c r="H1006" s="34"/>
    </row>
    <row r="1007" spans="6:8" s="28" customFormat="1">
      <c r="F1007" s="33"/>
      <c r="H1007" s="34"/>
    </row>
    <row r="1008" spans="6:8" s="28" customFormat="1">
      <c r="F1008" s="33"/>
      <c r="H1008" s="34"/>
    </row>
    <row r="1009" spans="6:8" s="28" customFormat="1">
      <c r="F1009" s="33"/>
      <c r="H1009" s="34"/>
    </row>
    <row r="1010" spans="6:8" s="28" customFormat="1">
      <c r="F1010" s="33"/>
      <c r="H1010" s="34"/>
    </row>
    <row r="1011" spans="6:8" s="28" customFormat="1">
      <c r="F1011" s="33"/>
      <c r="H1011" s="34"/>
    </row>
    <row r="1012" spans="6:8" s="28" customFormat="1">
      <c r="F1012" s="33"/>
      <c r="H1012" s="34"/>
    </row>
    <row r="1013" spans="6:8" s="28" customFormat="1">
      <c r="F1013" s="33"/>
      <c r="H1013" s="34"/>
    </row>
    <row r="1014" spans="6:8" s="28" customFormat="1">
      <c r="F1014" s="33"/>
      <c r="H1014" s="34"/>
    </row>
    <row r="1015" spans="6:8" s="28" customFormat="1">
      <c r="F1015" s="33"/>
      <c r="H1015" s="34"/>
    </row>
    <row r="1016" spans="6:8" s="28" customFormat="1">
      <c r="F1016" s="33"/>
      <c r="H1016" s="34"/>
    </row>
    <row r="1017" spans="6:8" s="28" customFormat="1">
      <c r="F1017" s="33"/>
      <c r="H1017" s="34"/>
    </row>
    <row r="1018" spans="6:8" s="28" customFormat="1">
      <c r="F1018" s="33"/>
      <c r="H1018" s="34"/>
    </row>
    <row r="1019" spans="6:8" s="28" customFormat="1">
      <c r="F1019" s="33"/>
      <c r="H1019" s="34"/>
    </row>
    <row r="1020" spans="6:8" s="28" customFormat="1">
      <c r="F1020" s="33"/>
      <c r="H1020" s="34"/>
    </row>
    <row r="1021" spans="6:8" s="28" customFormat="1">
      <c r="F1021" s="33"/>
      <c r="H1021" s="34"/>
    </row>
    <row r="1022" spans="6:8" s="28" customFormat="1">
      <c r="F1022" s="33"/>
      <c r="H1022" s="34"/>
    </row>
    <row r="1023" spans="6:8" s="28" customFormat="1">
      <c r="F1023" s="33"/>
      <c r="H1023" s="34"/>
    </row>
    <row r="1024" spans="6:8" s="28" customFormat="1">
      <c r="F1024" s="33"/>
      <c r="H1024" s="34"/>
    </row>
    <row r="1025" spans="6:8" s="28" customFormat="1">
      <c r="F1025" s="33"/>
      <c r="H1025" s="34"/>
    </row>
    <row r="1026" spans="6:8" s="28" customFormat="1">
      <c r="F1026" s="33"/>
      <c r="H1026" s="34"/>
    </row>
    <row r="1027" spans="6:8" s="28" customFormat="1">
      <c r="F1027" s="33"/>
      <c r="H1027" s="34"/>
    </row>
    <row r="1028" spans="6:8" s="28" customFormat="1">
      <c r="F1028" s="33"/>
      <c r="H1028" s="34"/>
    </row>
    <row r="1029" spans="6:8" s="28" customFormat="1">
      <c r="F1029" s="33"/>
      <c r="H1029" s="34"/>
    </row>
    <row r="1030" spans="6:8" s="28" customFormat="1">
      <c r="F1030" s="33"/>
      <c r="H1030" s="34"/>
    </row>
    <row r="1031" spans="6:8" s="28" customFormat="1">
      <c r="F1031" s="33"/>
      <c r="H1031" s="34"/>
    </row>
    <row r="1032" spans="6:8" s="28" customFormat="1">
      <c r="F1032" s="33"/>
      <c r="H1032" s="34"/>
    </row>
    <row r="1033" spans="6:8" s="28" customFormat="1">
      <c r="F1033" s="33"/>
      <c r="H1033" s="34"/>
    </row>
    <row r="1034" spans="6:8" s="28" customFormat="1">
      <c r="F1034" s="33"/>
      <c r="H1034" s="34"/>
    </row>
    <row r="1035" spans="6:8" s="28" customFormat="1">
      <c r="F1035" s="33"/>
      <c r="H1035" s="34"/>
    </row>
    <row r="1036" spans="6:8" s="28" customFormat="1">
      <c r="F1036" s="33"/>
      <c r="H1036" s="34"/>
    </row>
    <row r="1037" spans="6:8" s="28" customFormat="1">
      <c r="F1037" s="33"/>
      <c r="H1037" s="34"/>
    </row>
    <row r="1038" spans="6:8" s="28" customFormat="1">
      <c r="F1038" s="33"/>
      <c r="H1038" s="34"/>
    </row>
    <row r="1039" spans="6:8" s="28" customFormat="1">
      <c r="F1039" s="33"/>
      <c r="H1039" s="34"/>
    </row>
    <row r="1040" spans="6:8" s="28" customFormat="1">
      <c r="F1040" s="33"/>
      <c r="H1040" s="34"/>
    </row>
    <row r="1041" spans="6:8" s="28" customFormat="1">
      <c r="F1041" s="33"/>
      <c r="H1041" s="34"/>
    </row>
    <row r="1042" spans="6:8" s="28" customFormat="1">
      <c r="F1042" s="33"/>
      <c r="H1042" s="34"/>
    </row>
    <row r="1043" spans="6:8" s="28" customFormat="1">
      <c r="F1043" s="33"/>
      <c r="H1043" s="34"/>
    </row>
    <row r="1044" spans="6:8" s="28" customFormat="1">
      <c r="F1044" s="33"/>
      <c r="H1044" s="34"/>
    </row>
    <row r="1045" spans="6:8" s="28" customFormat="1">
      <c r="F1045" s="33"/>
      <c r="H1045" s="34"/>
    </row>
    <row r="1046" spans="6:8" s="28" customFormat="1">
      <c r="F1046" s="33"/>
      <c r="H1046" s="34"/>
    </row>
    <row r="1047" spans="6:8" s="28" customFormat="1">
      <c r="F1047" s="33"/>
      <c r="H1047" s="34"/>
    </row>
    <row r="1048" spans="6:8" s="28" customFormat="1">
      <c r="F1048" s="33"/>
      <c r="H1048" s="34"/>
    </row>
    <row r="1049" spans="6:8" s="28" customFormat="1">
      <c r="F1049" s="33"/>
      <c r="H1049" s="34"/>
    </row>
    <row r="1050" spans="6:8" s="28" customFormat="1">
      <c r="F1050" s="33"/>
      <c r="H1050" s="34"/>
    </row>
    <row r="1051" spans="6:8" s="28" customFormat="1">
      <c r="F1051" s="33"/>
      <c r="H1051" s="34"/>
    </row>
    <row r="1052" spans="6:8" s="28" customFormat="1">
      <c r="F1052" s="33"/>
      <c r="H1052" s="34"/>
    </row>
    <row r="1053" spans="6:8" s="28" customFormat="1">
      <c r="F1053" s="33"/>
      <c r="H1053" s="34"/>
    </row>
    <row r="1054" spans="6:8" s="28" customFormat="1">
      <c r="F1054" s="33"/>
      <c r="H1054" s="34"/>
    </row>
    <row r="1055" spans="6:8" s="28" customFormat="1">
      <c r="F1055" s="33"/>
      <c r="H1055" s="34"/>
    </row>
    <row r="1056" spans="6:8" s="28" customFormat="1">
      <c r="F1056" s="33"/>
      <c r="H1056" s="34"/>
    </row>
    <row r="1057" spans="6:8" s="28" customFormat="1">
      <c r="F1057" s="33"/>
      <c r="H1057" s="34"/>
    </row>
    <row r="1058" spans="6:8" s="28" customFormat="1">
      <c r="F1058" s="33"/>
      <c r="H1058" s="34"/>
    </row>
    <row r="1059" spans="6:8" s="28" customFormat="1">
      <c r="F1059" s="33"/>
      <c r="H1059" s="34"/>
    </row>
    <row r="1060" spans="6:8" s="28" customFormat="1">
      <c r="F1060" s="33"/>
      <c r="H1060" s="34"/>
    </row>
    <row r="1061" spans="6:8" s="28" customFormat="1">
      <c r="F1061" s="33"/>
      <c r="H1061" s="34"/>
    </row>
    <row r="1062" spans="6:8" s="28" customFormat="1">
      <c r="F1062" s="33"/>
      <c r="H1062" s="34"/>
    </row>
    <row r="1063" spans="6:8" s="28" customFormat="1">
      <c r="F1063" s="33"/>
      <c r="H1063" s="34"/>
    </row>
    <row r="1064" spans="6:8" s="28" customFormat="1">
      <c r="F1064" s="33"/>
      <c r="H1064" s="34"/>
    </row>
    <row r="1065" spans="6:8" s="28" customFormat="1">
      <c r="F1065" s="33"/>
      <c r="H1065" s="34"/>
    </row>
    <row r="1066" spans="6:8" s="28" customFormat="1">
      <c r="F1066" s="33"/>
      <c r="H1066" s="34"/>
    </row>
    <row r="1067" spans="6:8" s="28" customFormat="1">
      <c r="F1067" s="33"/>
      <c r="H1067" s="34"/>
    </row>
    <row r="1068" spans="6:8" s="28" customFormat="1">
      <c r="F1068" s="33"/>
      <c r="H1068" s="34"/>
    </row>
    <row r="1069" spans="6:8" s="28" customFormat="1">
      <c r="F1069" s="33"/>
      <c r="H1069" s="34"/>
    </row>
    <row r="1070" spans="6:8" s="28" customFormat="1">
      <c r="F1070" s="33"/>
      <c r="H1070" s="34"/>
    </row>
    <row r="1071" spans="6:8" s="28" customFormat="1">
      <c r="F1071" s="33"/>
      <c r="H1071" s="34"/>
    </row>
    <row r="1072" spans="6:8" s="28" customFormat="1">
      <c r="F1072" s="33"/>
      <c r="H1072" s="34"/>
    </row>
    <row r="1073" spans="6:8" s="28" customFormat="1">
      <c r="F1073" s="33"/>
      <c r="H1073" s="34"/>
    </row>
    <row r="1074" spans="6:8" s="28" customFormat="1">
      <c r="F1074" s="33"/>
      <c r="H1074" s="34"/>
    </row>
    <row r="1075" spans="6:8" s="28" customFormat="1">
      <c r="F1075" s="33"/>
      <c r="H1075" s="34"/>
    </row>
    <row r="1076" spans="6:8" s="28" customFormat="1">
      <c r="F1076" s="33"/>
      <c r="H1076" s="34"/>
    </row>
    <row r="1077" spans="6:8" s="28" customFormat="1">
      <c r="F1077" s="33"/>
      <c r="H1077" s="34"/>
    </row>
    <row r="1078" spans="6:8" s="28" customFormat="1">
      <c r="F1078" s="33"/>
      <c r="H1078" s="34"/>
    </row>
    <row r="1079" spans="6:8" s="28" customFormat="1">
      <c r="F1079" s="33"/>
      <c r="H1079" s="34"/>
    </row>
    <row r="1080" spans="6:8" s="28" customFormat="1">
      <c r="F1080" s="33"/>
      <c r="H1080" s="34"/>
    </row>
    <row r="1081" spans="6:8" s="28" customFormat="1">
      <c r="F1081" s="33"/>
      <c r="H1081" s="34"/>
    </row>
    <row r="1082" spans="6:8" s="28" customFormat="1">
      <c r="F1082" s="33"/>
      <c r="H1082" s="34"/>
    </row>
    <row r="1083" spans="6:8" s="28" customFormat="1">
      <c r="F1083" s="33"/>
      <c r="H1083" s="34"/>
    </row>
    <row r="1084" spans="6:8" s="28" customFormat="1">
      <c r="F1084" s="33"/>
      <c r="H1084" s="34"/>
    </row>
    <row r="1085" spans="6:8" s="28" customFormat="1">
      <c r="F1085" s="33"/>
      <c r="H1085" s="34"/>
    </row>
    <row r="1086" spans="6:8" s="28" customFormat="1">
      <c r="F1086" s="33"/>
      <c r="H1086" s="34"/>
    </row>
    <row r="1087" spans="6:8" s="28" customFormat="1">
      <c r="F1087" s="33"/>
      <c r="H1087" s="34"/>
    </row>
    <row r="1088" spans="6:8" s="28" customFormat="1">
      <c r="F1088" s="33"/>
      <c r="H1088" s="34"/>
    </row>
    <row r="1089" spans="6:8" s="28" customFormat="1">
      <c r="F1089" s="33"/>
      <c r="H1089" s="34"/>
    </row>
    <row r="1090" spans="6:8" s="28" customFormat="1">
      <c r="F1090" s="33"/>
      <c r="H1090" s="34"/>
    </row>
    <row r="1091" spans="6:8" s="28" customFormat="1">
      <c r="F1091" s="33"/>
      <c r="H1091" s="34"/>
    </row>
    <row r="1092" spans="6:8" s="28" customFormat="1">
      <c r="F1092" s="33"/>
      <c r="H1092" s="34"/>
    </row>
    <row r="1093" spans="6:8" s="28" customFormat="1">
      <c r="F1093" s="33"/>
      <c r="H1093" s="34"/>
    </row>
    <row r="1094" spans="6:8" s="28" customFormat="1">
      <c r="F1094" s="33"/>
      <c r="H1094" s="34"/>
    </row>
    <row r="1095" spans="6:8" s="28" customFormat="1">
      <c r="F1095" s="33"/>
      <c r="H1095" s="34"/>
    </row>
    <row r="1096" spans="6:8" s="28" customFormat="1">
      <c r="F1096" s="33"/>
      <c r="H1096" s="34"/>
    </row>
    <row r="1097" spans="6:8" s="28" customFormat="1">
      <c r="F1097" s="33"/>
      <c r="H1097" s="34"/>
    </row>
    <row r="1098" spans="6:8" s="28" customFormat="1">
      <c r="F1098" s="33"/>
      <c r="H1098" s="34"/>
    </row>
    <row r="1099" spans="6:8" s="28" customFormat="1">
      <c r="F1099" s="33"/>
      <c r="H1099" s="34"/>
    </row>
    <row r="1100" spans="6:8" s="28" customFormat="1">
      <c r="F1100" s="33"/>
      <c r="H1100" s="34"/>
    </row>
    <row r="1101" spans="6:8" s="28" customFormat="1">
      <c r="F1101" s="33"/>
      <c r="H1101" s="34"/>
    </row>
    <row r="1102" spans="6:8" s="28" customFormat="1">
      <c r="F1102" s="33"/>
      <c r="H1102" s="34"/>
    </row>
    <row r="1103" spans="6:8" s="28" customFormat="1">
      <c r="F1103" s="33"/>
      <c r="H1103" s="34"/>
    </row>
    <row r="1104" spans="6:8" s="28" customFormat="1">
      <c r="F1104" s="33"/>
      <c r="H1104" s="34"/>
    </row>
    <row r="1105" spans="6:8" s="28" customFormat="1">
      <c r="F1105" s="33"/>
      <c r="H1105" s="34"/>
    </row>
    <row r="1106" spans="6:8" s="28" customFormat="1">
      <c r="F1106" s="33"/>
      <c r="H1106" s="34"/>
    </row>
    <row r="1107" spans="6:8" s="28" customFormat="1">
      <c r="F1107" s="33"/>
      <c r="H1107" s="34"/>
    </row>
    <row r="1108" spans="6:8" s="28" customFormat="1">
      <c r="F1108" s="33"/>
      <c r="H1108" s="34"/>
    </row>
    <row r="1109" spans="6:8" s="28" customFormat="1">
      <c r="F1109" s="33"/>
      <c r="H1109" s="34"/>
    </row>
    <row r="1110" spans="6:8" s="28" customFormat="1">
      <c r="F1110" s="33"/>
      <c r="H1110" s="34"/>
    </row>
    <row r="1111" spans="6:8" s="28" customFormat="1">
      <c r="F1111" s="33"/>
      <c r="H1111" s="34"/>
    </row>
    <row r="1112" spans="6:8" s="28" customFormat="1">
      <c r="F1112" s="33"/>
      <c r="H1112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696"/>
  <sheetViews>
    <sheetView zoomScaleNormal="100" workbookViewId="0"/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99" width="9.140625" style="28"/>
  </cols>
  <sheetData>
    <row r="1" spans="1:9" ht="19.5" customHeight="1">
      <c r="A1" s="25"/>
      <c r="B1" s="158" t="s">
        <v>48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5"/>
      <c r="B2" s="161" t="s">
        <v>367</v>
      </c>
      <c r="C2" s="162"/>
      <c r="D2" s="162"/>
      <c r="E2" s="162"/>
      <c r="F2" s="162"/>
      <c r="G2" s="162"/>
      <c r="H2" s="163"/>
      <c r="I2" s="1"/>
    </row>
    <row r="3" spans="1:9" s="28" customFormat="1" ht="12.95" customHeight="1">
      <c r="A3" s="25"/>
      <c r="B3" s="87"/>
      <c r="C3" s="87"/>
      <c r="D3" s="87"/>
      <c r="E3" s="87"/>
      <c r="F3" s="87"/>
      <c r="G3" s="87"/>
      <c r="H3" s="87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98" t="s">
        <v>3</v>
      </c>
      <c r="C6" s="99" t="s">
        <v>4</v>
      </c>
      <c r="D6" s="100" t="s">
        <v>363</v>
      </c>
      <c r="E6" s="100" t="s">
        <v>6</v>
      </c>
      <c r="F6" s="101" t="s">
        <v>7</v>
      </c>
      <c r="G6" s="100" t="s">
        <v>8</v>
      </c>
      <c r="H6" s="102" t="s">
        <v>9</v>
      </c>
      <c r="I6" s="35" t="s">
        <v>10</v>
      </c>
    </row>
    <row r="7" spans="1:9" ht="12.95" customHeight="1">
      <c r="A7" s="25"/>
      <c r="B7" s="93" t="s">
        <v>50</v>
      </c>
      <c r="C7" s="94" t="s">
        <v>1</v>
      </c>
      <c r="D7" s="94" t="s">
        <v>1</v>
      </c>
      <c r="E7" s="94" t="s">
        <v>1</v>
      </c>
      <c r="F7" s="95" t="s">
        <v>1</v>
      </c>
      <c r="G7" s="96"/>
      <c r="H7" s="97" t="s">
        <v>1</v>
      </c>
      <c r="I7" s="36" t="s">
        <v>1</v>
      </c>
    </row>
    <row r="8" spans="1:9" ht="12.95" customHeight="1">
      <c r="A8" s="25"/>
      <c r="B8" s="60" t="s">
        <v>51</v>
      </c>
      <c r="C8" s="9" t="s">
        <v>1</v>
      </c>
      <c r="D8" s="9" t="s">
        <v>1</v>
      </c>
      <c r="E8" s="9" t="s">
        <v>1</v>
      </c>
      <c r="F8" s="47" t="s">
        <v>1</v>
      </c>
      <c r="G8" s="48"/>
      <c r="H8" s="61" t="s">
        <v>1</v>
      </c>
      <c r="I8" s="36" t="s">
        <v>1</v>
      </c>
    </row>
    <row r="9" spans="1:9" ht="12.95" customHeight="1">
      <c r="A9" s="27"/>
      <c r="B9" s="62" t="s">
        <v>52</v>
      </c>
      <c r="C9" s="9" t="s">
        <v>53</v>
      </c>
      <c r="D9" s="9" t="s">
        <v>54</v>
      </c>
      <c r="E9" s="49">
        <v>328000</v>
      </c>
      <c r="F9" s="50">
        <v>2675.66</v>
      </c>
      <c r="G9" s="51">
        <v>2675.66</v>
      </c>
      <c r="H9" s="63">
        <v>3.8589708265871846E-2</v>
      </c>
      <c r="I9" s="2">
        <v>3.8600000000000002E-2</v>
      </c>
    </row>
    <row r="10" spans="1:9" ht="12.95" customHeight="1">
      <c r="A10" s="27"/>
      <c r="B10" s="62" t="s">
        <v>55</v>
      </c>
      <c r="C10" s="9" t="s">
        <v>56</v>
      </c>
      <c r="D10" s="9" t="s">
        <v>57</v>
      </c>
      <c r="E10" s="49">
        <v>171234</v>
      </c>
      <c r="F10" s="50">
        <v>2598.3047160000001</v>
      </c>
      <c r="G10" s="51">
        <v>2598.3000000000002</v>
      </c>
      <c r="H10" s="63">
        <v>3.7474051626992591E-2</v>
      </c>
      <c r="I10" s="2">
        <v>3.7499999999999999E-2</v>
      </c>
    </row>
    <row r="11" spans="1:9" ht="12.95" customHeight="1">
      <c r="A11" s="27"/>
      <c r="B11" s="62" t="s">
        <v>58</v>
      </c>
      <c r="C11" s="9" t="s">
        <v>59</v>
      </c>
      <c r="D11" s="9" t="s">
        <v>54</v>
      </c>
      <c r="E11" s="49">
        <v>797500</v>
      </c>
      <c r="F11" s="50">
        <v>2516.1125000000002</v>
      </c>
      <c r="G11" s="51">
        <v>2516.11</v>
      </c>
      <c r="H11" s="63">
        <v>3.6288634332879911E-2</v>
      </c>
      <c r="I11" s="2">
        <v>3.6299999999999999E-2</v>
      </c>
    </row>
    <row r="12" spans="1:9" ht="12.95" customHeight="1">
      <c r="A12" s="27"/>
      <c r="B12" s="62" t="s">
        <v>60</v>
      </c>
      <c r="C12" s="9" t="s">
        <v>61</v>
      </c>
      <c r="D12" s="9" t="s">
        <v>54</v>
      </c>
      <c r="E12" s="49">
        <v>240377</v>
      </c>
      <c r="F12" s="50">
        <v>2248.8470235</v>
      </c>
      <c r="G12" s="51">
        <v>2248.85</v>
      </c>
      <c r="H12" s="63">
        <v>3.2433997806686668E-2</v>
      </c>
      <c r="I12" s="2">
        <v>3.2399999999999998E-2</v>
      </c>
    </row>
    <row r="13" spans="1:9" ht="12.95" customHeight="1">
      <c r="A13" s="27"/>
      <c r="B13" s="62" t="s">
        <v>62</v>
      </c>
      <c r="C13" s="9" t="s">
        <v>63</v>
      </c>
      <c r="D13" s="9" t="s">
        <v>64</v>
      </c>
      <c r="E13" s="49">
        <v>341588</v>
      </c>
      <c r="F13" s="50">
        <v>2219.6388240000001</v>
      </c>
      <c r="G13" s="51">
        <v>2219.64</v>
      </c>
      <c r="H13" s="63">
        <v>3.2012742528483761E-2</v>
      </c>
      <c r="I13" s="2">
        <v>3.2000000000000001E-2</v>
      </c>
    </row>
    <row r="14" spans="1:9" ht="12.95" customHeight="1">
      <c r="A14" s="27"/>
      <c r="B14" s="62" t="s">
        <v>65</v>
      </c>
      <c r="C14" s="9" t="s">
        <v>66</v>
      </c>
      <c r="D14" s="9" t="s">
        <v>67</v>
      </c>
      <c r="E14" s="49">
        <v>499984</v>
      </c>
      <c r="F14" s="50">
        <v>2054.434256</v>
      </c>
      <c r="G14" s="51">
        <v>2054.4299999999998</v>
      </c>
      <c r="H14" s="63">
        <v>2.9630079528211159E-2</v>
      </c>
      <c r="I14" s="2">
        <v>2.9600000000000001E-2</v>
      </c>
    </row>
    <row r="15" spans="1:9" ht="12.95" customHeight="1">
      <c r="A15" s="27"/>
      <c r="B15" s="62" t="s">
        <v>68</v>
      </c>
      <c r="C15" s="9" t="s">
        <v>69</v>
      </c>
      <c r="D15" s="9" t="s">
        <v>70</v>
      </c>
      <c r="E15" s="49">
        <v>47573</v>
      </c>
      <c r="F15" s="50">
        <v>1985.3402225</v>
      </c>
      <c r="G15" s="51">
        <v>1985.34</v>
      </c>
      <c r="H15" s="63">
        <v>2.8633570780583519E-2</v>
      </c>
      <c r="I15" s="2">
        <v>2.86E-2</v>
      </c>
    </row>
    <row r="16" spans="1:9" ht="12.95" customHeight="1">
      <c r="A16" s="27"/>
      <c r="B16" s="62" t="s">
        <v>71</v>
      </c>
      <c r="C16" s="9" t="s">
        <v>72</v>
      </c>
      <c r="D16" s="9" t="s">
        <v>73</v>
      </c>
      <c r="E16" s="49">
        <v>91300</v>
      </c>
      <c r="F16" s="50">
        <v>1925.47135</v>
      </c>
      <c r="G16" s="51">
        <v>1925.47</v>
      </c>
      <c r="H16" s="63">
        <v>2.7770111924083934E-2</v>
      </c>
      <c r="I16" s="2">
        <v>2.7799999999999998E-2</v>
      </c>
    </row>
    <row r="17" spans="1:9" ht="12.95" customHeight="1">
      <c r="A17" s="27"/>
      <c r="B17" s="62" t="s">
        <v>74</v>
      </c>
      <c r="C17" s="9" t="s">
        <v>75</v>
      </c>
      <c r="D17" s="9" t="s">
        <v>73</v>
      </c>
      <c r="E17" s="49">
        <v>268786</v>
      </c>
      <c r="F17" s="50">
        <v>1709.075781</v>
      </c>
      <c r="G17" s="51">
        <v>1709.08</v>
      </c>
      <c r="H17" s="63">
        <v>2.4649146675234178E-2</v>
      </c>
      <c r="I17" s="2">
        <v>2.46E-2</v>
      </c>
    </row>
    <row r="18" spans="1:9" ht="12.95" customHeight="1">
      <c r="A18" s="27"/>
      <c r="B18" s="62" t="s">
        <v>76</v>
      </c>
      <c r="C18" s="9" t="s">
        <v>77</v>
      </c>
      <c r="D18" s="9" t="s">
        <v>54</v>
      </c>
      <c r="E18" s="49">
        <v>305187</v>
      </c>
      <c r="F18" s="50">
        <v>1659.9120929999999</v>
      </c>
      <c r="G18" s="51">
        <v>1659.91</v>
      </c>
      <c r="H18" s="63">
        <v>2.3940083349851152E-2</v>
      </c>
      <c r="I18" s="2">
        <v>2.3900000000000001E-2</v>
      </c>
    </row>
    <row r="19" spans="1:9" ht="12.95" customHeight="1">
      <c r="A19" s="27"/>
      <c r="B19" s="62" t="s">
        <v>78</v>
      </c>
      <c r="C19" s="9" t="s">
        <v>79</v>
      </c>
      <c r="D19" s="9" t="s">
        <v>73</v>
      </c>
      <c r="E19" s="49">
        <v>84017</v>
      </c>
      <c r="F19" s="50">
        <v>1500.0815265000001</v>
      </c>
      <c r="G19" s="51">
        <v>1500.08</v>
      </c>
      <c r="H19" s="63">
        <v>2.1634926890060285E-2</v>
      </c>
      <c r="I19" s="2">
        <v>2.1600000000000001E-2</v>
      </c>
    </row>
    <row r="20" spans="1:9" ht="12.95" customHeight="1">
      <c r="A20" s="27"/>
      <c r="B20" s="62" t="s">
        <v>80</v>
      </c>
      <c r="C20" s="9" t="s">
        <v>81</v>
      </c>
      <c r="D20" s="9" t="s">
        <v>82</v>
      </c>
      <c r="E20" s="49">
        <v>536000</v>
      </c>
      <c r="F20" s="50">
        <v>1499.9960000000001</v>
      </c>
      <c r="G20" s="51">
        <v>1500</v>
      </c>
      <c r="H20" s="63">
        <v>2.1633693384052795E-2</v>
      </c>
      <c r="I20" s="2">
        <v>2.1600000000000001E-2</v>
      </c>
    </row>
    <row r="21" spans="1:9" ht="12.95" customHeight="1">
      <c r="A21" s="27"/>
      <c r="B21" s="62" t="s">
        <v>83</v>
      </c>
      <c r="C21" s="9" t="s">
        <v>84</v>
      </c>
      <c r="D21" s="9" t="s">
        <v>85</v>
      </c>
      <c r="E21" s="49">
        <v>220487</v>
      </c>
      <c r="F21" s="50">
        <v>1468.6639070000001</v>
      </c>
      <c r="G21" s="51">
        <v>1468.66</v>
      </c>
      <c r="H21" s="63">
        <v>2.1181806250325355E-2</v>
      </c>
      <c r="I21" s="2">
        <v>2.12E-2</v>
      </c>
    </row>
    <row r="22" spans="1:9" ht="12.95" customHeight="1">
      <c r="A22" s="27"/>
      <c r="B22" s="62" t="s">
        <v>86</v>
      </c>
      <c r="C22" s="9" t="s">
        <v>87</v>
      </c>
      <c r="D22" s="9" t="s">
        <v>73</v>
      </c>
      <c r="E22" s="49">
        <v>186310</v>
      </c>
      <c r="F22" s="50">
        <v>1464.6760650000001</v>
      </c>
      <c r="G22" s="51">
        <v>1464.68</v>
      </c>
      <c r="H22" s="63">
        <v>2.1124291596224913E-2</v>
      </c>
      <c r="I22" s="2">
        <v>2.1100000000000001E-2</v>
      </c>
    </row>
    <row r="23" spans="1:9" ht="12.95" customHeight="1">
      <c r="A23" s="27"/>
      <c r="B23" s="62" t="s">
        <v>88</v>
      </c>
      <c r="C23" s="9" t="s">
        <v>89</v>
      </c>
      <c r="D23" s="9" t="s">
        <v>90</v>
      </c>
      <c r="E23" s="49">
        <v>821533</v>
      </c>
      <c r="F23" s="50">
        <v>1460.2749074999999</v>
      </c>
      <c r="G23" s="51">
        <v>1460.27</v>
      </c>
      <c r="H23" s="63">
        <v>2.1060815899029771E-2</v>
      </c>
      <c r="I23" s="2">
        <v>2.1100000000000001E-2</v>
      </c>
    </row>
    <row r="24" spans="1:9" ht="12.95" customHeight="1">
      <c r="A24" s="27"/>
      <c r="B24" s="62" t="s">
        <v>91</v>
      </c>
      <c r="C24" s="9" t="s">
        <v>92</v>
      </c>
      <c r="D24" s="9" t="s">
        <v>93</v>
      </c>
      <c r="E24" s="49">
        <v>239541</v>
      </c>
      <c r="F24" s="50">
        <v>1436.8866885</v>
      </c>
      <c r="G24" s="51">
        <v>1436.89</v>
      </c>
      <c r="H24" s="63">
        <v>2.0723499293755436E-2</v>
      </c>
      <c r="I24" s="2">
        <v>2.07E-2</v>
      </c>
    </row>
    <row r="25" spans="1:9" ht="12.95" customHeight="1">
      <c r="A25" s="27"/>
      <c r="B25" s="62" t="s">
        <v>94</v>
      </c>
      <c r="C25" s="9" t="s">
        <v>95</v>
      </c>
      <c r="D25" s="9" t="s">
        <v>96</v>
      </c>
      <c r="E25" s="49">
        <v>312739</v>
      </c>
      <c r="F25" s="50">
        <v>1409.2019339999999</v>
      </c>
      <c r="G25" s="51">
        <v>1409.2</v>
      </c>
      <c r="H25" s="63">
        <v>2.0324215902155874E-2</v>
      </c>
      <c r="I25" s="2">
        <v>2.0299999999999999E-2</v>
      </c>
    </row>
    <row r="26" spans="1:9" ht="12.95" customHeight="1">
      <c r="A26" s="27"/>
      <c r="B26" s="62" t="s">
        <v>97</v>
      </c>
      <c r="C26" s="9" t="s">
        <v>98</v>
      </c>
      <c r="D26" s="9" t="s">
        <v>99</v>
      </c>
      <c r="E26" s="49">
        <v>168600</v>
      </c>
      <c r="F26" s="50">
        <v>1367.8517999999999</v>
      </c>
      <c r="G26" s="51">
        <v>1367.85</v>
      </c>
      <c r="H26" s="63">
        <v>1.9727843564932644E-2</v>
      </c>
      <c r="I26" s="2">
        <v>1.9699999999999999E-2</v>
      </c>
    </row>
    <row r="27" spans="1:9" ht="12.95" customHeight="1">
      <c r="A27" s="27"/>
      <c r="B27" s="62" t="s">
        <v>100</v>
      </c>
      <c r="C27" s="9" t="s">
        <v>101</v>
      </c>
      <c r="D27" s="9" t="s">
        <v>54</v>
      </c>
      <c r="E27" s="49">
        <v>1027595</v>
      </c>
      <c r="F27" s="50">
        <v>1356.9391975000001</v>
      </c>
      <c r="G27" s="51">
        <v>1356.94</v>
      </c>
      <c r="H27" s="63">
        <v>1.9570456547562568E-2</v>
      </c>
      <c r="I27" s="2">
        <v>1.9599999999999999E-2</v>
      </c>
    </row>
    <row r="28" spans="1:9" ht="12.95" customHeight="1">
      <c r="A28" s="27"/>
      <c r="B28" s="62" t="s">
        <v>102</v>
      </c>
      <c r="C28" s="9" t="s">
        <v>103</v>
      </c>
      <c r="D28" s="9" t="s">
        <v>90</v>
      </c>
      <c r="E28" s="49">
        <v>162678</v>
      </c>
      <c r="F28" s="50">
        <v>1355.189079</v>
      </c>
      <c r="G28" s="51">
        <v>1355.19</v>
      </c>
      <c r="H28" s="63">
        <v>1.9545215462243169E-2</v>
      </c>
      <c r="I28" s="2">
        <v>1.95E-2</v>
      </c>
    </row>
    <row r="29" spans="1:9" ht="12.95" customHeight="1">
      <c r="A29" s="27"/>
      <c r="B29" s="62" t="s">
        <v>104</v>
      </c>
      <c r="C29" s="9" t="s">
        <v>105</v>
      </c>
      <c r="D29" s="9" t="s">
        <v>93</v>
      </c>
      <c r="E29" s="49">
        <v>303000</v>
      </c>
      <c r="F29" s="50">
        <v>1343.9565</v>
      </c>
      <c r="G29" s="51">
        <v>1343.96</v>
      </c>
      <c r="H29" s="63">
        <v>1.9383213583572725E-2</v>
      </c>
      <c r="I29" s="2">
        <v>1.9400000000000001E-2</v>
      </c>
    </row>
    <row r="30" spans="1:9" ht="12.95" customHeight="1">
      <c r="A30" s="27"/>
      <c r="B30" s="62" t="s">
        <v>106</v>
      </c>
      <c r="C30" s="9" t="s">
        <v>107</v>
      </c>
      <c r="D30" s="9" t="s">
        <v>85</v>
      </c>
      <c r="E30" s="49">
        <v>1281610</v>
      </c>
      <c r="F30" s="50">
        <v>1289.9404649999999</v>
      </c>
      <c r="G30" s="51">
        <v>1289.94</v>
      </c>
      <c r="H30" s="63">
        <v>1.8604167280107737E-2</v>
      </c>
      <c r="I30" s="2">
        <v>1.8599999999999998E-2</v>
      </c>
    </row>
    <row r="31" spans="1:9" ht="12.95" customHeight="1">
      <c r="A31" s="27"/>
      <c r="B31" s="62" t="s">
        <v>108</v>
      </c>
      <c r="C31" s="9" t="s">
        <v>109</v>
      </c>
      <c r="D31" s="9" t="s">
        <v>93</v>
      </c>
      <c r="E31" s="49">
        <v>239084</v>
      </c>
      <c r="F31" s="50">
        <v>1252.561076</v>
      </c>
      <c r="G31" s="51">
        <v>1252.56</v>
      </c>
      <c r="H31" s="63">
        <v>1.8065063015490209E-2</v>
      </c>
      <c r="I31" s="2">
        <v>1.8100000000000002E-2</v>
      </c>
    </row>
    <row r="32" spans="1:9" ht="12.95" customHeight="1">
      <c r="A32" s="27"/>
      <c r="B32" s="62" t="s">
        <v>110</v>
      </c>
      <c r="C32" s="9" t="s">
        <v>111</v>
      </c>
      <c r="D32" s="9" t="s">
        <v>70</v>
      </c>
      <c r="E32" s="49">
        <v>658527</v>
      </c>
      <c r="F32" s="50">
        <v>1252.518354</v>
      </c>
      <c r="G32" s="51">
        <v>1252.52</v>
      </c>
      <c r="H32" s="63">
        <v>1.806444685741462E-2</v>
      </c>
      <c r="I32" s="2">
        <v>1.8100000000000002E-2</v>
      </c>
    </row>
    <row r="33" spans="1:9" ht="12.95" customHeight="1">
      <c r="A33" s="27"/>
      <c r="B33" s="62" t="s">
        <v>112</v>
      </c>
      <c r="C33" s="9" t="s">
        <v>113</v>
      </c>
      <c r="D33" s="9" t="s">
        <v>70</v>
      </c>
      <c r="E33" s="49">
        <v>97500</v>
      </c>
      <c r="F33" s="50">
        <v>1244.92875</v>
      </c>
      <c r="G33" s="51">
        <v>1244.93</v>
      </c>
      <c r="H33" s="63">
        <v>1.7954985788290179E-2</v>
      </c>
      <c r="I33" s="2">
        <v>1.7999999999999999E-2</v>
      </c>
    </row>
    <row r="34" spans="1:9" ht="12.95" customHeight="1">
      <c r="A34" s="27"/>
      <c r="B34" s="62" t="s">
        <v>114</v>
      </c>
      <c r="C34" s="9" t="s">
        <v>115</v>
      </c>
      <c r="D34" s="9" t="s">
        <v>116</v>
      </c>
      <c r="E34" s="49">
        <v>275400</v>
      </c>
      <c r="F34" s="50">
        <v>1216.8549</v>
      </c>
      <c r="G34" s="51">
        <v>1216.8499999999999</v>
      </c>
      <c r="H34" s="63">
        <v>1.755009066656326E-2</v>
      </c>
      <c r="I34" s="2">
        <v>1.7600000000000001E-2</v>
      </c>
    </row>
    <row r="35" spans="1:9" ht="12.95" customHeight="1">
      <c r="A35" s="27"/>
      <c r="B35" s="62" t="s">
        <v>117</v>
      </c>
      <c r="C35" s="9" t="s">
        <v>118</v>
      </c>
      <c r="D35" s="9" t="s">
        <v>57</v>
      </c>
      <c r="E35" s="49">
        <v>257500</v>
      </c>
      <c r="F35" s="50">
        <v>1204.19875</v>
      </c>
      <c r="G35" s="51">
        <v>1204.2</v>
      </c>
      <c r="H35" s="63">
        <v>1.736755733412599E-2</v>
      </c>
      <c r="I35" s="2">
        <v>1.7399999999999999E-2</v>
      </c>
    </row>
    <row r="36" spans="1:9" ht="12.95" customHeight="1">
      <c r="A36" s="27"/>
      <c r="B36" s="62" t="s">
        <v>119</v>
      </c>
      <c r="C36" s="9" t="s">
        <v>120</v>
      </c>
      <c r="D36" s="9" t="s">
        <v>99</v>
      </c>
      <c r="E36" s="49">
        <v>85166</v>
      </c>
      <c r="F36" s="50">
        <v>1193.005328</v>
      </c>
      <c r="G36" s="51">
        <v>1193.01</v>
      </c>
      <c r="H36" s="63">
        <v>1.7206120197316082E-2</v>
      </c>
      <c r="I36" s="2">
        <v>1.72E-2</v>
      </c>
    </row>
    <row r="37" spans="1:9" ht="12.95" customHeight="1">
      <c r="A37" s="27"/>
      <c r="B37" s="62" t="s">
        <v>121</v>
      </c>
      <c r="C37" s="9" t="s">
        <v>122</v>
      </c>
      <c r="D37" s="9" t="s">
        <v>99</v>
      </c>
      <c r="E37" s="49">
        <v>118123</v>
      </c>
      <c r="F37" s="50">
        <v>1182.6474760000001</v>
      </c>
      <c r="G37" s="51">
        <v>1182.6500000000001</v>
      </c>
      <c r="H37" s="63">
        <v>1.7056734069429477E-2</v>
      </c>
      <c r="I37" s="2">
        <v>1.7100000000000001E-2</v>
      </c>
    </row>
    <row r="38" spans="1:9" ht="12.95" customHeight="1">
      <c r="A38" s="27"/>
      <c r="B38" s="62" t="s">
        <v>123</v>
      </c>
      <c r="C38" s="9" t="s">
        <v>124</v>
      </c>
      <c r="D38" s="9" t="s">
        <v>125</v>
      </c>
      <c r="E38" s="49">
        <v>187000</v>
      </c>
      <c r="F38" s="50">
        <v>1177.539</v>
      </c>
      <c r="G38" s="51">
        <v>1177.54</v>
      </c>
      <c r="H38" s="63">
        <v>1.6983057070661618E-2</v>
      </c>
      <c r="I38" s="2">
        <v>1.7000000000000001E-2</v>
      </c>
    </row>
    <row r="39" spans="1:9" ht="12.95" customHeight="1">
      <c r="A39" s="27"/>
      <c r="B39" s="62" t="s">
        <v>126</v>
      </c>
      <c r="C39" s="9" t="s">
        <v>127</v>
      </c>
      <c r="D39" s="9" t="s">
        <v>73</v>
      </c>
      <c r="E39" s="49">
        <v>101019</v>
      </c>
      <c r="F39" s="50">
        <v>1170.4061340000001</v>
      </c>
      <c r="G39" s="51">
        <v>1170.4100000000001</v>
      </c>
      <c r="H39" s="63">
        <v>1.6880183305669223E-2</v>
      </c>
      <c r="I39" s="2">
        <v>1.6899999999999998E-2</v>
      </c>
    </row>
    <row r="40" spans="1:9" ht="12.95" customHeight="1">
      <c r="A40" s="27"/>
      <c r="B40" s="62" t="s">
        <v>128</v>
      </c>
      <c r="C40" s="9" t="s">
        <v>129</v>
      </c>
      <c r="D40" s="9" t="s">
        <v>99</v>
      </c>
      <c r="E40" s="49">
        <v>53890</v>
      </c>
      <c r="F40" s="50">
        <v>1163.2425949999999</v>
      </c>
      <c r="G40" s="51">
        <v>1163.24</v>
      </c>
      <c r="H40" s="63">
        <v>1.6776867159312363E-2</v>
      </c>
      <c r="I40" s="2">
        <v>1.6799999999999999E-2</v>
      </c>
    </row>
    <row r="41" spans="1:9" ht="12.95" customHeight="1">
      <c r="A41" s="27"/>
      <c r="B41" s="62" t="s">
        <v>130</v>
      </c>
      <c r="C41" s="9" t="s">
        <v>131</v>
      </c>
      <c r="D41" s="9" t="s">
        <v>93</v>
      </c>
      <c r="E41" s="49">
        <v>102380</v>
      </c>
      <c r="F41" s="50">
        <v>1158.9416000000001</v>
      </c>
      <c r="G41" s="51">
        <v>1158.94</v>
      </c>
      <c r="H41" s="63">
        <v>1.671483605584519E-2</v>
      </c>
      <c r="I41" s="2">
        <v>1.67E-2</v>
      </c>
    </row>
    <row r="42" spans="1:9" ht="12.95" customHeight="1">
      <c r="A42" s="27"/>
      <c r="B42" s="62" t="s">
        <v>132</v>
      </c>
      <c r="C42" s="9" t="s">
        <v>133</v>
      </c>
      <c r="D42" s="9" t="s">
        <v>134</v>
      </c>
      <c r="E42" s="49">
        <v>7246</v>
      </c>
      <c r="F42" s="50">
        <v>1152.704549</v>
      </c>
      <c r="G42" s="51">
        <v>1152.7</v>
      </c>
      <c r="H42" s="63">
        <v>1.6624882183331729E-2</v>
      </c>
      <c r="I42" s="2">
        <v>1.66E-2</v>
      </c>
    </row>
    <row r="43" spans="1:9" ht="12.95" customHeight="1">
      <c r="A43" s="27"/>
      <c r="B43" s="62" t="s">
        <v>135</v>
      </c>
      <c r="C43" s="9" t="s">
        <v>136</v>
      </c>
      <c r="D43" s="9" t="s">
        <v>99</v>
      </c>
      <c r="E43" s="49">
        <v>22733</v>
      </c>
      <c r="F43" s="50">
        <v>1087.3193900000001</v>
      </c>
      <c r="G43" s="51">
        <v>1087.32</v>
      </c>
      <c r="H43" s="63">
        <v>1.568186468083603E-2</v>
      </c>
      <c r="I43" s="2">
        <v>1.5699999999999999E-2</v>
      </c>
    </row>
    <row r="44" spans="1:9" ht="12.95" customHeight="1">
      <c r="A44" s="27"/>
      <c r="B44" s="62" t="s">
        <v>137</v>
      </c>
      <c r="C44" s="9" t="s">
        <v>138</v>
      </c>
      <c r="D44" s="9" t="s">
        <v>64</v>
      </c>
      <c r="E44" s="49">
        <v>208994</v>
      </c>
      <c r="F44" s="50">
        <v>1066.1828909999999</v>
      </c>
      <c r="G44" s="51">
        <v>1066.18</v>
      </c>
      <c r="H44" s="63">
        <v>1.5377023508874012E-2</v>
      </c>
      <c r="I44" s="2">
        <v>1.54E-2</v>
      </c>
    </row>
    <row r="45" spans="1:9" ht="12.95" customHeight="1">
      <c r="A45" s="27"/>
      <c r="B45" s="62" t="s">
        <v>139</v>
      </c>
      <c r="C45" s="9" t="s">
        <v>140</v>
      </c>
      <c r="D45" s="9" t="s">
        <v>57</v>
      </c>
      <c r="E45" s="49">
        <v>201803</v>
      </c>
      <c r="F45" s="50">
        <v>883.08992799999999</v>
      </c>
      <c r="G45" s="51">
        <v>883.09</v>
      </c>
      <c r="H45" s="63">
        <v>1.2736365118905158E-2</v>
      </c>
      <c r="I45" s="2">
        <v>1.2699999999999999E-2</v>
      </c>
    </row>
    <row r="46" spans="1:9" ht="12.95" customHeight="1">
      <c r="A46" s="27"/>
      <c r="B46" s="62" t="s">
        <v>141</v>
      </c>
      <c r="C46" s="9" t="s">
        <v>142</v>
      </c>
      <c r="D46" s="9" t="s">
        <v>93</v>
      </c>
      <c r="E46" s="49">
        <v>25064</v>
      </c>
      <c r="F46" s="50">
        <v>852.81513199999995</v>
      </c>
      <c r="G46" s="51">
        <v>852.82</v>
      </c>
      <c r="H46" s="63">
        <v>1.229972685191728E-2</v>
      </c>
      <c r="I46" s="2">
        <v>1.23E-2</v>
      </c>
    </row>
    <row r="47" spans="1:9" ht="12.95" customHeight="1">
      <c r="A47" s="27"/>
      <c r="B47" s="62" t="s">
        <v>143</v>
      </c>
      <c r="C47" s="9" t="s">
        <v>144</v>
      </c>
      <c r="D47" s="9" t="s">
        <v>145</v>
      </c>
      <c r="E47" s="49">
        <v>304000</v>
      </c>
      <c r="F47" s="50">
        <v>816.08799999999997</v>
      </c>
      <c r="G47" s="51">
        <v>816.09</v>
      </c>
      <c r="H47" s="63">
        <v>1.177002976434929E-2</v>
      </c>
      <c r="I47" s="2">
        <v>1.18E-2</v>
      </c>
    </row>
    <row r="48" spans="1:9" ht="12.95" customHeight="1">
      <c r="A48" s="27"/>
      <c r="B48" s="62" t="s">
        <v>146</v>
      </c>
      <c r="C48" s="9" t="s">
        <v>147</v>
      </c>
      <c r="D48" s="9" t="s">
        <v>54</v>
      </c>
      <c r="E48" s="49">
        <v>462077</v>
      </c>
      <c r="F48" s="50">
        <v>801.4725565</v>
      </c>
      <c r="G48" s="51">
        <v>801.47</v>
      </c>
      <c r="H48" s="63">
        <v>1.155923852000534E-2</v>
      </c>
      <c r="I48" s="2">
        <v>1.1599999999999999E-2</v>
      </c>
    </row>
    <row r="49" spans="1:9" ht="12.95" customHeight="1">
      <c r="A49" s="27"/>
      <c r="B49" s="62" t="s">
        <v>148</v>
      </c>
      <c r="C49" s="9" t="s">
        <v>149</v>
      </c>
      <c r="D49" s="9" t="s">
        <v>150</v>
      </c>
      <c r="E49" s="49">
        <v>606576</v>
      </c>
      <c r="F49" s="50">
        <v>787.63893599999994</v>
      </c>
      <c r="G49" s="51">
        <v>787.64</v>
      </c>
      <c r="H49" s="63">
        <v>1.1359723118438705E-2</v>
      </c>
      <c r="I49" s="2">
        <v>1.14E-2</v>
      </c>
    </row>
    <row r="50" spans="1:9" ht="12.95" customHeight="1">
      <c r="A50" s="27"/>
      <c r="B50" s="62" t="s">
        <v>151</v>
      </c>
      <c r="C50" s="9" t="s">
        <v>152</v>
      </c>
      <c r="D50" s="9" t="s">
        <v>134</v>
      </c>
      <c r="E50" s="49">
        <v>61987</v>
      </c>
      <c r="F50" s="50">
        <v>774.21762999999999</v>
      </c>
      <c r="G50" s="51">
        <v>774.22</v>
      </c>
      <c r="H50" s="63">
        <v>1.1166154323043551E-2</v>
      </c>
      <c r="I50" s="2">
        <v>1.12E-2</v>
      </c>
    </row>
    <row r="51" spans="1:9" ht="12.95" customHeight="1">
      <c r="A51" s="27"/>
      <c r="B51" s="62" t="s">
        <v>153</v>
      </c>
      <c r="C51" s="9" t="s">
        <v>154</v>
      </c>
      <c r="D51" s="9" t="s">
        <v>150</v>
      </c>
      <c r="E51" s="49">
        <v>69301</v>
      </c>
      <c r="F51" s="50">
        <v>740.58513649999998</v>
      </c>
      <c r="G51" s="51">
        <v>740.59</v>
      </c>
      <c r="H51" s="63">
        <v>1.0681089661457688E-2</v>
      </c>
      <c r="I51" s="2">
        <v>1.0699999999999999E-2</v>
      </c>
    </row>
    <row r="52" spans="1:9" ht="12.95" customHeight="1">
      <c r="A52" s="27"/>
      <c r="B52" s="62" t="s">
        <v>155</v>
      </c>
      <c r="C52" s="9" t="s">
        <v>156</v>
      </c>
      <c r="D52" s="9" t="s">
        <v>99</v>
      </c>
      <c r="E52" s="49">
        <v>35925</v>
      </c>
      <c r="F52" s="50">
        <v>723.63727500000005</v>
      </c>
      <c r="G52" s="51">
        <v>723.64</v>
      </c>
      <c r="H52" s="63">
        <v>1.043665911683864E-2</v>
      </c>
      <c r="I52" s="2">
        <v>1.04E-2</v>
      </c>
    </row>
    <row r="53" spans="1:9" ht="12.95" customHeight="1">
      <c r="A53" s="27"/>
      <c r="B53" s="62" t="s">
        <v>157</v>
      </c>
      <c r="C53" s="9" t="s">
        <v>158</v>
      </c>
      <c r="D53" s="9" t="s">
        <v>116</v>
      </c>
      <c r="E53" s="49">
        <v>560874</v>
      </c>
      <c r="F53" s="50">
        <v>698.00769300000002</v>
      </c>
      <c r="G53" s="51">
        <v>698.01</v>
      </c>
      <c r="H53" s="63">
        <v>1.0067016452091909E-2</v>
      </c>
      <c r="I53" s="2">
        <v>1.01E-2</v>
      </c>
    </row>
    <row r="54" spans="1:9" ht="12.95" customHeight="1">
      <c r="A54" s="27"/>
      <c r="B54" s="62" t="s">
        <v>159</v>
      </c>
      <c r="C54" s="9" t="s">
        <v>160</v>
      </c>
      <c r="D54" s="9" t="s">
        <v>150</v>
      </c>
      <c r="E54" s="49">
        <v>418027</v>
      </c>
      <c r="F54" s="50">
        <v>693.92481999999995</v>
      </c>
      <c r="G54" s="51">
        <v>693.92</v>
      </c>
      <c r="H54" s="63">
        <v>1.0008131213325921E-2</v>
      </c>
      <c r="I54" s="2">
        <v>0.01</v>
      </c>
    </row>
    <row r="55" spans="1:9" ht="12.95" customHeight="1">
      <c r="A55" s="27"/>
      <c r="B55" s="62" t="s">
        <v>161</v>
      </c>
      <c r="C55" s="9" t="s">
        <v>162</v>
      </c>
      <c r="D55" s="9" t="s">
        <v>125</v>
      </c>
      <c r="E55" s="49">
        <v>81020</v>
      </c>
      <c r="F55" s="50">
        <v>680.48698000000002</v>
      </c>
      <c r="G55" s="51">
        <v>680.49</v>
      </c>
      <c r="H55" s="63">
        <v>9.8143239563039282E-3</v>
      </c>
      <c r="I55" s="2">
        <v>9.7999999999999997E-3</v>
      </c>
    </row>
    <row r="56" spans="1:9" ht="12.95" customHeight="1">
      <c r="A56" s="27"/>
      <c r="B56" s="62" t="s">
        <v>163</v>
      </c>
      <c r="C56" s="9" t="s">
        <v>164</v>
      </c>
      <c r="D56" s="9" t="s">
        <v>165</v>
      </c>
      <c r="E56" s="49">
        <v>393000</v>
      </c>
      <c r="F56" s="50">
        <v>674.19150000000002</v>
      </c>
      <c r="G56" s="51">
        <v>674.19</v>
      </c>
      <c r="H56" s="63">
        <v>9.7235273914961316E-3</v>
      </c>
      <c r="I56" s="2">
        <v>9.7000000000000003E-3</v>
      </c>
    </row>
    <row r="57" spans="1:9" ht="12.95" customHeight="1">
      <c r="A57" s="27"/>
      <c r="B57" s="62" t="s">
        <v>166</v>
      </c>
      <c r="C57" s="9" t="s">
        <v>167</v>
      </c>
      <c r="D57" s="9" t="s">
        <v>99</v>
      </c>
      <c r="E57" s="49">
        <v>153542</v>
      </c>
      <c r="F57" s="50">
        <v>647.17953</v>
      </c>
      <c r="G57" s="51">
        <v>647.17999999999995</v>
      </c>
      <c r="H57" s="63">
        <v>9.333947234829559E-3</v>
      </c>
      <c r="I57" s="2">
        <v>9.2999999999999992E-3</v>
      </c>
    </row>
    <row r="58" spans="1:9" ht="12.95" customHeight="1">
      <c r="A58" s="27"/>
      <c r="B58" s="62" t="s">
        <v>168</v>
      </c>
      <c r="C58" s="9" t="s">
        <v>169</v>
      </c>
      <c r="D58" s="9" t="s">
        <v>57</v>
      </c>
      <c r="E58" s="49">
        <v>15720</v>
      </c>
      <c r="F58" s="50">
        <v>645.84834000000001</v>
      </c>
      <c r="G58" s="51">
        <v>645.85</v>
      </c>
      <c r="H58" s="63">
        <v>9.314748146101377E-3</v>
      </c>
      <c r="I58" s="2">
        <v>9.2999999999999992E-3</v>
      </c>
    </row>
    <row r="59" spans="1:9" ht="12.95" customHeight="1">
      <c r="A59" s="27"/>
      <c r="B59" s="62" t="s">
        <v>170</v>
      </c>
      <c r="C59" s="9" t="s">
        <v>171</v>
      </c>
      <c r="D59" s="9" t="s">
        <v>125</v>
      </c>
      <c r="E59" s="49">
        <v>34999</v>
      </c>
      <c r="F59" s="50">
        <v>554.92664449999995</v>
      </c>
      <c r="G59" s="51">
        <v>554.92999999999995</v>
      </c>
      <c r="H59" s="63">
        <v>8.0034299276493196E-3</v>
      </c>
      <c r="I59" s="2">
        <v>8.0000000000000002E-3</v>
      </c>
    </row>
    <row r="60" spans="1:9" ht="12.95" customHeight="1">
      <c r="A60" s="27"/>
      <c r="B60" s="62" t="s">
        <v>172</v>
      </c>
      <c r="C60" s="9" t="s">
        <v>173</v>
      </c>
      <c r="D60" s="9" t="s">
        <v>174</v>
      </c>
      <c r="E60" s="49">
        <v>89024</v>
      </c>
      <c r="F60" s="50">
        <v>537.57142399999998</v>
      </c>
      <c r="G60" s="51">
        <v>537.57000000000005</v>
      </c>
      <c r="H60" s="63">
        <v>7.7531242475610872E-3</v>
      </c>
      <c r="I60" s="2">
        <v>7.7999999999999996E-3</v>
      </c>
    </row>
    <row r="61" spans="1:9" ht="12.95" customHeight="1">
      <c r="A61" s="27"/>
      <c r="B61" s="62" t="s">
        <v>175</v>
      </c>
      <c r="C61" s="9" t="s">
        <v>176</v>
      </c>
      <c r="D61" s="9" t="s">
        <v>57</v>
      </c>
      <c r="E61" s="49">
        <v>41000</v>
      </c>
      <c r="F61" s="50">
        <v>460.2045</v>
      </c>
      <c r="G61" s="51">
        <v>460.2</v>
      </c>
      <c r="H61" s="63">
        <v>6.6372997307734983E-3</v>
      </c>
      <c r="I61" s="2">
        <v>6.6E-3</v>
      </c>
    </row>
    <row r="62" spans="1:9" ht="12.95" customHeight="1">
      <c r="A62" s="27"/>
      <c r="B62" s="62" t="s">
        <v>177</v>
      </c>
      <c r="C62" s="9" t="s">
        <v>178</v>
      </c>
      <c r="D62" s="9" t="s">
        <v>179</v>
      </c>
      <c r="E62" s="49">
        <v>239124</v>
      </c>
      <c r="F62" s="50">
        <v>363.94672800000001</v>
      </c>
      <c r="G62" s="51">
        <v>363.95</v>
      </c>
      <c r="H62" s="63">
        <v>5.2490219451793623E-3</v>
      </c>
      <c r="I62" s="2">
        <v>5.1999999999999998E-3</v>
      </c>
    </row>
    <row r="63" spans="1:9" ht="12.95" customHeight="1">
      <c r="A63" s="27"/>
      <c r="B63" s="62" t="s">
        <v>180</v>
      </c>
      <c r="C63" s="9" t="s">
        <v>181</v>
      </c>
      <c r="D63" s="9" t="s">
        <v>125</v>
      </c>
      <c r="E63" s="49">
        <v>101803</v>
      </c>
      <c r="F63" s="50">
        <v>355.59787899999998</v>
      </c>
      <c r="G63" s="51">
        <v>355.6</v>
      </c>
      <c r="H63" s="63">
        <v>5.1286106644987768E-3</v>
      </c>
      <c r="I63" s="2">
        <v>5.1000000000000004E-3</v>
      </c>
    </row>
    <row r="64" spans="1:9" ht="12.95" customHeight="1">
      <c r="A64" s="27"/>
      <c r="B64" s="62" t="s">
        <v>182</v>
      </c>
      <c r="C64" s="9" t="s">
        <v>183</v>
      </c>
      <c r="D64" s="9" t="s">
        <v>150</v>
      </c>
      <c r="E64" s="49">
        <v>47000</v>
      </c>
      <c r="F64" s="50">
        <v>270.673</v>
      </c>
      <c r="G64" s="51">
        <v>270.67</v>
      </c>
      <c r="H64" s="63">
        <v>3.9037815363119118E-3</v>
      </c>
      <c r="I64" s="2">
        <v>3.8999999999999998E-3</v>
      </c>
    </row>
    <row r="65" spans="1:9" ht="12.95" customHeight="1">
      <c r="A65" s="27"/>
      <c r="B65" s="62" t="s">
        <v>184</v>
      </c>
      <c r="C65" s="9" t="s">
        <v>185</v>
      </c>
      <c r="D65" s="9" t="s">
        <v>64</v>
      </c>
      <c r="E65" s="49">
        <v>104230</v>
      </c>
      <c r="F65" s="50">
        <v>153.84348</v>
      </c>
      <c r="G65" s="51">
        <v>153.84</v>
      </c>
      <c r="H65" s="63">
        <v>2.2188077004576404E-3</v>
      </c>
      <c r="I65" s="2">
        <v>2.2000000000000001E-3</v>
      </c>
    </row>
    <row r="66" spans="1:9" ht="12.95" customHeight="1">
      <c r="A66" s="27"/>
      <c r="B66" s="62" t="s">
        <v>186</v>
      </c>
      <c r="C66" s="9" t="s">
        <v>187</v>
      </c>
      <c r="D66" s="9" t="s">
        <v>188</v>
      </c>
      <c r="E66" s="49">
        <v>1500</v>
      </c>
      <c r="F66" s="50">
        <v>6.8242500000000001</v>
      </c>
      <c r="G66" s="51">
        <v>6.82</v>
      </c>
      <c r="H66" s="63">
        <v>9.8422750511416226E-5</v>
      </c>
      <c r="I66" s="2">
        <v>1E-4</v>
      </c>
    </row>
    <row r="67" spans="1:9" ht="12.95" customHeight="1">
      <c r="A67" s="27"/>
      <c r="B67" s="62" t="s">
        <v>189</v>
      </c>
      <c r="C67" s="9" t="s">
        <v>190</v>
      </c>
      <c r="D67" s="9" t="s">
        <v>165</v>
      </c>
      <c r="E67" s="49">
        <v>3939</v>
      </c>
      <c r="F67" s="50">
        <v>4.8863295000000004</v>
      </c>
      <c r="G67" s="51">
        <v>4.8899999999999997</v>
      </c>
      <c r="H67" s="63">
        <v>7.0473090712543232E-5</v>
      </c>
      <c r="I67" s="2">
        <v>1E-4</v>
      </c>
    </row>
    <row r="68" spans="1:9" ht="12.95" customHeight="1">
      <c r="A68" s="27"/>
      <c r="B68" s="62" t="s">
        <v>191</v>
      </c>
      <c r="C68" s="9" t="s">
        <v>192</v>
      </c>
      <c r="D68" s="9" t="s">
        <v>96</v>
      </c>
      <c r="E68" s="49">
        <v>565</v>
      </c>
      <c r="F68" s="50">
        <v>2.2125400000000002</v>
      </c>
      <c r="G68" s="51">
        <v>2.21</v>
      </c>
      <c r="H68" s="63" t="s">
        <v>193</v>
      </c>
      <c r="I68" s="88" t="s">
        <v>193</v>
      </c>
    </row>
    <row r="69" spans="1:9" ht="12.95" customHeight="1">
      <c r="A69" s="25"/>
      <c r="B69" s="60" t="s">
        <v>39</v>
      </c>
      <c r="C69" s="9" t="s">
        <v>1</v>
      </c>
      <c r="D69" s="9" t="s">
        <v>1</v>
      </c>
      <c r="E69" s="9" t="s">
        <v>1</v>
      </c>
      <c r="F69" s="10">
        <v>68199.375860999993</v>
      </c>
      <c r="G69" s="52">
        <v>68199.38</v>
      </c>
      <c r="H69" s="64">
        <v>0.98360554718855631</v>
      </c>
      <c r="I69" s="37">
        <v>0.98360000000000003</v>
      </c>
    </row>
    <row r="70" spans="1:9" ht="12.95" customHeight="1">
      <c r="A70" s="25"/>
      <c r="B70" s="60"/>
      <c r="C70" s="9"/>
      <c r="D70" s="9"/>
      <c r="E70" s="9"/>
      <c r="F70" s="10"/>
      <c r="G70" s="52"/>
      <c r="H70" s="64"/>
      <c r="I70" s="37"/>
    </row>
    <row r="71" spans="1:9" ht="12.95" customHeight="1">
      <c r="A71" s="25"/>
      <c r="B71" s="60" t="s">
        <v>194</v>
      </c>
      <c r="C71" s="9" t="s">
        <v>1</v>
      </c>
      <c r="D71" s="9" t="s">
        <v>1</v>
      </c>
      <c r="E71" s="9" t="s">
        <v>1</v>
      </c>
      <c r="F71" s="10" t="s">
        <v>195</v>
      </c>
      <c r="G71" s="92" t="s">
        <v>195</v>
      </c>
      <c r="H71" s="64" t="s">
        <v>195</v>
      </c>
      <c r="I71" s="89" t="s">
        <v>195</v>
      </c>
    </row>
    <row r="72" spans="1:9" ht="12.95" customHeight="1">
      <c r="A72" s="25"/>
      <c r="B72" s="60" t="s">
        <v>39</v>
      </c>
      <c r="C72" s="9" t="s">
        <v>1</v>
      </c>
      <c r="D72" s="9" t="s">
        <v>1</v>
      </c>
      <c r="E72" s="9" t="s">
        <v>1</v>
      </c>
      <c r="F72" s="10" t="s">
        <v>195</v>
      </c>
      <c r="G72" s="92" t="s">
        <v>195</v>
      </c>
      <c r="H72" s="64" t="s">
        <v>195</v>
      </c>
      <c r="I72" s="89" t="s">
        <v>195</v>
      </c>
    </row>
    <row r="73" spans="1:9" ht="12.95" customHeight="1">
      <c r="A73" s="25"/>
      <c r="B73" s="60" t="s">
        <v>40</v>
      </c>
      <c r="C73" s="9" t="s">
        <v>1</v>
      </c>
      <c r="D73" s="9" t="s">
        <v>1</v>
      </c>
      <c r="E73" s="9" t="s">
        <v>1</v>
      </c>
      <c r="F73" s="10">
        <v>68199.375860999993</v>
      </c>
      <c r="G73" s="52">
        <v>68199.38</v>
      </c>
      <c r="H73" s="64">
        <v>0.98360554718855631</v>
      </c>
      <c r="I73" s="37">
        <v>0.98360000000000003</v>
      </c>
    </row>
    <row r="74" spans="1:9" ht="12.95" customHeight="1">
      <c r="A74" s="25"/>
      <c r="B74" s="60"/>
      <c r="C74" s="9"/>
      <c r="D74" s="9"/>
      <c r="E74" s="9"/>
      <c r="F74" s="10"/>
      <c r="G74" s="52"/>
      <c r="H74" s="64"/>
      <c r="I74" s="74"/>
    </row>
    <row r="75" spans="1:9" ht="12.95" customHeight="1">
      <c r="A75" s="25"/>
      <c r="B75" s="7" t="s">
        <v>352</v>
      </c>
      <c r="C75" s="8"/>
      <c r="D75" s="9"/>
      <c r="E75" s="9"/>
      <c r="F75" s="10"/>
      <c r="G75" s="10"/>
      <c r="H75" s="64"/>
      <c r="I75" s="21"/>
    </row>
    <row r="76" spans="1:9" ht="12.95" customHeight="1">
      <c r="A76" s="27"/>
      <c r="B76" s="11" t="s">
        <v>356</v>
      </c>
      <c r="C76" s="8"/>
      <c r="D76" s="9"/>
      <c r="E76" s="92" t="s">
        <v>195</v>
      </c>
      <c r="F76" s="10"/>
      <c r="G76" s="105" t="s">
        <v>195</v>
      </c>
      <c r="H76" s="106" t="s">
        <v>195</v>
      </c>
      <c r="I76" s="22" t="s">
        <v>195</v>
      </c>
    </row>
    <row r="77" spans="1:9" ht="12.95" customHeight="1">
      <c r="A77" s="25"/>
      <c r="B77" s="14" t="s">
        <v>354</v>
      </c>
      <c r="C77" s="8"/>
      <c r="D77" s="9"/>
      <c r="E77" s="92" t="s">
        <v>195</v>
      </c>
      <c r="F77" s="10"/>
      <c r="G77" s="105" t="s">
        <v>195</v>
      </c>
      <c r="H77" s="106" t="s">
        <v>195</v>
      </c>
      <c r="I77" s="22" t="s">
        <v>195</v>
      </c>
    </row>
    <row r="78" spans="1:9" ht="12.95" customHeight="1">
      <c r="A78" s="25"/>
      <c r="B78" s="14" t="s">
        <v>355</v>
      </c>
      <c r="C78" s="8"/>
      <c r="D78" s="9"/>
      <c r="E78" s="92" t="s">
        <v>195</v>
      </c>
      <c r="F78" s="10"/>
      <c r="G78" s="105" t="s">
        <v>195</v>
      </c>
      <c r="H78" s="106" t="s">
        <v>195</v>
      </c>
      <c r="I78" s="90" t="s">
        <v>195</v>
      </c>
    </row>
    <row r="79" spans="1:9" ht="12.95" customHeight="1">
      <c r="A79" s="25"/>
      <c r="B79" s="14"/>
      <c r="C79" s="8"/>
      <c r="D79" s="9"/>
      <c r="E79" s="9"/>
      <c r="F79" s="10"/>
      <c r="G79" s="12"/>
      <c r="H79" s="76"/>
      <c r="I79" s="103"/>
    </row>
    <row r="80" spans="1:9" ht="12.95" customHeight="1">
      <c r="A80" s="25"/>
      <c r="B80" s="104" t="s">
        <v>11</v>
      </c>
      <c r="C80" s="8"/>
      <c r="D80" s="9"/>
      <c r="E80" s="9"/>
      <c r="F80" s="10"/>
      <c r="G80" s="12"/>
      <c r="H80" s="76"/>
      <c r="I80" s="103"/>
    </row>
    <row r="81" spans="1:9" ht="12.95" customHeight="1">
      <c r="A81" s="25"/>
      <c r="B81" s="60"/>
      <c r="C81" s="8"/>
      <c r="D81" s="9"/>
      <c r="E81" s="9"/>
      <c r="F81" s="10"/>
      <c r="G81" s="10"/>
      <c r="H81" s="64"/>
      <c r="I81" s="91"/>
    </row>
    <row r="82" spans="1:9" ht="12.95" customHeight="1">
      <c r="A82" s="25"/>
      <c r="B82" s="60" t="s">
        <v>41</v>
      </c>
      <c r="C82" s="9" t="s">
        <v>1</v>
      </c>
      <c r="D82" s="9" t="s">
        <v>1</v>
      </c>
      <c r="E82" s="9" t="s">
        <v>1</v>
      </c>
      <c r="F82" s="47" t="s">
        <v>1</v>
      </c>
      <c r="G82" s="48"/>
      <c r="H82" s="61" t="s">
        <v>1</v>
      </c>
      <c r="I82" s="36" t="s">
        <v>1</v>
      </c>
    </row>
    <row r="83" spans="1:9" ht="12.95" customHeight="1">
      <c r="A83" s="27"/>
      <c r="B83" s="62" t="s">
        <v>42</v>
      </c>
      <c r="C83" s="9" t="s">
        <v>1</v>
      </c>
      <c r="D83" s="9" t="s">
        <v>43</v>
      </c>
      <c r="E83" s="49"/>
      <c r="F83" s="50">
        <v>637.51000429999999</v>
      </c>
      <c r="G83" s="51">
        <v>637.51</v>
      </c>
      <c r="H83" s="63">
        <v>9.1944884934975681E-3</v>
      </c>
      <c r="I83" s="2">
        <v>9.1999999999999998E-3</v>
      </c>
    </row>
    <row r="84" spans="1:9" ht="12.95" customHeight="1">
      <c r="A84" s="25"/>
      <c r="B84" s="60" t="s">
        <v>39</v>
      </c>
      <c r="C84" s="9" t="s">
        <v>1</v>
      </c>
      <c r="D84" s="9" t="s">
        <v>1</v>
      </c>
      <c r="E84" s="9" t="s">
        <v>1</v>
      </c>
      <c r="F84" s="10">
        <v>637.51000429999999</v>
      </c>
      <c r="G84" s="52">
        <v>637.51</v>
      </c>
      <c r="H84" s="64">
        <v>9.1944884934975681E-3</v>
      </c>
      <c r="I84" s="37">
        <v>9.1999999999999998E-3</v>
      </c>
    </row>
    <row r="85" spans="1:9" ht="12.95" customHeight="1">
      <c r="A85" s="25"/>
      <c r="B85" s="60"/>
      <c r="C85" s="9"/>
      <c r="D85" s="9"/>
      <c r="E85" s="9"/>
      <c r="F85" s="10"/>
      <c r="G85" s="52"/>
      <c r="H85" s="64"/>
      <c r="I85" s="37"/>
    </row>
    <row r="86" spans="1:9" ht="12.95" customHeight="1">
      <c r="A86" s="25"/>
      <c r="B86" s="60" t="s">
        <v>44</v>
      </c>
      <c r="C86" s="9" t="s">
        <v>1</v>
      </c>
      <c r="D86" s="9" t="s">
        <v>1</v>
      </c>
      <c r="E86" s="9" t="s">
        <v>1</v>
      </c>
      <c r="F86" s="12">
        <v>499.21746995929999</v>
      </c>
      <c r="G86" s="75">
        <v>499.21</v>
      </c>
      <c r="H86" s="76">
        <v>7.1999643179461647E-3</v>
      </c>
      <c r="I86" s="37">
        <v>7.1999999999999998E-3</v>
      </c>
    </row>
    <row r="87" spans="1:9" ht="12.95" customHeight="1">
      <c r="A87" s="25"/>
      <c r="B87" s="60" t="s">
        <v>39</v>
      </c>
      <c r="C87" s="15"/>
      <c r="D87" s="15"/>
      <c r="E87" s="15"/>
      <c r="F87" s="10">
        <v>499.21746995929999</v>
      </c>
      <c r="G87" s="52">
        <v>499.21</v>
      </c>
      <c r="H87" s="64">
        <v>7.1999643179461647E-3</v>
      </c>
      <c r="I87" s="74"/>
    </row>
    <row r="88" spans="1:9" ht="12.95" customHeight="1">
      <c r="A88" s="25"/>
      <c r="B88" s="60" t="s">
        <v>40</v>
      </c>
      <c r="C88" s="15"/>
      <c r="D88" s="15"/>
      <c r="E88" s="15"/>
      <c r="F88" s="16">
        <f>F84+F87</f>
        <v>1136.7274742592999</v>
      </c>
      <c r="G88" s="16">
        <f t="shared" ref="G88:H88" si="0">G84+G87</f>
        <v>1136.72</v>
      </c>
      <c r="H88" s="64">
        <f t="shared" si="0"/>
        <v>1.6394452811443732E-2</v>
      </c>
      <c r="I88" s="74"/>
    </row>
    <row r="89" spans="1:9" ht="12.95" customHeight="1" thickBot="1">
      <c r="A89" s="25"/>
      <c r="B89" s="71"/>
      <c r="C89" s="15"/>
      <c r="D89" s="15"/>
      <c r="E89" s="15"/>
      <c r="F89" s="16"/>
      <c r="G89" s="72"/>
      <c r="H89" s="73"/>
      <c r="I89" s="74"/>
    </row>
    <row r="90" spans="1:9" ht="12.95" customHeight="1" thickBot="1">
      <c r="A90" s="25"/>
      <c r="B90" s="80" t="s">
        <v>45</v>
      </c>
      <c r="C90" s="81" t="s">
        <v>1</v>
      </c>
      <c r="D90" s="81" t="s">
        <v>1</v>
      </c>
      <c r="E90" s="81" t="s">
        <v>1</v>
      </c>
      <c r="F90" s="82">
        <v>69336.103335259293</v>
      </c>
      <c r="G90" s="83">
        <v>69336.100000000006</v>
      </c>
      <c r="H90" s="84">
        <v>1</v>
      </c>
      <c r="I90" s="38">
        <v>1</v>
      </c>
    </row>
    <row r="91" spans="1:9" s="28" customFormat="1" ht="12.95" customHeight="1">
      <c r="A91" s="25"/>
      <c r="B91" s="26" t="s">
        <v>1</v>
      </c>
      <c r="C91" s="25"/>
      <c r="D91" s="25"/>
      <c r="E91" s="25"/>
      <c r="F91" s="30"/>
      <c r="G91" s="25"/>
      <c r="H91" s="31"/>
      <c r="I91" s="25"/>
    </row>
    <row r="92" spans="1:9" s="28" customFormat="1" ht="12.95" customHeight="1">
      <c r="A92" s="25"/>
      <c r="B92" s="32" t="s">
        <v>43</v>
      </c>
      <c r="C92" s="25"/>
      <c r="D92" s="25"/>
      <c r="E92" s="25"/>
      <c r="F92" s="30"/>
      <c r="G92" s="25"/>
      <c r="H92" s="31"/>
      <c r="I92" s="25"/>
    </row>
    <row r="93" spans="1:9" s="28" customFormat="1" ht="12.95" customHeight="1">
      <c r="A93" s="25"/>
      <c r="B93" s="32" t="s">
        <v>196</v>
      </c>
      <c r="C93" s="25"/>
      <c r="D93" s="25"/>
      <c r="E93" s="25"/>
      <c r="F93" s="30"/>
      <c r="G93" s="25"/>
      <c r="H93" s="31"/>
      <c r="I93" s="25"/>
    </row>
    <row r="94" spans="1:9" s="28" customFormat="1" ht="12.95" customHeight="1">
      <c r="A94" s="25"/>
      <c r="B94" s="32" t="s">
        <v>361</v>
      </c>
      <c r="C94" s="25"/>
      <c r="D94" s="25"/>
      <c r="E94" s="25"/>
      <c r="F94" s="30"/>
      <c r="G94" s="25"/>
      <c r="H94" s="31"/>
      <c r="I94" s="25"/>
    </row>
    <row r="95" spans="1:9" s="28" customFormat="1" ht="12.95" customHeight="1" thickBot="1">
      <c r="A95" s="25"/>
      <c r="B95" s="32" t="s">
        <v>1</v>
      </c>
      <c r="C95" s="25"/>
      <c r="D95" s="25"/>
      <c r="E95" s="25"/>
      <c r="F95" s="30"/>
      <c r="G95" s="25"/>
      <c r="H95" s="31"/>
      <c r="I95" s="25"/>
    </row>
    <row r="96" spans="1:9" s="28" customFormat="1" ht="15.75" thickBot="1">
      <c r="B96" s="107" t="s">
        <v>368</v>
      </c>
      <c r="C96" s="108">
        <v>0.73440000000000005</v>
      </c>
      <c r="F96" s="33"/>
      <c r="H96" s="34"/>
    </row>
    <row r="97" spans="2:8" s="28" customFormat="1">
      <c r="B97" s="109" t="s">
        <v>369</v>
      </c>
      <c r="C97" s="109"/>
      <c r="F97" s="33"/>
      <c r="H97" s="34"/>
    </row>
    <row r="98" spans="2:8" s="28" customFormat="1">
      <c r="F98" s="33"/>
      <c r="H98" s="34"/>
    </row>
    <row r="99" spans="2:8" s="28" customFormat="1">
      <c r="C99" s="33"/>
      <c r="E99" s="34"/>
    </row>
    <row r="100" spans="2:8" s="28" customFormat="1">
      <c r="C100" s="33"/>
      <c r="E100" s="34"/>
    </row>
    <row r="101" spans="2:8" s="28" customFormat="1">
      <c r="C101" s="33"/>
      <c r="E101" s="34"/>
    </row>
    <row r="102" spans="2:8" s="28" customFormat="1">
      <c r="C102" s="33"/>
      <c r="E102" s="34"/>
    </row>
    <row r="103" spans="2:8" s="28" customFormat="1">
      <c r="C103" s="33"/>
      <c r="E103" s="34"/>
    </row>
    <row r="104" spans="2:8" s="28" customFormat="1">
      <c r="C104" s="33"/>
      <c r="E104" s="34"/>
    </row>
    <row r="105" spans="2:8" s="28" customFormat="1">
      <c r="C105" s="33"/>
      <c r="E105" s="34"/>
    </row>
    <row r="106" spans="2:8" s="28" customFormat="1">
      <c r="C106" s="33"/>
      <c r="E106" s="34"/>
    </row>
    <row r="107" spans="2:8" s="28" customFormat="1">
      <c r="C107" s="33"/>
      <c r="E107" s="34"/>
    </row>
    <row r="108" spans="2:8" s="28" customFormat="1">
      <c r="C108" s="33"/>
      <c r="E108" s="34"/>
    </row>
    <row r="109" spans="2:8" s="28" customFormat="1">
      <c r="C109" s="33"/>
      <c r="E109" s="34"/>
    </row>
    <row r="110" spans="2:8" s="28" customFormat="1">
      <c r="C110" s="33"/>
      <c r="E110" s="34"/>
    </row>
    <row r="111" spans="2:8" s="28" customFormat="1">
      <c r="C111" s="33"/>
      <c r="E111" s="34"/>
    </row>
    <row r="112" spans="2:8" s="28" customFormat="1">
      <c r="C112" s="33"/>
      <c r="E112" s="34"/>
    </row>
    <row r="113" spans="3:8" s="28" customFormat="1">
      <c r="C113" s="33"/>
      <c r="E113" s="34"/>
    </row>
    <row r="114" spans="3:8" s="28" customFormat="1">
      <c r="C114" s="33"/>
      <c r="E114" s="34"/>
    </row>
    <row r="115" spans="3:8" s="28" customFormat="1">
      <c r="F115" s="33"/>
      <c r="H115" s="34"/>
    </row>
    <row r="116" spans="3:8" s="28" customFormat="1">
      <c r="F116" s="33"/>
      <c r="H116" s="34"/>
    </row>
    <row r="117" spans="3:8" s="28" customFormat="1">
      <c r="F117" s="33"/>
      <c r="H117" s="34"/>
    </row>
    <row r="118" spans="3:8" s="28" customFormat="1">
      <c r="F118" s="33"/>
      <c r="H118" s="34"/>
    </row>
    <row r="119" spans="3:8" s="28" customFormat="1">
      <c r="F119" s="33"/>
      <c r="H119" s="34"/>
    </row>
    <row r="120" spans="3:8" s="28" customFormat="1">
      <c r="F120" s="33"/>
      <c r="H120" s="34"/>
    </row>
    <row r="121" spans="3:8" s="28" customFormat="1">
      <c r="F121" s="33"/>
      <c r="H121" s="34"/>
    </row>
    <row r="122" spans="3:8" s="28" customFormat="1">
      <c r="F122" s="33"/>
      <c r="H122" s="34"/>
    </row>
    <row r="123" spans="3:8" s="28" customFormat="1">
      <c r="F123" s="33"/>
      <c r="H123" s="34"/>
    </row>
    <row r="124" spans="3:8" s="28" customFormat="1">
      <c r="F124" s="33"/>
      <c r="H124" s="34"/>
    </row>
    <row r="125" spans="3:8" s="28" customFormat="1">
      <c r="F125" s="33"/>
      <c r="H125" s="34"/>
    </row>
    <row r="126" spans="3:8" s="28" customFormat="1">
      <c r="F126" s="33"/>
      <c r="H126" s="34"/>
    </row>
    <row r="127" spans="3:8" s="28" customFormat="1">
      <c r="F127" s="33"/>
      <c r="H127" s="34"/>
    </row>
    <row r="128" spans="3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486"/>
  <sheetViews>
    <sheetView topLeftCell="A44" zoomScaleNormal="100" workbookViewId="0">
      <selection activeCell="A44" sqref="A4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87" width="9.140625" style="28"/>
  </cols>
  <sheetData>
    <row r="1" spans="1:9" ht="21.75" customHeight="1">
      <c r="A1" s="25"/>
      <c r="B1" s="164" t="s">
        <v>197</v>
      </c>
      <c r="C1" s="165"/>
      <c r="D1" s="165"/>
      <c r="E1" s="165"/>
      <c r="F1" s="165"/>
      <c r="G1" s="165"/>
      <c r="H1" s="166"/>
      <c r="I1" s="1"/>
    </row>
    <row r="2" spans="1:9" ht="13.5" customHeight="1" thickBot="1">
      <c r="A2" s="25"/>
      <c r="B2" s="167" t="s">
        <v>370</v>
      </c>
      <c r="C2" s="168"/>
      <c r="D2" s="168"/>
      <c r="E2" s="168"/>
      <c r="F2" s="168"/>
      <c r="G2" s="168"/>
      <c r="H2" s="169"/>
      <c r="I2" s="1"/>
    </row>
    <row r="3" spans="1:9" s="28" customFormat="1" ht="12.95" customHeight="1">
      <c r="A3" s="25"/>
      <c r="B3" s="110"/>
      <c r="C3" s="110"/>
      <c r="D3" s="110"/>
      <c r="E3" s="110"/>
      <c r="F3" s="110"/>
      <c r="G3" s="110"/>
      <c r="H3" s="110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 thickBot="1">
      <c r="A6" s="25"/>
      <c r="B6" s="98" t="s">
        <v>3</v>
      </c>
      <c r="C6" s="99" t="s">
        <v>4</v>
      </c>
      <c r="D6" s="100" t="s">
        <v>49</v>
      </c>
      <c r="E6" s="100" t="s">
        <v>6</v>
      </c>
      <c r="F6" s="101" t="s">
        <v>7</v>
      </c>
      <c r="G6" s="100" t="s">
        <v>8</v>
      </c>
      <c r="H6" s="102" t="s">
        <v>9</v>
      </c>
      <c r="I6" s="35" t="s">
        <v>10</v>
      </c>
    </row>
    <row r="7" spans="1:9" ht="12.95" customHeight="1">
      <c r="A7" s="27"/>
      <c r="B7" s="115" t="s">
        <v>50</v>
      </c>
      <c r="C7" s="94"/>
      <c r="D7" s="94"/>
      <c r="E7" s="116"/>
      <c r="F7" s="117"/>
      <c r="G7" s="118"/>
      <c r="H7" s="119"/>
      <c r="I7" s="2"/>
    </row>
    <row r="8" spans="1:9" ht="12.95" customHeight="1">
      <c r="A8" s="27"/>
      <c r="B8" s="114" t="s">
        <v>51</v>
      </c>
      <c r="C8" s="9"/>
      <c r="D8" s="9"/>
      <c r="E8" s="49"/>
      <c r="F8" s="50"/>
      <c r="G8" s="51"/>
      <c r="H8" s="63"/>
      <c r="I8" s="2"/>
    </row>
    <row r="9" spans="1:9" ht="12.95" customHeight="1">
      <c r="A9" s="27"/>
      <c r="B9" s="114" t="s">
        <v>358</v>
      </c>
      <c r="C9" s="9"/>
      <c r="D9" s="9"/>
      <c r="E9" s="49"/>
      <c r="F9" s="50"/>
      <c r="G9" s="51"/>
      <c r="H9" s="63"/>
      <c r="I9" s="2"/>
    </row>
    <row r="10" spans="1:9" ht="12.95" customHeight="1">
      <c r="A10" s="27"/>
      <c r="B10" s="62" t="s">
        <v>198</v>
      </c>
      <c r="C10" s="9" t="s">
        <v>199</v>
      </c>
      <c r="D10" s="9" t="s">
        <v>54</v>
      </c>
      <c r="E10" s="49">
        <v>22500</v>
      </c>
      <c r="F10" s="50">
        <v>230.10749999999999</v>
      </c>
      <c r="G10" s="51">
        <v>230.11</v>
      </c>
      <c r="H10" s="63">
        <v>7.1203633561249632E-2</v>
      </c>
      <c r="I10" s="2">
        <v>7.1199999999999999E-2</v>
      </c>
    </row>
    <row r="11" spans="1:9" ht="12.95" customHeight="1">
      <c r="A11" s="27"/>
      <c r="B11" s="62" t="s">
        <v>58</v>
      </c>
      <c r="C11" s="9" t="s">
        <v>59</v>
      </c>
      <c r="D11" s="9" t="s">
        <v>54</v>
      </c>
      <c r="E11" s="49">
        <v>60250</v>
      </c>
      <c r="F11" s="50">
        <v>190.08875</v>
      </c>
      <c r="G11" s="51">
        <v>190.09</v>
      </c>
      <c r="H11" s="63">
        <v>5.8820376124706891E-2</v>
      </c>
      <c r="I11" s="2">
        <v>5.8799999999999998E-2</v>
      </c>
    </row>
    <row r="12" spans="1:9" ht="12.95" customHeight="1">
      <c r="A12" s="27"/>
      <c r="B12" s="62" t="s">
        <v>203</v>
      </c>
      <c r="C12" s="9" t="s">
        <v>204</v>
      </c>
      <c r="D12" s="9" t="s">
        <v>54</v>
      </c>
      <c r="E12" s="49">
        <v>12900</v>
      </c>
      <c r="F12" s="50">
        <v>114.294</v>
      </c>
      <c r="G12" s="51">
        <v>114.29</v>
      </c>
      <c r="H12" s="63">
        <v>3.5366722485140487E-2</v>
      </c>
      <c r="I12" s="2">
        <v>3.5400000000000001E-2</v>
      </c>
    </row>
    <row r="13" spans="1:9" ht="12.95" customHeight="1">
      <c r="A13" s="27"/>
      <c r="B13" s="62" t="s">
        <v>205</v>
      </c>
      <c r="C13" s="9" t="s">
        <v>206</v>
      </c>
      <c r="D13" s="9" t="s">
        <v>57</v>
      </c>
      <c r="E13" s="49">
        <v>8000</v>
      </c>
      <c r="F13" s="50">
        <v>105.256</v>
      </c>
      <c r="G13" s="51">
        <v>105.26</v>
      </c>
      <c r="H13" s="63">
        <v>3.2570036413949531E-2</v>
      </c>
      <c r="I13" s="2">
        <v>3.2599999999999997E-2</v>
      </c>
    </row>
    <row r="14" spans="1:9" ht="12.95" customHeight="1">
      <c r="A14" s="27"/>
      <c r="B14" s="62" t="s">
        <v>364</v>
      </c>
      <c r="C14" s="9" t="s">
        <v>207</v>
      </c>
      <c r="D14" s="9" t="s">
        <v>134</v>
      </c>
      <c r="E14" s="49">
        <v>31550</v>
      </c>
      <c r="F14" s="50">
        <v>104.60402499999999</v>
      </c>
      <c r="G14" s="51">
        <v>104.6</v>
      </c>
      <c r="H14" s="63">
        <v>3.2368291625139531E-2</v>
      </c>
      <c r="I14" s="2">
        <v>3.2399999999999998E-2</v>
      </c>
    </row>
    <row r="15" spans="1:9" ht="12.95" customHeight="1">
      <c r="A15" s="27"/>
      <c r="B15" s="62" t="s">
        <v>128</v>
      </c>
      <c r="C15" s="9" t="s">
        <v>129</v>
      </c>
      <c r="D15" s="9" t="s">
        <v>99</v>
      </c>
      <c r="E15" s="49">
        <v>4696</v>
      </c>
      <c r="F15" s="50">
        <v>101.36550800000001</v>
      </c>
      <c r="G15" s="51">
        <v>101.37</v>
      </c>
      <c r="H15" s="63">
        <v>3.1366176623456067E-2</v>
      </c>
      <c r="I15" s="2">
        <v>3.1399999999999997E-2</v>
      </c>
    </row>
    <row r="16" spans="1:9" ht="12.95" customHeight="1">
      <c r="A16" s="27"/>
      <c r="B16" s="62" t="s">
        <v>155</v>
      </c>
      <c r="C16" s="9" t="s">
        <v>156</v>
      </c>
      <c r="D16" s="9" t="s">
        <v>99</v>
      </c>
      <c r="E16" s="49">
        <v>4900</v>
      </c>
      <c r="F16" s="50">
        <v>98.700699999999998</v>
      </c>
      <c r="G16" s="51">
        <v>98.7</v>
      </c>
      <c r="H16" s="63">
        <v>3.0541588062270163E-2</v>
      </c>
      <c r="I16" s="2">
        <v>3.0499999999999999E-2</v>
      </c>
    </row>
    <row r="17" spans="1:9" ht="12.95" customHeight="1">
      <c r="A17" s="27"/>
      <c r="B17" s="62" t="s">
        <v>208</v>
      </c>
      <c r="C17" s="9" t="s">
        <v>209</v>
      </c>
      <c r="D17" s="9" t="s">
        <v>99</v>
      </c>
      <c r="E17" s="49">
        <v>29600</v>
      </c>
      <c r="F17" s="50">
        <v>96.451599999999999</v>
      </c>
      <c r="G17" s="51">
        <v>96.45</v>
      </c>
      <c r="H17" s="63">
        <v>2.9845634682903532E-2</v>
      </c>
      <c r="I17" s="2">
        <v>2.98E-2</v>
      </c>
    </row>
    <row r="18" spans="1:9" ht="12.95" customHeight="1">
      <c r="A18" s="27"/>
      <c r="B18" s="62" t="s">
        <v>210</v>
      </c>
      <c r="C18" s="9" t="s">
        <v>211</v>
      </c>
      <c r="D18" s="9" t="s">
        <v>134</v>
      </c>
      <c r="E18" s="49">
        <v>2550</v>
      </c>
      <c r="F18" s="50">
        <v>94.282425000000003</v>
      </c>
      <c r="G18" s="51">
        <v>94.28</v>
      </c>
      <c r="H18" s="63">
        <v>2.9174413006816384E-2</v>
      </c>
      <c r="I18" s="2">
        <v>2.92E-2</v>
      </c>
    </row>
    <row r="19" spans="1:9" ht="12.95" customHeight="1">
      <c r="A19" s="27"/>
      <c r="B19" s="62" t="s">
        <v>65</v>
      </c>
      <c r="C19" s="9" t="s">
        <v>66</v>
      </c>
      <c r="D19" s="9" t="s">
        <v>67</v>
      </c>
      <c r="E19" s="49">
        <v>22479</v>
      </c>
      <c r="F19" s="50">
        <v>92.366211000000007</v>
      </c>
      <c r="G19" s="51">
        <v>92.37</v>
      </c>
      <c r="H19" s="63">
        <v>2.8581466668774657E-2</v>
      </c>
      <c r="I19" s="2">
        <v>2.86E-2</v>
      </c>
    </row>
    <row r="20" spans="1:9" ht="12.95" customHeight="1">
      <c r="A20" s="27"/>
      <c r="B20" s="62" t="s">
        <v>215</v>
      </c>
      <c r="C20" s="9" t="s">
        <v>216</v>
      </c>
      <c r="D20" s="9" t="s">
        <v>134</v>
      </c>
      <c r="E20" s="49">
        <v>3382</v>
      </c>
      <c r="F20" s="50">
        <v>89.278036</v>
      </c>
      <c r="G20" s="51">
        <v>89.28</v>
      </c>
      <c r="H20" s="63">
        <v>2.7625872952476788E-2</v>
      </c>
      <c r="I20" s="2">
        <v>2.76E-2</v>
      </c>
    </row>
    <row r="21" spans="1:9" ht="12.95" customHeight="1">
      <c r="A21" s="27"/>
      <c r="B21" s="62" t="s">
        <v>97</v>
      </c>
      <c r="C21" s="9" t="s">
        <v>98</v>
      </c>
      <c r="D21" s="9" t="s">
        <v>99</v>
      </c>
      <c r="E21" s="49">
        <v>10950</v>
      </c>
      <c r="F21" s="50">
        <v>88.837350000000001</v>
      </c>
      <c r="G21" s="51">
        <v>88.84</v>
      </c>
      <c r="H21" s="63">
        <v>2.7489508668567864E-2</v>
      </c>
      <c r="I21" s="2">
        <v>2.75E-2</v>
      </c>
    </row>
    <row r="22" spans="1:9" ht="12.95" customHeight="1">
      <c r="A22" s="27"/>
      <c r="B22" s="62" t="s">
        <v>220</v>
      </c>
      <c r="C22" s="9" t="s">
        <v>221</v>
      </c>
      <c r="D22" s="9" t="s">
        <v>99</v>
      </c>
      <c r="E22" s="49">
        <v>1200</v>
      </c>
      <c r="F22" s="50">
        <v>86.701800000000006</v>
      </c>
      <c r="G22" s="51">
        <v>86.7</v>
      </c>
      <c r="H22" s="63">
        <v>2.6828691791013996E-2</v>
      </c>
      <c r="I22" s="2">
        <v>2.6800000000000001E-2</v>
      </c>
    </row>
    <row r="23" spans="1:9" ht="12.95" customHeight="1">
      <c r="A23" s="27"/>
      <c r="B23" s="62" t="s">
        <v>227</v>
      </c>
      <c r="C23" s="9" t="s">
        <v>228</v>
      </c>
      <c r="D23" s="9" t="s">
        <v>99</v>
      </c>
      <c r="E23" s="49">
        <v>1300</v>
      </c>
      <c r="F23" s="50">
        <v>81.900000000000006</v>
      </c>
      <c r="G23" s="51">
        <v>81.900000000000006</v>
      </c>
      <c r="H23" s="63">
        <v>2.5342840145003289E-2</v>
      </c>
      <c r="I23" s="2">
        <v>2.53E-2</v>
      </c>
    </row>
    <row r="24" spans="1:9" ht="12.95" customHeight="1">
      <c r="A24" s="27"/>
      <c r="B24" s="62" t="s">
        <v>121</v>
      </c>
      <c r="C24" s="9" t="s">
        <v>122</v>
      </c>
      <c r="D24" s="9" t="s">
        <v>99</v>
      </c>
      <c r="E24" s="49">
        <v>7800</v>
      </c>
      <c r="F24" s="50">
        <v>78.093599999999995</v>
      </c>
      <c r="G24" s="51">
        <v>78.09</v>
      </c>
      <c r="H24" s="63">
        <v>2.4165001479216471E-2</v>
      </c>
      <c r="I24" s="2">
        <v>2.4199999999999999E-2</v>
      </c>
    </row>
    <row r="25" spans="1:9" ht="12.95" customHeight="1">
      <c r="A25" s="27"/>
      <c r="B25" s="62" t="s">
        <v>102</v>
      </c>
      <c r="C25" s="9" t="s">
        <v>103</v>
      </c>
      <c r="D25" s="9" t="s">
        <v>90</v>
      </c>
      <c r="E25" s="49">
        <v>9185</v>
      </c>
      <c r="F25" s="50">
        <v>76.515642499999998</v>
      </c>
      <c r="G25" s="51">
        <v>76.52</v>
      </c>
      <c r="H25" s="63">
        <v>2.367672401061929E-2</v>
      </c>
      <c r="I25" s="2">
        <v>2.3699999999999999E-2</v>
      </c>
    </row>
    <row r="26" spans="1:9" ht="12.95" customHeight="1">
      <c r="A26" s="27"/>
      <c r="B26" s="62" t="s">
        <v>94</v>
      </c>
      <c r="C26" s="9" t="s">
        <v>95</v>
      </c>
      <c r="D26" s="9" t="s">
        <v>96</v>
      </c>
      <c r="E26" s="49">
        <v>14809</v>
      </c>
      <c r="F26" s="50">
        <v>66.729354000000001</v>
      </c>
      <c r="G26" s="51">
        <v>66.73</v>
      </c>
      <c r="H26" s="63">
        <v>2.0648490249100562E-2</v>
      </c>
      <c r="I26" s="2">
        <v>2.06E-2</v>
      </c>
    </row>
    <row r="27" spans="1:9" ht="12.95" customHeight="1">
      <c r="A27" s="27"/>
      <c r="B27" s="62" t="s">
        <v>135</v>
      </c>
      <c r="C27" s="9" t="s">
        <v>136</v>
      </c>
      <c r="D27" s="9" t="s">
        <v>99</v>
      </c>
      <c r="E27" s="49">
        <v>1300</v>
      </c>
      <c r="F27" s="50">
        <v>62.179000000000002</v>
      </c>
      <c r="G27" s="51">
        <v>62.18</v>
      </c>
      <c r="H27" s="63">
        <v>1.9240445145008053E-2</v>
      </c>
      <c r="I27" s="2">
        <v>1.9199999999999998E-2</v>
      </c>
    </row>
    <row r="28" spans="1:9" ht="12.95" customHeight="1">
      <c r="A28" s="27"/>
      <c r="B28" s="62" t="s">
        <v>83</v>
      </c>
      <c r="C28" s="9" t="s">
        <v>84</v>
      </c>
      <c r="D28" s="9" t="s">
        <v>85</v>
      </c>
      <c r="E28" s="49">
        <v>9250</v>
      </c>
      <c r="F28" s="50">
        <v>61.614249999999998</v>
      </c>
      <c r="G28" s="51">
        <v>61.61</v>
      </c>
      <c r="H28" s="63">
        <v>1.9065690945107069E-2</v>
      </c>
      <c r="I28" s="2">
        <v>1.9099999999999999E-2</v>
      </c>
    </row>
    <row r="29" spans="1:9" ht="12.95" customHeight="1">
      <c r="A29" s="27"/>
      <c r="B29" s="62" t="s">
        <v>235</v>
      </c>
      <c r="C29" s="9" t="s">
        <v>236</v>
      </c>
      <c r="D29" s="9" t="s">
        <v>54</v>
      </c>
      <c r="E29" s="49">
        <v>22950</v>
      </c>
      <c r="F29" s="50">
        <v>61.287975000000003</v>
      </c>
      <c r="G29" s="51">
        <v>61.29</v>
      </c>
      <c r="H29" s="63">
        <v>1.8964729587740634E-2</v>
      </c>
      <c r="I29" s="2">
        <v>1.9E-2</v>
      </c>
    </row>
    <row r="30" spans="1:9" ht="12.95" customHeight="1">
      <c r="A30" s="27"/>
      <c r="B30" s="62" t="s">
        <v>62</v>
      </c>
      <c r="C30" s="9" t="s">
        <v>63</v>
      </c>
      <c r="D30" s="9" t="s">
        <v>64</v>
      </c>
      <c r="E30" s="49">
        <v>9100</v>
      </c>
      <c r="F30" s="50">
        <v>59.131799999999998</v>
      </c>
      <c r="G30" s="51">
        <v>59.13</v>
      </c>
      <c r="H30" s="63">
        <v>1.8297530584692377E-2</v>
      </c>
      <c r="I30" s="2">
        <v>1.83E-2</v>
      </c>
    </row>
    <row r="31" spans="1:9" ht="12.95" customHeight="1">
      <c r="A31" s="27"/>
      <c r="B31" s="62" t="s">
        <v>91</v>
      </c>
      <c r="C31" s="9" t="s">
        <v>92</v>
      </c>
      <c r="D31" s="9" t="s">
        <v>93</v>
      </c>
      <c r="E31" s="49">
        <v>9800</v>
      </c>
      <c r="F31" s="50">
        <v>58.785299999999999</v>
      </c>
      <c r="G31" s="51">
        <v>58.79</v>
      </c>
      <c r="H31" s="63">
        <v>1.8190310876386593E-2</v>
      </c>
      <c r="I31" s="2">
        <v>1.8200000000000001E-2</v>
      </c>
    </row>
    <row r="32" spans="1:9" ht="12.95" customHeight="1">
      <c r="A32" s="27"/>
      <c r="B32" s="62" t="s">
        <v>74</v>
      </c>
      <c r="C32" s="9" t="s">
        <v>75</v>
      </c>
      <c r="D32" s="9" t="s">
        <v>73</v>
      </c>
      <c r="E32" s="49">
        <v>8350</v>
      </c>
      <c r="F32" s="50">
        <v>53.093474999999998</v>
      </c>
      <c r="G32" s="51">
        <v>53.09</v>
      </c>
      <c r="H32" s="63">
        <v>1.6429053109496074E-2</v>
      </c>
      <c r="I32" s="2">
        <v>1.6400000000000001E-2</v>
      </c>
    </row>
    <row r="33" spans="1:9" ht="12.95" customHeight="1">
      <c r="A33" s="27"/>
      <c r="B33" s="62" t="s">
        <v>106</v>
      </c>
      <c r="C33" s="9" t="s">
        <v>107</v>
      </c>
      <c r="D33" s="9" t="s">
        <v>85</v>
      </c>
      <c r="E33" s="49">
        <v>49624</v>
      </c>
      <c r="F33" s="50">
        <v>49.946556000000001</v>
      </c>
      <c r="G33" s="51">
        <v>49.95</v>
      </c>
      <c r="H33" s="63">
        <v>1.5455281862044626E-2</v>
      </c>
      <c r="I33" s="2">
        <v>1.55E-2</v>
      </c>
    </row>
    <row r="34" spans="1:9" ht="12.95" customHeight="1">
      <c r="A34" s="27"/>
      <c r="B34" s="62" t="s">
        <v>114</v>
      </c>
      <c r="C34" s="9" t="s">
        <v>115</v>
      </c>
      <c r="D34" s="9" t="s">
        <v>116</v>
      </c>
      <c r="E34" s="49">
        <v>11000</v>
      </c>
      <c r="F34" s="50">
        <v>48.603499999999997</v>
      </c>
      <c r="G34" s="51">
        <v>48.6</v>
      </c>
      <c r="H34" s="63">
        <v>1.5039691465050884E-2</v>
      </c>
      <c r="I34" s="2">
        <v>1.4999999999999999E-2</v>
      </c>
    </row>
    <row r="35" spans="1:9" ht="12.95" customHeight="1">
      <c r="A35" s="27"/>
      <c r="B35" s="62" t="s">
        <v>117</v>
      </c>
      <c r="C35" s="9" t="s">
        <v>118</v>
      </c>
      <c r="D35" s="9" t="s">
        <v>57</v>
      </c>
      <c r="E35" s="49">
        <v>10000</v>
      </c>
      <c r="F35" s="50">
        <v>46.765000000000001</v>
      </c>
      <c r="G35" s="51">
        <v>46.77</v>
      </c>
      <c r="H35" s="63">
        <v>1.4470792666435639E-2</v>
      </c>
      <c r="I35" s="2">
        <v>1.4500000000000001E-2</v>
      </c>
    </row>
    <row r="36" spans="1:9" ht="12.95" customHeight="1">
      <c r="A36" s="27"/>
      <c r="B36" s="62" t="s">
        <v>161</v>
      </c>
      <c r="C36" s="9" t="s">
        <v>162</v>
      </c>
      <c r="D36" s="9" t="s">
        <v>125</v>
      </c>
      <c r="E36" s="49">
        <v>5051</v>
      </c>
      <c r="F36" s="50">
        <v>42.423349000000002</v>
      </c>
      <c r="G36" s="51">
        <v>42.42</v>
      </c>
      <c r="H36" s="63">
        <v>1.3127327864745851E-2</v>
      </c>
      <c r="I36" s="2">
        <v>1.3100000000000001E-2</v>
      </c>
    </row>
    <row r="37" spans="1:9" ht="12.95" customHeight="1">
      <c r="A37" s="27"/>
      <c r="B37" s="62" t="s">
        <v>243</v>
      </c>
      <c r="C37" s="9" t="s">
        <v>244</v>
      </c>
      <c r="D37" s="9" t="s">
        <v>245</v>
      </c>
      <c r="E37" s="49">
        <v>10078</v>
      </c>
      <c r="F37" s="50">
        <v>39.636774000000003</v>
      </c>
      <c r="G37" s="51">
        <v>39.64</v>
      </c>
      <c r="H37" s="63">
        <v>1.2265060162950215E-2</v>
      </c>
      <c r="I37" s="2">
        <v>1.23E-2</v>
      </c>
    </row>
    <row r="38" spans="1:9" ht="12.95" customHeight="1">
      <c r="A38" s="27"/>
      <c r="B38" s="62" t="s">
        <v>137</v>
      </c>
      <c r="C38" s="9" t="s">
        <v>138</v>
      </c>
      <c r="D38" s="9" t="s">
        <v>64</v>
      </c>
      <c r="E38" s="49">
        <v>6283</v>
      </c>
      <c r="F38" s="50">
        <v>32.052724499999997</v>
      </c>
      <c r="G38" s="51">
        <v>32.049999999999997</v>
      </c>
      <c r="H38" s="63">
        <v>9.9182792822384673E-3</v>
      </c>
      <c r="I38" s="2">
        <v>9.9000000000000008E-3</v>
      </c>
    </row>
    <row r="39" spans="1:9" ht="12.95" customHeight="1">
      <c r="A39" s="27"/>
      <c r="B39" s="62" t="s">
        <v>191</v>
      </c>
      <c r="C39" s="9" t="s">
        <v>192</v>
      </c>
      <c r="D39" s="9" t="s">
        <v>96</v>
      </c>
      <c r="E39" s="49">
        <v>7850</v>
      </c>
      <c r="F39" s="50">
        <v>30.740600000000001</v>
      </c>
      <c r="G39" s="51">
        <v>30.74</v>
      </c>
      <c r="H39" s="63">
        <v>9.5122602168679869E-3</v>
      </c>
      <c r="I39" s="2">
        <v>9.4999999999999998E-3</v>
      </c>
    </row>
    <row r="40" spans="1:9" ht="12.95" customHeight="1">
      <c r="A40" s="27"/>
      <c r="B40" s="62"/>
      <c r="C40" s="9"/>
      <c r="D40" s="9"/>
      <c r="E40" s="49"/>
      <c r="F40" s="19">
        <f>SUM(F10:F39)</f>
        <v>2441.8328050000005</v>
      </c>
      <c r="G40" s="20"/>
      <c r="H40" s="106">
        <f>SUM(H10:H39)</f>
        <v>0.7555919223191695</v>
      </c>
      <c r="I40" s="2"/>
    </row>
    <row r="41" spans="1:9" ht="12.95" customHeight="1">
      <c r="A41" s="27"/>
      <c r="B41" s="62"/>
      <c r="C41" s="9"/>
      <c r="D41" s="9"/>
      <c r="E41" s="49"/>
      <c r="F41" s="19"/>
      <c r="G41" s="20"/>
      <c r="H41" s="106"/>
      <c r="I41" s="2"/>
    </row>
    <row r="42" spans="1:9" ht="12.95" customHeight="1">
      <c r="A42" s="27"/>
      <c r="B42" s="114" t="s">
        <v>359</v>
      </c>
      <c r="C42" s="9"/>
      <c r="D42" s="9"/>
      <c r="E42" s="49"/>
      <c r="F42" s="50"/>
      <c r="G42" s="51"/>
      <c r="H42" s="63"/>
      <c r="I42" s="2"/>
    </row>
    <row r="43" spans="1:9" ht="12.95" customHeight="1">
      <c r="A43" s="27"/>
      <c r="B43" s="114" t="s">
        <v>357</v>
      </c>
      <c r="C43" s="9"/>
      <c r="D43" s="9"/>
      <c r="E43" s="49"/>
      <c r="F43" s="50"/>
      <c r="G43" s="51"/>
      <c r="H43" s="63"/>
      <c r="I43" s="2"/>
    </row>
    <row r="44" spans="1:9" ht="12.95" customHeight="1">
      <c r="A44" s="27"/>
      <c r="B44" s="62" t="s">
        <v>212</v>
      </c>
      <c r="C44" s="9" t="s">
        <v>213</v>
      </c>
      <c r="D44" s="9" t="s">
        <v>214</v>
      </c>
      <c r="E44" s="49">
        <v>5000</v>
      </c>
      <c r="F44" s="50">
        <v>89.880388800000006</v>
      </c>
      <c r="G44" s="51">
        <v>89.88</v>
      </c>
      <c r="H44" s="63">
        <v>2.7812262826973678E-2</v>
      </c>
      <c r="I44" s="2">
        <v>2.7799999999999998E-2</v>
      </c>
    </row>
    <row r="45" spans="1:9" ht="12.95" customHeight="1">
      <c r="A45" s="27"/>
      <c r="B45" s="62" t="s">
        <v>237</v>
      </c>
      <c r="C45" s="9" t="s">
        <v>238</v>
      </c>
      <c r="D45" s="9" t="s">
        <v>202</v>
      </c>
      <c r="E45" s="49">
        <v>1150</v>
      </c>
      <c r="F45" s="50">
        <v>60.390733400000002</v>
      </c>
      <c r="G45" s="51">
        <v>60.39</v>
      </c>
      <c r="H45" s="63">
        <v>1.8687090388226021E-2</v>
      </c>
      <c r="I45" s="2">
        <v>1.8700000000000001E-2</v>
      </c>
    </row>
    <row r="46" spans="1:9" ht="12.95" customHeight="1">
      <c r="A46" s="27"/>
      <c r="B46" s="62" t="s">
        <v>239</v>
      </c>
      <c r="C46" s="9" t="s">
        <v>240</v>
      </c>
      <c r="D46" s="9" t="s">
        <v>202</v>
      </c>
      <c r="E46" s="49">
        <v>350</v>
      </c>
      <c r="F46" s="50">
        <v>46.122534600000002</v>
      </c>
      <c r="G46" s="51">
        <v>46.12</v>
      </c>
      <c r="H46" s="63">
        <v>1.4271990493897232E-2</v>
      </c>
      <c r="I46" s="2">
        <v>1.43E-2</v>
      </c>
    </row>
    <row r="47" spans="1:9" ht="12.95" customHeight="1">
      <c r="A47" s="27"/>
      <c r="B47" s="62"/>
      <c r="C47" s="9"/>
      <c r="D47" s="9"/>
      <c r="E47" s="49"/>
      <c r="F47" s="19">
        <f>SUM(F44:F46)</f>
        <v>196.3936568</v>
      </c>
      <c r="G47" s="20"/>
      <c r="H47" s="106">
        <f>SUM(H44:H46)</f>
        <v>6.0771343709096932E-2</v>
      </c>
      <c r="I47" s="2"/>
    </row>
    <row r="48" spans="1:9" ht="12.95" customHeight="1">
      <c r="A48" s="27"/>
      <c r="B48" s="62"/>
      <c r="C48" s="9"/>
      <c r="D48" s="9"/>
      <c r="E48" s="49"/>
      <c r="F48" s="50"/>
      <c r="G48" s="51"/>
      <c r="H48" s="63"/>
      <c r="I48" s="2"/>
    </row>
    <row r="49" spans="1:9" ht="12.95" customHeight="1">
      <c r="A49" s="27"/>
      <c r="B49" s="114" t="s">
        <v>360</v>
      </c>
      <c r="C49" s="9"/>
      <c r="D49" s="9"/>
      <c r="E49" s="49"/>
      <c r="F49" s="50"/>
      <c r="G49" s="51"/>
      <c r="H49" s="63"/>
      <c r="I49" s="2"/>
    </row>
    <row r="50" spans="1:9" ht="12.95" customHeight="1">
      <c r="A50" s="27"/>
      <c r="B50" s="62" t="s">
        <v>200</v>
      </c>
      <c r="C50" s="9" t="s">
        <v>201</v>
      </c>
      <c r="D50" s="9" t="s">
        <v>202</v>
      </c>
      <c r="E50" s="49">
        <v>10800</v>
      </c>
      <c r="F50" s="50">
        <v>128.101271</v>
      </c>
      <c r="G50" s="51">
        <v>128.1</v>
      </c>
      <c r="H50" s="63">
        <v>3.963919454608969E-2</v>
      </c>
      <c r="I50" s="2">
        <v>3.9600000000000003E-2</v>
      </c>
    </row>
    <row r="51" spans="1:9" ht="12.95" customHeight="1">
      <c r="A51" s="27"/>
      <c r="B51" s="62" t="s">
        <v>217</v>
      </c>
      <c r="C51" s="9" t="s">
        <v>218</v>
      </c>
      <c r="D51" s="9" t="s">
        <v>219</v>
      </c>
      <c r="E51" s="49">
        <v>40800</v>
      </c>
      <c r="F51" s="50">
        <v>88.601445200000001</v>
      </c>
      <c r="G51" s="51">
        <v>88.6</v>
      </c>
      <c r="H51" s="63">
        <v>2.7416511139436741E-2</v>
      </c>
      <c r="I51" s="2">
        <v>2.7400000000000001E-2</v>
      </c>
    </row>
    <row r="52" spans="1:9" ht="12.95" customHeight="1">
      <c r="A52" s="27"/>
      <c r="B52" s="62" t="s">
        <v>222</v>
      </c>
      <c r="C52" s="9" t="s">
        <v>223</v>
      </c>
      <c r="D52" s="9" t="s">
        <v>224</v>
      </c>
      <c r="E52" s="49">
        <v>21200</v>
      </c>
      <c r="F52" s="50">
        <v>83.363810200000003</v>
      </c>
      <c r="G52" s="51">
        <v>83.36</v>
      </c>
      <c r="H52" s="63">
        <v>2.5795796285433392E-2</v>
      </c>
      <c r="I52" s="2">
        <v>2.58E-2</v>
      </c>
    </row>
    <row r="53" spans="1:9" ht="12.95" customHeight="1">
      <c r="A53" s="27"/>
      <c r="B53" s="62" t="s">
        <v>225</v>
      </c>
      <c r="C53" s="9" t="s">
        <v>226</v>
      </c>
      <c r="D53" s="9" t="s">
        <v>224</v>
      </c>
      <c r="E53" s="49">
        <v>11000</v>
      </c>
      <c r="F53" s="50">
        <v>82.609590800000007</v>
      </c>
      <c r="G53" s="51">
        <v>82.61</v>
      </c>
      <c r="H53" s="63">
        <v>2.5562413358834364E-2</v>
      </c>
      <c r="I53" s="2">
        <v>2.5600000000000001E-2</v>
      </c>
    </row>
    <row r="54" spans="1:9" ht="12.95" customHeight="1">
      <c r="A54" s="27"/>
      <c r="B54" s="62" t="s">
        <v>229</v>
      </c>
      <c r="C54" s="9" t="s">
        <v>230</v>
      </c>
      <c r="D54" s="9" t="s">
        <v>231</v>
      </c>
      <c r="E54" s="49">
        <v>78000</v>
      </c>
      <c r="F54" s="50">
        <v>71.148033799999993</v>
      </c>
      <c r="G54" s="51">
        <v>71.150000000000006</v>
      </c>
      <c r="H54" s="63">
        <v>2.2015790564404041E-2</v>
      </c>
      <c r="I54" s="2">
        <v>2.1999999999999999E-2</v>
      </c>
    </row>
    <row r="55" spans="1:9" ht="12.95" customHeight="1">
      <c r="A55" s="27"/>
      <c r="B55" s="62" t="s">
        <v>232</v>
      </c>
      <c r="C55" s="9" t="s">
        <v>233</v>
      </c>
      <c r="D55" s="9" t="s">
        <v>234</v>
      </c>
      <c r="E55" s="49">
        <v>58000</v>
      </c>
      <c r="F55" s="50">
        <v>69.823315100000002</v>
      </c>
      <c r="G55" s="51">
        <v>69.819999999999993</v>
      </c>
      <c r="H55" s="63">
        <v>2.1605874395280764E-2</v>
      </c>
      <c r="I55" s="2">
        <v>2.1600000000000001E-2</v>
      </c>
    </row>
    <row r="56" spans="1:9" ht="12.95" customHeight="1">
      <c r="A56" s="27"/>
      <c r="B56" s="62" t="s">
        <v>241</v>
      </c>
      <c r="C56" s="9" t="s">
        <v>242</v>
      </c>
      <c r="D56" s="9" t="s">
        <v>73</v>
      </c>
      <c r="E56" s="49">
        <v>127000</v>
      </c>
      <c r="F56" s="50">
        <v>45.129880499999999</v>
      </c>
      <c r="G56" s="51">
        <v>45.13</v>
      </c>
      <c r="H56" s="63">
        <v>1.3964827195050076E-2</v>
      </c>
      <c r="I56" s="2">
        <v>1.4E-2</v>
      </c>
    </row>
    <row r="57" spans="1:9" ht="12.95" customHeight="1">
      <c r="A57" s="27"/>
      <c r="B57" s="62"/>
      <c r="C57" s="9"/>
      <c r="D57" s="9"/>
      <c r="E57" s="49"/>
      <c r="F57" s="19">
        <f>SUM(F50:F56)</f>
        <v>568.77734659999999</v>
      </c>
      <c r="G57" s="20"/>
      <c r="H57" s="106">
        <f>SUM(H50:H56)</f>
        <v>0.17600040748452908</v>
      </c>
      <c r="I57" s="2"/>
    </row>
    <row r="58" spans="1:9" ht="12.95" customHeight="1">
      <c r="A58" s="27"/>
      <c r="B58" s="62"/>
      <c r="C58" s="9"/>
      <c r="D58" s="9"/>
      <c r="E58" s="49"/>
      <c r="F58" s="50"/>
      <c r="G58" s="51"/>
      <c r="H58" s="63"/>
      <c r="I58" s="2"/>
    </row>
    <row r="59" spans="1:9" ht="12.95" customHeight="1">
      <c r="A59" s="25"/>
      <c r="B59" s="60" t="s">
        <v>39</v>
      </c>
      <c r="C59" s="9" t="s">
        <v>1</v>
      </c>
      <c r="D59" s="9" t="s">
        <v>1</v>
      </c>
      <c r="E59" s="9" t="s">
        <v>1</v>
      </c>
      <c r="F59" s="10">
        <v>3207.0038083999998</v>
      </c>
      <c r="G59" s="52">
        <v>3207</v>
      </c>
      <c r="H59" s="64">
        <v>0.99236367351279564</v>
      </c>
      <c r="I59" s="37">
        <v>0.99239999999999995</v>
      </c>
    </row>
    <row r="60" spans="1:9" ht="12.95" customHeight="1">
      <c r="A60" s="25"/>
      <c r="B60" s="60" t="s">
        <v>194</v>
      </c>
      <c r="C60" s="9" t="s">
        <v>1</v>
      </c>
      <c r="D60" s="9" t="s">
        <v>1</v>
      </c>
      <c r="E60" s="9" t="s">
        <v>1</v>
      </c>
      <c r="F60" s="10" t="s">
        <v>195</v>
      </c>
      <c r="G60" s="92" t="s">
        <v>195</v>
      </c>
      <c r="H60" s="64" t="s">
        <v>195</v>
      </c>
      <c r="I60" s="89" t="s">
        <v>195</v>
      </c>
    </row>
    <row r="61" spans="1:9" ht="12.95" customHeight="1">
      <c r="A61" s="25"/>
      <c r="B61" s="60" t="s">
        <v>39</v>
      </c>
      <c r="C61" s="9" t="s">
        <v>1</v>
      </c>
      <c r="D61" s="9" t="s">
        <v>1</v>
      </c>
      <c r="E61" s="9" t="s">
        <v>1</v>
      </c>
      <c r="F61" s="10" t="s">
        <v>195</v>
      </c>
      <c r="G61" s="92" t="s">
        <v>195</v>
      </c>
      <c r="H61" s="64" t="s">
        <v>195</v>
      </c>
      <c r="I61" s="89" t="s">
        <v>195</v>
      </c>
    </row>
    <row r="62" spans="1:9" ht="12.95" customHeight="1">
      <c r="A62" s="25"/>
      <c r="B62" s="60" t="s">
        <v>40</v>
      </c>
      <c r="C62" s="9" t="s">
        <v>1</v>
      </c>
      <c r="D62" s="9" t="s">
        <v>1</v>
      </c>
      <c r="E62" s="9" t="s">
        <v>1</v>
      </c>
      <c r="F62" s="10">
        <v>3207.0038083999998</v>
      </c>
      <c r="G62" s="52">
        <v>3207</v>
      </c>
      <c r="H62" s="64">
        <v>0.99236367351279564</v>
      </c>
      <c r="I62" s="37">
        <v>0.99239999999999995</v>
      </c>
    </row>
    <row r="63" spans="1:9" ht="12.95" customHeight="1">
      <c r="A63" s="25"/>
      <c r="B63" s="60"/>
      <c r="C63" s="9"/>
      <c r="D63" s="9"/>
      <c r="E63" s="9"/>
      <c r="F63" s="10"/>
      <c r="G63" s="52"/>
      <c r="H63" s="64"/>
      <c r="I63" s="74"/>
    </row>
    <row r="64" spans="1:9" ht="12.95" customHeight="1">
      <c r="A64" s="25"/>
      <c r="B64" s="7" t="s">
        <v>352</v>
      </c>
      <c r="C64" s="9"/>
      <c r="D64" s="9"/>
      <c r="E64" s="9"/>
      <c r="F64" s="112"/>
      <c r="G64" s="52"/>
      <c r="H64" s="64"/>
      <c r="I64" s="21"/>
    </row>
    <row r="65" spans="1:9" ht="12.95" customHeight="1">
      <c r="A65" s="27"/>
      <c r="B65" s="11" t="s">
        <v>356</v>
      </c>
      <c r="C65" s="9"/>
      <c r="D65" s="9"/>
      <c r="E65" s="92" t="s">
        <v>195</v>
      </c>
      <c r="F65" s="112"/>
      <c r="G65" s="20" t="s">
        <v>195</v>
      </c>
      <c r="H65" s="106" t="s">
        <v>195</v>
      </c>
      <c r="I65" s="22" t="s">
        <v>195</v>
      </c>
    </row>
    <row r="66" spans="1:9" ht="12.95" customHeight="1">
      <c r="A66" s="25"/>
      <c r="B66" s="14" t="s">
        <v>354</v>
      </c>
      <c r="C66" s="9"/>
      <c r="D66" s="9"/>
      <c r="E66" s="92" t="s">
        <v>195</v>
      </c>
      <c r="F66" s="112"/>
      <c r="G66" s="20" t="s">
        <v>195</v>
      </c>
      <c r="H66" s="106" t="s">
        <v>195</v>
      </c>
      <c r="I66" s="22" t="s">
        <v>195</v>
      </c>
    </row>
    <row r="67" spans="1:9" ht="12.95" customHeight="1">
      <c r="A67" s="25"/>
      <c r="B67" s="14" t="s">
        <v>355</v>
      </c>
      <c r="C67" s="9"/>
      <c r="D67" s="9"/>
      <c r="E67" s="92" t="s">
        <v>195</v>
      </c>
      <c r="F67" s="112"/>
      <c r="G67" s="20" t="s">
        <v>195</v>
      </c>
      <c r="H67" s="106" t="s">
        <v>195</v>
      </c>
      <c r="I67" s="22" t="s">
        <v>195</v>
      </c>
    </row>
    <row r="68" spans="1:9" ht="12.95" customHeight="1">
      <c r="A68" s="25"/>
      <c r="B68" s="14"/>
      <c r="C68" s="9"/>
      <c r="D68" s="9"/>
      <c r="E68" s="9"/>
      <c r="F68" s="113"/>
      <c r="G68" s="75"/>
      <c r="H68" s="76"/>
      <c r="I68" s="120"/>
    </row>
    <row r="69" spans="1:9" ht="12.95" customHeight="1">
      <c r="A69" s="25"/>
      <c r="B69" s="104" t="s">
        <v>11</v>
      </c>
      <c r="C69" s="9"/>
      <c r="D69" s="9"/>
      <c r="E69" s="9"/>
      <c r="F69" s="113"/>
      <c r="G69" s="75"/>
      <c r="H69" s="76"/>
      <c r="I69" s="120"/>
    </row>
    <row r="70" spans="1:9" ht="12.95" customHeight="1">
      <c r="A70" s="25"/>
      <c r="B70" s="14"/>
      <c r="C70" s="9"/>
      <c r="D70" s="9"/>
      <c r="E70" s="9"/>
      <c r="F70" s="113"/>
      <c r="G70" s="75"/>
      <c r="H70" s="76"/>
      <c r="I70" s="120"/>
    </row>
    <row r="71" spans="1:9" ht="12.95" customHeight="1">
      <c r="A71" s="25"/>
      <c r="B71" s="60" t="s">
        <v>41</v>
      </c>
      <c r="C71" s="9" t="s">
        <v>1</v>
      </c>
      <c r="D71" s="9" t="s">
        <v>1</v>
      </c>
      <c r="E71" s="9" t="s">
        <v>1</v>
      </c>
      <c r="F71" s="47" t="s">
        <v>1</v>
      </c>
      <c r="G71" s="48"/>
      <c r="H71" s="61" t="s">
        <v>1</v>
      </c>
      <c r="I71" s="36" t="s">
        <v>1</v>
      </c>
    </row>
    <row r="72" spans="1:9" ht="12.95" customHeight="1">
      <c r="A72" s="27"/>
      <c r="B72" s="62" t="s">
        <v>42</v>
      </c>
      <c r="C72" s="9" t="s">
        <v>1</v>
      </c>
      <c r="D72" s="9" t="s">
        <v>43</v>
      </c>
      <c r="E72" s="49"/>
      <c r="F72" s="50">
        <v>27.9936352</v>
      </c>
      <c r="G72" s="51">
        <v>27.99</v>
      </c>
      <c r="H72" s="63">
        <v>8.6622493522727374E-3</v>
      </c>
      <c r="I72" s="2">
        <v>8.6999999999999994E-3</v>
      </c>
    </row>
    <row r="73" spans="1:9" ht="12.95" customHeight="1">
      <c r="A73" s="25"/>
      <c r="B73" s="60" t="s">
        <v>39</v>
      </c>
      <c r="C73" s="9" t="s">
        <v>1</v>
      </c>
      <c r="D73" s="9" t="s">
        <v>1</v>
      </c>
      <c r="E73" s="9" t="s">
        <v>1</v>
      </c>
      <c r="F73" s="10">
        <v>27.9936352</v>
      </c>
      <c r="G73" s="52">
        <v>27.99</v>
      </c>
      <c r="H73" s="64">
        <v>8.6622493522727374E-3</v>
      </c>
      <c r="I73" s="37">
        <v>8.6999999999999994E-3</v>
      </c>
    </row>
    <row r="74" spans="1:9" ht="12.95" customHeight="1">
      <c r="A74" s="25"/>
      <c r="B74" s="60"/>
      <c r="C74" s="9"/>
      <c r="D74" s="9"/>
      <c r="E74" s="9"/>
      <c r="F74" s="10"/>
      <c r="G74" s="52"/>
      <c r="H74" s="64"/>
      <c r="I74" s="37"/>
    </row>
    <row r="75" spans="1:9" ht="12.95" customHeight="1">
      <c r="A75" s="25"/>
      <c r="B75" s="60" t="s">
        <v>44</v>
      </c>
      <c r="C75" s="9" t="s">
        <v>1</v>
      </c>
      <c r="D75" s="9" t="s">
        <v>1</v>
      </c>
      <c r="E75" s="9" t="s">
        <v>1</v>
      </c>
      <c r="F75" s="12">
        <v>-3.3154564433</v>
      </c>
      <c r="G75" s="75">
        <v>-3.31</v>
      </c>
      <c r="H75" s="76">
        <v>-1.0259228650683413E-3</v>
      </c>
      <c r="I75" s="37">
        <v>-1.1000000000000001E-3</v>
      </c>
    </row>
    <row r="76" spans="1:9" ht="12.95" customHeight="1">
      <c r="A76" s="25"/>
      <c r="B76" s="60" t="s">
        <v>39</v>
      </c>
      <c r="C76" s="15"/>
      <c r="D76" s="15"/>
      <c r="E76" s="15"/>
      <c r="F76" s="10">
        <v>-3.3154564433</v>
      </c>
      <c r="G76" s="52">
        <v>-3.31</v>
      </c>
      <c r="H76" s="64">
        <v>-1.0259228650683413E-3</v>
      </c>
      <c r="I76" s="74"/>
    </row>
    <row r="77" spans="1:9" ht="12.95" customHeight="1">
      <c r="A77" s="25"/>
      <c r="B77" s="60" t="s">
        <v>40</v>
      </c>
      <c r="C77" s="15"/>
      <c r="D77" s="15"/>
      <c r="E77" s="15"/>
      <c r="F77" s="16">
        <f>F73+F76</f>
        <v>24.678178756699999</v>
      </c>
      <c r="G77" s="16">
        <f t="shared" ref="G77:H77" si="0">G73+G76</f>
        <v>24.68</v>
      </c>
      <c r="H77" s="64">
        <f t="shared" si="0"/>
        <v>7.6363264872043963E-3</v>
      </c>
      <c r="I77" s="74"/>
    </row>
    <row r="78" spans="1:9" ht="12.95" customHeight="1">
      <c r="A78" s="25"/>
      <c r="B78" s="71"/>
      <c r="C78" s="15"/>
      <c r="D78" s="15"/>
      <c r="E78" s="15"/>
      <c r="F78" s="16"/>
      <c r="G78" s="72"/>
      <c r="H78" s="73"/>
      <c r="I78" s="74"/>
    </row>
    <row r="79" spans="1:9" ht="12.95" customHeight="1" thickBot="1">
      <c r="A79" s="25"/>
      <c r="B79" s="65" t="s">
        <v>45</v>
      </c>
      <c r="C79" s="66" t="s">
        <v>1</v>
      </c>
      <c r="D79" s="66" t="s">
        <v>1</v>
      </c>
      <c r="E79" s="66" t="s">
        <v>1</v>
      </c>
      <c r="F79" s="67">
        <v>3231.6819871567</v>
      </c>
      <c r="G79" s="68">
        <v>3231.68</v>
      </c>
      <c r="H79" s="69">
        <v>1</v>
      </c>
      <c r="I79" s="38">
        <v>1</v>
      </c>
    </row>
    <row r="80" spans="1:9" s="28" customFormat="1" ht="12.95" customHeight="1">
      <c r="A80" s="25"/>
      <c r="B80" s="26" t="s">
        <v>1</v>
      </c>
      <c r="C80" s="25"/>
      <c r="D80" s="25"/>
      <c r="E80" s="25"/>
      <c r="F80" s="30"/>
      <c r="G80" s="25"/>
      <c r="H80" s="31"/>
      <c r="I80" s="25"/>
    </row>
    <row r="81" spans="1:9" s="28" customFormat="1" ht="12.95" customHeight="1">
      <c r="A81" s="25"/>
      <c r="B81" s="32" t="s">
        <v>43</v>
      </c>
      <c r="C81" s="25"/>
      <c r="D81" s="25"/>
      <c r="E81" s="25"/>
      <c r="F81" s="30"/>
      <c r="G81" s="25"/>
      <c r="H81" s="31"/>
      <c r="I81" s="25"/>
    </row>
    <row r="82" spans="1:9" s="28" customFormat="1" ht="12.95" customHeight="1">
      <c r="A82" s="25"/>
      <c r="B82" s="32" t="s">
        <v>361</v>
      </c>
      <c r="C82" s="25"/>
      <c r="D82" s="25"/>
      <c r="E82" s="25"/>
      <c r="F82" s="30"/>
      <c r="G82" s="25"/>
      <c r="H82" s="31"/>
      <c r="I82" s="25"/>
    </row>
    <row r="83" spans="1:9" s="28" customFormat="1" ht="12.95" customHeight="1">
      <c r="A83" s="25"/>
      <c r="B83" s="111" t="s">
        <v>362</v>
      </c>
      <c r="C83" s="25"/>
      <c r="D83" s="25"/>
      <c r="E83" s="25"/>
      <c r="F83" s="30"/>
      <c r="G83" s="25"/>
      <c r="H83" s="31"/>
      <c r="I83" s="25"/>
    </row>
    <row r="84" spans="1:9" s="28" customFormat="1" ht="13.5" thickBot="1">
      <c r="F84" s="33"/>
      <c r="H84" s="34"/>
    </row>
    <row r="85" spans="1:9" s="28" customFormat="1" ht="13.5" thickBot="1">
      <c r="B85" s="107" t="s">
        <v>368</v>
      </c>
      <c r="C85" s="121">
        <v>0.80279999999999996</v>
      </c>
      <c r="F85" s="33"/>
      <c r="H85" s="34"/>
    </row>
    <row r="86" spans="1:9" s="28" customFormat="1">
      <c r="B86" s="109" t="s">
        <v>369</v>
      </c>
      <c r="C86" s="109"/>
      <c r="F86" s="33"/>
      <c r="H86" s="34"/>
    </row>
    <row r="87" spans="1:9" s="28" customFormat="1">
      <c r="F87" s="33"/>
      <c r="H87" s="34"/>
    </row>
    <row r="88" spans="1:9" s="28" customFormat="1">
      <c r="C88" s="33"/>
      <c r="E88" s="34"/>
    </row>
    <row r="89" spans="1:9" s="28" customFormat="1">
      <c r="C89" s="33"/>
      <c r="E89" s="34"/>
    </row>
    <row r="90" spans="1:9" s="28" customFormat="1">
      <c r="C90" s="33"/>
      <c r="E90" s="34"/>
    </row>
    <row r="91" spans="1:9" s="28" customFormat="1">
      <c r="C91" s="33"/>
      <c r="E91" s="34"/>
    </row>
    <row r="92" spans="1:9" s="28" customFormat="1">
      <c r="C92" s="33"/>
      <c r="E92" s="34"/>
    </row>
    <row r="93" spans="1:9" s="28" customFormat="1">
      <c r="C93" s="33"/>
      <c r="E93" s="34"/>
    </row>
    <row r="94" spans="1:9" s="28" customFormat="1">
      <c r="C94" s="33"/>
      <c r="E94" s="34"/>
    </row>
    <row r="95" spans="1:9" s="28" customFormat="1">
      <c r="C95" s="33"/>
      <c r="E95" s="34"/>
    </row>
    <row r="96" spans="1:9" s="28" customFormat="1">
      <c r="C96" s="33"/>
      <c r="E96" s="34"/>
    </row>
    <row r="97" spans="3:5" s="28" customFormat="1">
      <c r="C97" s="33"/>
      <c r="E97" s="34"/>
    </row>
    <row r="98" spans="3:5" s="28" customFormat="1">
      <c r="C98" s="33"/>
      <c r="E98" s="34"/>
    </row>
    <row r="99" spans="3:5" s="28" customFormat="1">
      <c r="C99" s="33"/>
      <c r="E99" s="34"/>
    </row>
    <row r="100" spans="3:5" s="28" customFormat="1">
      <c r="C100" s="33"/>
      <c r="E100" s="34"/>
    </row>
    <row r="101" spans="3:5" s="28" customFormat="1">
      <c r="C101" s="33"/>
      <c r="E101" s="34"/>
    </row>
    <row r="102" spans="3:5" s="28" customFormat="1">
      <c r="C102" s="33"/>
      <c r="E102" s="34"/>
    </row>
    <row r="103" spans="3:5" s="28" customFormat="1">
      <c r="C103" s="33"/>
      <c r="E103" s="34"/>
    </row>
    <row r="104" spans="3:5" s="28" customFormat="1">
      <c r="C104" s="33"/>
      <c r="E104" s="34"/>
    </row>
    <row r="105" spans="3:5" s="28" customFormat="1">
      <c r="C105" s="33"/>
      <c r="E105" s="34"/>
    </row>
    <row r="106" spans="3:5" s="28" customFormat="1">
      <c r="C106" s="33"/>
      <c r="E106" s="34"/>
    </row>
    <row r="107" spans="3:5" s="28" customFormat="1">
      <c r="C107" s="33"/>
      <c r="E107" s="34"/>
    </row>
    <row r="108" spans="3:5" s="28" customFormat="1">
      <c r="C108" s="33"/>
      <c r="E108" s="34"/>
    </row>
    <row r="109" spans="3:5" s="28" customFormat="1">
      <c r="C109" s="33"/>
      <c r="E109" s="34"/>
    </row>
    <row r="110" spans="3:5" s="28" customFormat="1">
      <c r="C110" s="33"/>
      <c r="E110" s="34"/>
    </row>
    <row r="111" spans="3:5" s="28" customFormat="1">
      <c r="C111" s="33"/>
      <c r="E111" s="34"/>
    </row>
    <row r="112" spans="3:5" s="28" customFormat="1">
      <c r="C112" s="33"/>
      <c r="E112" s="34"/>
    </row>
    <row r="113" spans="3:8" s="28" customFormat="1">
      <c r="C113" s="33"/>
      <c r="E113" s="34"/>
    </row>
    <row r="114" spans="3:8" s="28" customFormat="1">
      <c r="C114" s="33"/>
      <c r="E114" s="34"/>
    </row>
    <row r="115" spans="3:8" s="28" customFormat="1">
      <c r="C115" s="33"/>
      <c r="E115" s="34"/>
    </row>
    <row r="116" spans="3:8" s="28" customFormat="1">
      <c r="C116" s="33"/>
      <c r="E116" s="34"/>
    </row>
    <row r="117" spans="3:8" s="28" customFormat="1">
      <c r="C117" s="33"/>
      <c r="E117" s="34"/>
    </row>
    <row r="118" spans="3:8" s="28" customFormat="1">
      <c r="C118" s="33"/>
      <c r="E118" s="34"/>
    </row>
    <row r="119" spans="3:8" s="28" customFormat="1">
      <c r="C119" s="33"/>
      <c r="E119" s="34"/>
    </row>
    <row r="120" spans="3:8" s="28" customFormat="1">
      <c r="C120" s="33"/>
      <c r="E120" s="34"/>
    </row>
    <row r="121" spans="3:8" s="28" customFormat="1">
      <c r="C121" s="33"/>
      <c r="E121" s="34"/>
    </row>
    <row r="122" spans="3:8" s="28" customFormat="1">
      <c r="C122" s="33"/>
      <c r="E122" s="34"/>
    </row>
    <row r="123" spans="3:8" s="28" customFormat="1">
      <c r="F123" s="33"/>
      <c r="H123" s="34"/>
    </row>
    <row r="124" spans="3:8" s="28" customFormat="1">
      <c r="F124" s="33"/>
      <c r="H124" s="34"/>
    </row>
    <row r="125" spans="3:8" s="28" customFormat="1">
      <c r="F125" s="33"/>
      <c r="H125" s="34"/>
    </row>
    <row r="126" spans="3:8" s="28" customFormat="1">
      <c r="F126" s="33"/>
      <c r="H126" s="34"/>
    </row>
    <row r="127" spans="3:8" s="28" customFormat="1">
      <c r="F127" s="33"/>
      <c r="H127" s="34"/>
    </row>
    <row r="128" spans="3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87"/>
  <sheetViews>
    <sheetView zoomScaleNormal="100" workbookViewId="0"/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119" width="9.140625" style="28"/>
  </cols>
  <sheetData>
    <row r="1" spans="1:9" ht="15.95" customHeight="1">
      <c r="A1" s="25"/>
      <c r="B1" s="164" t="s">
        <v>246</v>
      </c>
      <c r="C1" s="165"/>
      <c r="D1" s="165"/>
      <c r="E1" s="165"/>
      <c r="F1" s="165"/>
      <c r="G1" s="165"/>
      <c r="H1" s="166"/>
      <c r="I1" s="1"/>
    </row>
    <row r="2" spans="1:9" ht="12.95" customHeight="1" thickBot="1">
      <c r="A2" s="25"/>
      <c r="B2" s="161" t="s">
        <v>371</v>
      </c>
      <c r="C2" s="162"/>
      <c r="D2" s="162"/>
      <c r="E2" s="162"/>
      <c r="F2" s="162"/>
      <c r="G2" s="162"/>
      <c r="H2" s="163"/>
      <c r="I2" s="1"/>
    </row>
    <row r="3" spans="1:9" s="28" customFormat="1" ht="12.95" customHeight="1">
      <c r="A3" s="25"/>
      <c r="B3" s="87"/>
      <c r="C3" s="87"/>
      <c r="D3" s="87"/>
      <c r="E3" s="87"/>
      <c r="F3" s="87"/>
      <c r="G3" s="87"/>
      <c r="H3" s="87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3" t="s">
        <v>3</v>
      </c>
      <c r="C6" s="54" t="s">
        <v>4</v>
      </c>
      <c r="D6" s="55" t="s">
        <v>247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 ht="12.95" customHeight="1">
      <c r="A7" s="25"/>
      <c r="B7" s="131" t="s">
        <v>350</v>
      </c>
      <c r="C7" s="123"/>
      <c r="D7" s="124"/>
      <c r="E7" s="124"/>
      <c r="F7" s="128"/>
      <c r="G7" s="129"/>
      <c r="H7" s="130"/>
      <c r="I7" s="36" t="s">
        <v>1</v>
      </c>
    </row>
    <row r="8" spans="1:9" ht="12.95" customHeight="1">
      <c r="A8" s="25"/>
      <c r="B8" s="122" t="s">
        <v>351</v>
      </c>
      <c r="C8" s="123"/>
      <c r="D8" s="124"/>
      <c r="E8" s="125" t="s">
        <v>195</v>
      </c>
      <c r="F8" s="125" t="s">
        <v>195</v>
      </c>
      <c r="G8" s="125" t="s">
        <v>195</v>
      </c>
      <c r="H8" s="126" t="s">
        <v>195</v>
      </c>
      <c r="I8" s="36" t="s">
        <v>1</v>
      </c>
    </row>
    <row r="9" spans="1:9" ht="12.95" customHeight="1">
      <c r="A9" s="27"/>
      <c r="B9" s="122" t="s">
        <v>194</v>
      </c>
      <c r="C9" s="123"/>
      <c r="D9" s="124"/>
      <c r="E9" s="125" t="s">
        <v>195</v>
      </c>
      <c r="F9" s="125" t="s">
        <v>195</v>
      </c>
      <c r="G9" s="125" t="s">
        <v>195</v>
      </c>
      <c r="H9" s="126" t="s">
        <v>195</v>
      </c>
      <c r="I9" s="2">
        <v>1.0006999999999999</v>
      </c>
    </row>
    <row r="10" spans="1:9" ht="12.95" customHeight="1">
      <c r="A10" s="25"/>
      <c r="B10" s="127"/>
      <c r="C10" s="123"/>
      <c r="D10" s="124"/>
      <c r="E10" s="124"/>
      <c r="F10" s="128"/>
      <c r="G10" s="129"/>
      <c r="H10" s="130"/>
      <c r="I10" s="37">
        <v>1.0006999999999999</v>
      </c>
    </row>
    <row r="11" spans="1:9" ht="12.95" customHeight="1">
      <c r="A11" s="25"/>
      <c r="B11" s="131" t="s">
        <v>352</v>
      </c>
      <c r="C11" s="123"/>
      <c r="D11" s="124"/>
      <c r="E11" s="124"/>
      <c r="F11" s="128"/>
      <c r="G11" s="129"/>
      <c r="H11" s="130"/>
      <c r="I11" s="37">
        <v>1.0006999999999999</v>
      </c>
    </row>
    <row r="12" spans="1:9" ht="12.95" customHeight="1">
      <c r="A12" s="25"/>
      <c r="B12" s="132" t="s">
        <v>356</v>
      </c>
      <c r="C12" s="123"/>
      <c r="D12" s="124"/>
      <c r="E12" s="125" t="s">
        <v>195</v>
      </c>
      <c r="F12" s="125" t="s">
        <v>195</v>
      </c>
      <c r="G12" s="125" t="s">
        <v>195</v>
      </c>
      <c r="H12" s="126" t="s">
        <v>195</v>
      </c>
      <c r="I12" s="36" t="s">
        <v>1</v>
      </c>
    </row>
    <row r="13" spans="1:9" ht="12.95" customHeight="1">
      <c r="A13" s="27"/>
      <c r="B13" s="132" t="s">
        <v>354</v>
      </c>
      <c r="C13" s="123"/>
      <c r="D13" s="124"/>
      <c r="E13" s="125" t="s">
        <v>195</v>
      </c>
      <c r="F13" s="125" t="s">
        <v>195</v>
      </c>
      <c r="G13" s="125" t="s">
        <v>195</v>
      </c>
      <c r="H13" s="126" t="s">
        <v>195</v>
      </c>
      <c r="I13" s="2">
        <v>5.5999999999999999E-3</v>
      </c>
    </row>
    <row r="14" spans="1:9" ht="12.95" customHeight="1">
      <c r="A14" s="25"/>
      <c r="B14" s="132" t="s">
        <v>355</v>
      </c>
      <c r="C14" s="123"/>
      <c r="D14" s="124"/>
      <c r="E14" s="125" t="s">
        <v>195</v>
      </c>
      <c r="F14" s="125" t="s">
        <v>195</v>
      </c>
      <c r="G14" s="125" t="s">
        <v>195</v>
      </c>
      <c r="H14" s="126" t="s">
        <v>195</v>
      </c>
      <c r="I14" s="37">
        <v>5.5999999999999999E-3</v>
      </c>
    </row>
    <row r="15" spans="1:9" ht="12.95" customHeight="1">
      <c r="A15" s="25"/>
      <c r="B15" s="127"/>
      <c r="C15" s="123"/>
      <c r="D15" s="124"/>
      <c r="E15" s="124"/>
      <c r="F15" s="133"/>
      <c r="G15" s="124"/>
      <c r="H15" s="134"/>
      <c r="I15" s="37">
        <v>5.5999999999999999E-3</v>
      </c>
    </row>
    <row r="16" spans="1:9" ht="12.95" customHeight="1">
      <c r="A16" s="25"/>
      <c r="B16" s="135" t="s">
        <v>11</v>
      </c>
      <c r="C16" s="136"/>
      <c r="D16" s="137"/>
      <c r="E16" s="137"/>
      <c r="F16" s="138"/>
      <c r="G16" s="137"/>
      <c r="H16" s="139"/>
      <c r="I16" s="37">
        <v>-6.3E-3</v>
      </c>
    </row>
    <row r="17" spans="1:9" ht="12.95" customHeight="1" thickBot="1">
      <c r="A17" s="25"/>
      <c r="B17" s="135"/>
      <c r="C17" s="136"/>
      <c r="D17" s="137"/>
      <c r="E17" s="137"/>
      <c r="F17" s="138"/>
      <c r="G17" s="137"/>
      <c r="H17" s="139"/>
      <c r="I17" s="38">
        <v>1</v>
      </c>
    </row>
    <row r="18" spans="1:9" s="28" customFormat="1" ht="12.95" customHeight="1">
      <c r="A18" s="25"/>
      <c r="B18" s="60" t="s">
        <v>248</v>
      </c>
      <c r="C18" s="9" t="s">
        <v>1</v>
      </c>
      <c r="D18" s="9" t="s">
        <v>1</v>
      </c>
      <c r="E18" s="9" t="s">
        <v>1</v>
      </c>
      <c r="F18" s="47" t="s">
        <v>1</v>
      </c>
      <c r="G18" s="48"/>
      <c r="H18" s="61" t="s">
        <v>1</v>
      </c>
      <c r="I18" s="25"/>
    </row>
    <row r="19" spans="1:9" s="28" customFormat="1" ht="12.95" customHeight="1">
      <c r="A19" s="25"/>
      <c r="B19" s="60" t="s">
        <v>249</v>
      </c>
      <c r="C19" s="9" t="s">
        <v>1</v>
      </c>
      <c r="D19" s="9" t="s">
        <v>1</v>
      </c>
      <c r="E19" s="9" t="s">
        <v>1</v>
      </c>
      <c r="F19" s="47" t="s">
        <v>1</v>
      </c>
      <c r="G19" s="48"/>
      <c r="H19" s="61" t="s">
        <v>1</v>
      </c>
      <c r="I19" s="25"/>
    </row>
    <row r="20" spans="1:9" s="28" customFormat="1" ht="12.95" customHeight="1">
      <c r="A20" s="25"/>
      <c r="B20" s="62" t="s">
        <v>250</v>
      </c>
      <c r="C20" s="9" t="s">
        <v>251</v>
      </c>
      <c r="D20" s="9" t="s">
        <v>1</v>
      </c>
      <c r="E20" s="49">
        <v>284713.04777090001</v>
      </c>
      <c r="F20" s="50">
        <v>1954.8997896000001</v>
      </c>
      <c r="G20" s="51">
        <v>1954.9</v>
      </c>
      <c r="H20" s="63">
        <v>1.0007253172423582</v>
      </c>
      <c r="I20" s="25"/>
    </row>
    <row r="21" spans="1:9" s="28" customFormat="1" ht="12.95" customHeight="1">
      <c r="A21" s="25"/>
      <c r="B21" s="60" t="s">
        <v>39</v>
      </c>
      <c r="C21" s="9" t="s">
        <v>1</v>
      </c>
      <c r="D21" s="9" t="s">
        <v>1</v>
      </c>
      <c r="E21" s="9" t="s">
        <v>1</v>
      </c>
      <c r="F21" s="10">
        <v>1954.8997896000001</v>
      </c>
      <c r="G21" s="52">
        <v>1954.9</v>
      </c>
      <c r="H21" s="64">
        <v>1.0007253172423582</v>
      </c>
      <c r="I21" s="25"/>
    </row>
    <row r="22" spans="1:9" s="28" customFormat="1">
      <c r="B22" s="60" t="s">
        <v>40</v>
      </c>
      <c r="C22" s="9" t="s">
        <v>1</v>
      </c>
      <c r="D22" s="9" t="s">
        <v>1</v>
      </c>
      <c r="E22" s="9" t="s">
        <v>1</v>
      </c>
      <c r="F22" s="10">
        <v>1954.8997896000001</v>
      </c>
      <c r="G22" s="52">
        <v>1954.9</v>
      </c>
      <c r="H22" s="64">
        <v>1.0007253172423582</v>
      </c>
    </row>
    <row r="23" spans="1:9" s="28" customFormat="1">
      <c r="B23" s="60"/>
      <c r="C23" s="9"/>
      <c r="D23" s="9"/>
      <c r="E23" s="9"/>
      <c r="F23" s="10"/>
      <c r="G23" s="52"/>
      <c r="H23" s="64"/>
    </row>
    <row r="24" spans="1:9" s="28" customFormat="1">
      <c r="B24" s="60" t="s">
        <v>41</v>
      </c>
      <c r="C24" s="9" t="s">
        <v>1</v>
      </c>
      <c r="D24" s="9" t="s">
        <v>1</v>
      </c>
      <c r="E24" s="9" t="s">
        <v>1</v>
      </c>
      <c r="F24" s="47" t="s">
        <v>1</v>
      </c>
      <c r="G24" s="48"/>
      <c r="H24" s="61" t="s">
        <v>1</v>
      </c>
    </row>
    <row r="25" spans="1:9" s="28" customFormat="1">
      <c r="B25" s="62" t="s">
        <v>42</v>
      </c>
      <c r="C25" s="9" t="s">
        <v>1</v>
      </c>
      <c r="D25" s="9" t="s">
        <v>43</v>
      </c>
      <c r="E25" s="49"/>
      <c r="F25" s="50">
        <v>10.9557866</v>
      </c>
      <c r="G25" s="51">
        <v>10.96</v>
      </c>
      <c r="H25" s="63">
        <v>5.60833505597129E-3</v>
      </c>
    </row>
    <row r="26" spans="1:9" s="28" customFormat="1">
      <c r="B26" s="60" t="s">
        <v>39</v>
      </c>
      <c r="C26" s="9" t="s">
        <v>1</v>
      </c>
      <c r="D26" s="9" t="s">
        <v>1</v>
      </c>
      <c r="E26" s="9" t="s">
        <v>1</v>
      </c>
      <c r="F26" s="10">
        <v>10.9557866</v>
      </c>
      <c r="G26" s="52">
        <v>10.96</v>
      </c>
      <c r="H26" s="64">
        <v>5.60833505597129E-3</v>
      </c>
    </row>
    <row r="27" spans="1:9" s="28" customFormat="1">
      <c r="B27" s="60"/>
      <c r="C27" s="9"/>
      <c r="D27" s="9"/>
      <c r="E27" s="9"/>
      <c r="F27" s="10"/>
      <c r="G27" s="52"/>
      <c r="H27" s="64"/>
    </row>
    <row r="28" spans="1:9" s="28" customFormat="1">
      <c r="B28" s="60" t="s">
        <v>44</v>
      </c>
      <c r="C28" s="9" t="s">
        <v>1</v>
      </c>
      <c r="D28" s="9" t="s">
        <v>1</v>
      </c>
      <c r="E28" s="9" t="s">
        <v>1</v>
      </c>
      <c r="F28" s="12">
        <v>-12.3726814262</v>
      </c>
      <c r="G28" s="75">
        <v>-12.38</v>
      </c>
      <c r="H28" s="76">
        <v>-6.3336522983296313E-3</v>
      </c>
    </row>
    <row r="29" spans="1:9" s="28" customFormat="1">
      <c r="B29" s="60" t="s">
        <v>39</v>
      </c>
      <c r="C29" s="15"/>
      <c r="D29" s="15"/>
      <c r="E29" s="15"/>
      <c r="F29" s="10">
        <v>-12.3726814262</v>
      </c>
      <c r="G29" s="52">
        <v>-12.38</v>
      </c>
      <c r="H29" s="64">
        <v>-6.3336522983296313E-3</v>
      </c>
    </row>
    <row r="30" spans="1:9" s="28" customFormat="1">
      <c r="B30" s="60" t="s">
        <v>40</v>
      </c>
      <c r="C30" s="15"/>
      <c r="D30" s="15"/>
      <c r="E30" s="15"/>
      <c r="F30" s="16">
        <f>F26+F29</f>
        <v>-1.4168948262000001</v>
      </c>
      <c r="G30" s="16">
        <f t="shared" ref="G30:H30" si="0">G26+G29</f>
        <v>-1.42</v>
      </c>
      <c r="H30" s="64">
        <f t="shared" si="0"/>
        <v>-7.2531724235834136E-4</v>
      </c>
    </row>
    <row r="31" spans="1:9" s="28" customFormat="1">
      <c r="B31" s="71"/>
      <c r="C31" s="15"/>
      <c r="D31" s="15"/>
      <c r="E31" s="15"/>
      <c r="F31" s="16"/>
      <c r="G31" s="72"/>
      <c r="H31" s="73"/>
    </row>
    <row r="32" spans="1:9" s="28" customFormat="1" ht="13.5" thickBot="1">
      <c r="B32" s="65" t="s">
        <v>45</v>
      </c>
      <c r="C32" s="66" t="s">
        <v>1</v>
      </c>
      <c r="D32" s="66" t="s">
        <v>1</v>
      </c>
      <c r="E32" s="66" t="s">
        <v>1</v>
      </c>
      <c r="F32" s="67">
        <v>1953.4828947737999</v>
      </c>
      <c r="G32" s="68">
        <v>1953.48</v>
      </c>
      <c r="H32" s="69">
        <v>1</v>
      </c>
    </row>
    <row r="33" spans="2:8" s="28" customFormat="1">
      <c r="B33" s="26" t="s">
        <v>1</v>
      </c>
      <c r="C33" s="25"/>
      <c r="D33" s="25"/>
      <c r="E33" s="25"/>
      <c r="F33" s="30"/>
      <c r="G33" s="25"/>
      <c r="H33" s="31"/>
    </row>
    <row r="34" spans="2:8" s="28" customFormat="1">
      <c r="B34" s="32" t="s">
        <v>43</v>
      </c>
      <c r="C34" s="25"/>
      <c r="D34" s="25"/>
      <c r="E34" s="25"/>
      <c r="F34" s="30"/>
      <c r="G34" s="25"/>
      <c r="H34" s="31"/>
    </row>
    <row r="35" spans="2:8" s="28" customFormat="1">
      <c r="B35" s="25"/>
      <c r="C35" s="30"/>
      <c r="D35" s="25"/>
      <c r="E35" s="31"/>
    </row>
    <row r="36" spans="2:8" s="28" customFormat="1">
      <c r="B36" s="25"/>
      <c r="C36" s="30"/>
      <c r="D36" s="25"/>
      <c r="E36" s="31"/>
    </row>
    <row r="37" spans="2:8" s="28" customFormat="1">
      <c r="C37" s="33"/>
      <c r="E37" s="34"/>
    </row>
    <row r="38" spans="2:8" s="28" customFormat="1">
      <c r="C38" s="33"/>
      <c r="E38" s="34"/>
    </row>
    <row r="39" spans="2:8" s="28" customFormat="1">
      <c r="C39" s="33"/>
      <c r="E39" s="34"/>
    </row>
    <row r="40" spans="2:8" s="28" customFormat="1">
      <c r="C40" s="33"/>
      <c r="E40" s="34"/>
    </row>
    <row r="41" spans="2:8" s="28" customFormat="1">
      <c r="C41" s="33"/>
      <c r="E41" s="34"/>
    </row>
    <row r="42" spans="2:8" s="28" customFormat="1">
      <c r="C42" s="33"/>
      <c r="E42" s="34"/>
    </row>
    <row r="43" spans="2:8" s="28" customFormat="1">
      <c r="C43" s="33"/>
      <c r="E43" s="34"/>
    </row>
    <row r="44" spans="2:8" s="28" customFormat="1">
      <c r="C44" s="33"/>
      <c r="E44" s="34"/>
    </row>
    <row r="45" spans="2:8" s="28" customFormat="1">
      <c r="C45" s="33"/>
      <c r="E45" s="34"/>
    </row>
    <row r="46" spans="2:8" s="28" customFormat="1">
      <c r="C46" s="33"/>
      <c r="E46" s="34"/>
    </row>
    <row r="47" spans="2:8" s="28" customFormat="1">
      <c r="C47" s="33"/>
      <c r="E47" s="34"/>
    </row>
    <row r="48" spans="2:8" s="28" customFormat="1">
      <c r="C48" s="33"/>
      <c r="E48" s="34"/>
    </row>
    <row r="49" spans="3:8" s="28" customFormat="1">
      <c r="C49" s="33"/>
      <c r="E49" s="34"/>
    </row>
    <row r="50" spans="3:8" s="28" customFormat="1">
      <c r="C50" s="33"/>
      <c r="E50" s="34"/>
    </row>
    <row r="51" spans="3:8" s="28" customFormat="1">
      <c r="F51" s="33"/>
      <c r="H51" s="34"/>
    </row>
    <row r="52" spans="3:8" s="28" customFormat="1">
      <c r="F52" s="33"/>
      <c r="H52" s="34"/>
    </row>
    <row r="53" spans="3:8" s="28" customFormat="1">
      <c r="F53" s="33"/>
      <c r="H53" s="34"/>
    </row>
    <row r="54" spans="3:8" s="28" customFormat="1">
      <c r="F54" s="33"/>
      <c r="H54" s="34"/>
    </row>
    <row r="55" spans="3:8" s="28" customFormat="1">
      <c r="F55" s="33"/>
      <c r="H55" s="34"/>
    </row>
    <row r="56" spans="3:8" s="28" customFormat="1">
      <c r="F56" s="33"/>
      <c r="H56" s="34"/>
    </row>
    <row r="57" spans="3:8" s="28" customFormat="1">
      <c r="F57" s="33"/>
      <c r="H57" s="34"/>
    </row>
    <row r="58" spans="3:8" s="28" customFormat="1">
      <c r="F58" s="33"/>
      <c r="H58" s="34"/>
    </row>
    <row r="59" spans="3:8" s="28" customFormat="1">
      <c r="F59" s="33"/>
      <c r="H59" s="34"/>
    </row>
    <row r="60" spans="3:8" s="28" customFormat="1">
      <c r="F60" s="33"/>
      <c r="H60" s="34"/>
    </row>
    <row r="61" spans="3:8" s="28" customFormat="1">
      <c r="F61" s="33"/>
      <c r="H61" s="34"/>
    </row>
    <row r="62" spans="3:8" s="28" customFormat="1">
      <c r="F62" s="33"/>
      <c r="H62" s="34"/>
    </row>
    <row r="63" spans="3:8" s="28" customFormat="1">
      <c r="F63" s="33"/>
      <c r="H63" s="34"/>
    </row>
    <row r="64" spans="3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2:8" s="28" customFormat="1">
      <c r="F673" s="33"/>
      <c r="H673" s="34"/>
    </row>
    <row r="674" spans="2:8" s="28" customFormat="1">
      <c r="F674" s="33"/>
      <c r="H674" s="34"/>
    </row>
    <row r="675" spans="2:8" s="28" customFormat="1">
      <c r="F675" s="33"/>
      <c r="H675" s="34"/>
    </row>
    <row r="676" spans="2:8" s="28" customFormat="1">
      <c r="F676" s="33"/>
      <c r="H676" s="34"/>
    </row>
    <row r="677" spans="2:8">
      <c r="B677" s="28"/>
      <c r="C677" s="28"/>
      <c r="D677" s="28"/>
      <c r="E677" s="28"/>
      <c r="F677" s="33"/>
      <c r="G677" s="28"/>
      <c r="H677" s="34"/>
    </row>
    <row r="678" spans="2:8">
      <c r="B678" s="28"/>
      <c r="C678" s="28"/>
      <c r="D678" s="28"/>
      <c r="E678" s="28"/>
      <c r="F678" s="33"/>
      <c r="G678" s="28"/>
      <c r="H678" s="34"/>
    </row>
    <row r="679" spans="2:8">
      <c r="B679" s="28"/>
      <c r="C679" s="28"/>
      <c r="D679" s="28"/>
      <c r="E679" s="28"/>
      <c r="F679" s="33"/>
      <c r="G679" s="28"/>
      <c r="H679" s="34"/>
    </row>
    <row r="680" spans="2:8">
      <c r="B680" s="28"/>
      <c r="C680" s="28"/>
      <c r="D680" s="28"/>
      <c r="E680" s="28"/>
      <c r="F680" s="33"/>
      <c r="G680" s="28"/>
      <c r="H680" s="34"/>
    </row>
    <row r="681" spans="2:8">
      <c r="B681" s="28"/>
      <c r="C681" s="28"/>
      <c r="D681" s="28"/>
      <c r="E681" s="28"/>
      <c r="F681" s="33"/>
      <c r="G681" s="28"/>
      <c r="H681" s="34"/>
    </row>
    <row r="682" spans="2:8">
      <c r="B682" s="28"/>
      <c r="C682" s="28"/>
      <c r="D682" s="28"/>
      <c r="E682" s="28"/>
      <c r="F682" s="33"/>
      <c r="G682" s="28"/>
      <c r="H682" s="34"/>
    </row>
    <row r="683" spans="2:8">
      <c r="B683" s="28"/>
      <c r="C683" s="28"/>
      <c r="D683" s="28"/>
      <c r="E683" s="28"/>
      <c r="F683" s="33"/>
      <c r="G683" s="28"/>
      <c r="H683" s="34"/>
    </row>
    <row r="684" spans="2:8">
      <c r="B684" s="28"/>
      <c r="C684" s="28"/>
      <c r="D684" s="28"/>
      <c r="E684" s="28"/>
      <c r="F684" s="33"/>
      <c r="G684" s="28"/>
      <c r="H684" s="34"/>
    </row>
    <row r="685" spans="2:8">
      <c r="B685" s="28"/>
      <c r="C685" s="28"/>
      <c r="D685" s="28"/>
      <c r="E685" s="28"/>
      <c r="F685" s="33"/>
      <c r="G685" s="28"/>
      <c r="H685" s="34"/>
    </row>
    <row r="686" spans="2:8">
      <c r="B686" s="28"/>
      <c r="C686" s="28"/>
      <c r="D686" s="28"/>
      <c r="E686" s="28"/>
      <c r="F686" s="33"/>
      <c r="G686" s="28"/>
      <c r="H686" s="34"/>
    </row>
    <row r="687" spans="2:8">
      <c r="B687" s="28"/>
      <c r="C687" s="28"/>
      <c r="D687" s="28"/>
      <c r="E687" s="28"/>
      <c r="F687" s="33"/>
      <c r="G687" s="28"/>
      <c r="H687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64"/>
  <sheetViews>
    <sheetView topLeftCell="A44" zoomScaleNormal="100" workbookViewId="0">
      <selection activeCell="A44" sqref="A4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77" width="9.140625" style="28"/>
  </cols>
  <sheetData>
    <row r="1" spans="1:9" ht="15.95" customHeight="1">
      <c r="A1" s="25"/>
      <c r="B1" s="164" t="s">
        <v>252</v>
      </c>
      <c r="C1" s="165"/>
      <c r="D1" s="165"/>
      <c r="E1" s="165"/>
      <c r="F1" s="165"/>
      <c r="G1" s="165"/>
      <c r="H1" s="166"/>
      <c r="I1" s="1"/>
    </row>
    <row r="2" spans="1:9" ht="12.95" customHeight="1" thickBot="1">
      <c r="A2" s="25"/>
      <c r="B2" s="161" t="s">
        <v>370</v>
      </c>
      <c r="C2" s="162"/>
      <c r="D2" s="162"/>
      <c r="E2" s="162"/>
      <c r="F2" s="162"/>
      <c r="G2" s="162"/>
      <c r="H2" s="163"/>
      <c r="I2" s="1"/>
    </row>
    <row r="3" spans="1:9" s="28" customFormat="1" ht="12.95" customHeight="1">
      <c r="A3" s="25"/>
      <c r="B3" s="87"/>
      <c r="C3" s="87"/>
      <c r="D3" s="87"/>
      <c r="E3" s="87"/>
      <c r="F3" s="87"/>
      <c r="G3" s="87"/>
      <c r="H3" s="87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3" t="s">
        <v>3</v>
      </c>
      <c r="C6" s="54" t="s">
        <v>4</v>
      </c>
      <c r="D6" s="55" t="s">
        <v>49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>
      <c r="A7" s="25"/>
      <c r="B7" s="141" t="s">
        <v>50</v>
      </c>
      <c r="C7" s="39"/>
      <c r="D7" s="40"/>
      <c r="E7" s="40"/>
      <c r="F7" s="41"/>
      <c r="G7" s="40"/>
      <c r="H7" s="58"/>
      <c r="I7" s="140"/>
    </row>
    <row r="8" spans="1:9">
      <c r="A8" s="25"/>
      <c r="B8" s="141" t="s">
        <v>51</v>
      </c>
      <c r="C8" s="39"/>
      <c r="D8" s="40"/>
      <c r="E8" s="40"/>
      <c r="F8" s="41"/>
      <c r="G8" s="40"/>
      <c r="H8" s="58"/>
      <c r="I8" s="140"/>
    </row>
    <row r="9" spans="1:9">
      <c r="A9" s="25"/>
      <c r="B9" s="141" t="s">
        <v>358</v>
      </c>
      <c r="C9" s="39"/>
      <c r="D9" s="40"/>
      <c r="E9" s="40"/>
      <c r="F9" s="41"/>
      <c r="G9" s="40"/>
      <c r="H9" s="58"/>
      <c r="I9" s="140"/>
    </row>
    <row r="10" spans="1:9" ht="12.95" customHeight="1">
      <c r="A10" s="27"/>
      <c r="B10" s="62" t="s">
        <v>256</v>
      </c>
      <c r="C10" s="9" t="s">
        <v>257</v>
      </c>
      <c r="D10" s="9" t="s">
        <v>188</v>
      </c>
      <c r="E10" s="49">
        <v>26000</v>
      </c>
      <c r="F10" s="50">
        <v>79.650999999999996</v>
      </c>
      <c r="G10" s="51">
        <v>79.650000000000006</v>
      </c>
      <c r="H10" s="63">
        <v>8.9610349947936721E-2</v>
      </c>
      <c r="I10" s="2">
        <v>8.9599999999999999E-2</v>
      </c>
    </row>
    <row r="11" spans="1:9" ht="12.95" customHeight="1">
      <c r="A11" s="27"/>
      <c r="B11" s="62" t="s">
        <v>258</v>
      </c>
      <c r="C11" s="9" t="s">
        <v>259</v>
      </c>
      <c r="D11" s="9" t="s">
        <v>64</v>
      </c>
      <c r="E11" s="49">
        <v>9300</v>
      </c>
      <c r="F11" s="50">
        <v>76.817999999999998</v>
      </c>
      <c r="G11" s="51">
        <v>76.819999999999993</v>
      </c>
      <c r="H11" s="63">
        <v>8.6423119135988283E-2</v>
      </c>
      <c r="I11" s="2">
        <v>8.6400000000000005E-2</v>
      </c>
    </row>
    <row r="12" spans="1:9" ht="12.95" customHeight="1">
      <c r="A12" s="27"/>
      <c r="B12" s="62" t="s">
        <v>272</v>
      </c>
      <c r="C12" s="9" t="s">
        <v>273</v>
      </c>
      <c r="D12" s="9" t="s">
        <v>274</v>
      </c>
      <c r="E12" s="49">
        <v>19000</v>
      </c>
      <c r="F12" s="50">
        <v>36.005000000000003</v>
      </c>
      <c r="G12" s="51">
        <v>36.01</v>
      </c>
      <c r="H12" s="63">
        <v>4.0506969779104611E-2</v>
      </c>
      <c r="I12" s="2">
        <v>4.0500000000000001E-2</v>
      </c>
    </row>
    <row r="13" spans="1:9" ht="12.95" customHeight="1">
      <c r="A13" s="27"/>
      <c r="B13" s="62" t="s">
        <v>275</v>
      </c>
      <c r="C13" s="9" t="s">
        <v>276</v>
      </c>
      <c r="D13" s="9" t="s">
        <v>277</v>
      </c>
      <c r="E13" s="49">
        <v>9500</v>
      </c>
      <c r="F13" s="50">
        <v>34.475499999999997</v>
      </c>
      <c r="G13" s="51">
        <v>34.479999999999997</v>
      </c>
      <c r="H13" s="63">
        <v>3.8786225152604388E-2</v>
      </c>
      <c r="I13" s="2">
        <v>3.8800000000000001E-2</v>
      </c>
    </row>
    <row r="14" spans="1:9" ht="12.95" customHeight="1">
      <c r="A14" s="27"/>
      <c r="B14" s="62" t="s">
        <v>292</v>
      </c>
      <c r="C14" s="9" t="s">
        <v>293</v>
      </c>
      <c r="D14" s="9" t="s">
        <v>64</v>
      </c>
      <c r="E14" s="49">
        <v>2400</v>
      </c>
      <c r="F14" s="50">
        <v>19.459199999999999</v>
      </c>
      <c r="G14" s="51">
        <v>19.46</v>
      </c>
      <c r="H14" s="63">
        <v>2.1892326796987986E-2</v>
      </c>
      <c r="I14" s="2">
        <v>2.1899999999999999E-2</v>
      </c>
    </row>
    <row r="15" spans="1:9" ht="12.95" customHeight="1">
      <c r="A15" s="27"/>
      <c r="B15" s="62" t="s">
        <v>298</v>
      </c>
      <c r="C15" s="9" t="s">
        <v>299</v>
      </c>
      <c r="D15" s="9" t="s">
        <v>274</v>
      </c>
      <c r="E15" s="49">
        <v>12000</v>
      </c>
      <c r="F15" s="50">
        <v>15.48</v>
      </c>
      <c r="G15" s="51">
        <v>15.48</v>
      </c>
      <c r="H15" s="63">
        <v>1.741557817471294E-2</v>
      </c>
      <c r="I15" s="2">
        <v>1.7399999999999999E-2</v>
      </c>
    </row>
    <row r="16" spans="1:9" ht="12.95" customHeight="1">
      <c r="A16" s="27"/>
      <c r="B16" s="62" t="s">
        <v>314</v>
      </c>
      <c r="C16" s="9" t="s">
        <v>315</v>
      </c>
      <c r="D16" s="9" t="s">
        <v>188</v>
      </c>
      <c r="E16" s="49">
        <v>5000</v>
      </c>
      <c r="F16" s="50">
        <v>10.692500000000001</v>
      </c>
      <c r="G16" s="51">
        <v>10.69</v>
      </c>
      <c r="H16" s="63">
        <v>1.2029461862604529E-2</v>
      </c>
      <c r="I16" s="2">
        <v>1.2E-2</v>
      </c>
    </row>
    <row r="17" spans="1:9" ht="12.95" customHeight="1">
      <c r="A17" s="27"/>
      <c r="B17" s="62" t="s">
        <v>186</v>
      </c>
      <c r="C17" s="9" t="s">
        <v>187</v>
      </c>
      <c r="D17" s="9" t="s">
        <v>188</v>
      </c>
      <c r="E17" s="49">
        <v>1500</v>
      </c>
      <c r="F17" s="50">
        <v>6.8242500000000001</v>
      </c>
      <c r="G17" s="51">
        <v>6.82</v>
      </c>
      <c r="H17" s="63">
        <v>7.6775361342884228E-3</v>
      </c>
      <c r="I17" s="2">
        <v>7.7000000000000002E-3</v>
      </c>
    </row>
    <row r="18" spans="1:9" ht="12.95" customHeight="1">
      <c r="A18" s="27"/>
      <c r="B18" s="62"/>
      <c r="C18" s="9"/>
      <c r="D18" s="9"/>
      <c r="E18" s="49"/>
      <c r="F18" s="19">
        <f>SUM(F10:F17)</f>
        <v>279.40545000000003</v>
      </c>
      <c r="G18" s="20"/>
      <c r="H18" s="106">
        <f>SUM(H10:H17)</f>
        <v>0.31434156698422788</v>
      </c>
      <c r="I18" s="2"/>
    </row>
    <row r="19" spans="1:9" ht="12.95" customHeight="1">
      <c r="A19" s="27"/>
      <c r="B19" s="62"/>
      <c r="C19" s="9"/>
      <c r="D19" s="9"/>
      <c r="E19" s="49"/>
      <c r="F19" s="50"/>
      <c r="G19" s="51"/>
      <c r="H19" s="63"/>
      <c r="I19" s="2"/>
    </row>
    <row r="20" spans="1:9" ht="12.95" customHeight="1">
      <c r="A20" s="27"/>
      <c r="B20" s="114" t="s">
        <v>359</v>
      </c>
      <c r="C20" s="9"/>
      <c r="D20" s="9"/>
      <c r="E20" s="49"/>
      <c r="F20" s="50"/>
      <c r="G20" s="51"/>
      <c r="H20" s="63"/>
      <c r="I20" s="2"/>
    </row>
    <row r="21" spans="1:9" ht="12.95" customHeight="1">
      <c r="A21" s="27"/>
      <c r="B21" s="114" t="s">
        <v>360</v>
      </c>
      <c r="C21" s="9"/>
      <c r="D21" s="9"/>
      <c r="E21" s="49"/>
      <c r="F21" s="50"/>
      <c r="G21" s="51"/>
      <c r="H21" s="63"/>
      <c r="I21" s="2"/>
    </row>
    <row r="22" spans="1:9" ht="12.95" customHeight="1">
      <c r="A22" s="27"/>
      <c r="B22" s="62" t="s">
        <v>253</v>
      </c>
      <c r="C22" s="9" t="s">
        <v>254</v>
      </c>
      <c r="D22" s="9" t="s">
        <v>255</v>
      </c>
      <c r="E22" s="49">
        <v>5700</v>
      </c>
      <c r="F22" s="50">
        <v>84.066786300000004</v>
      </c>
      <c r="G22" s="51">
        <v>84.07</v>
      </c>
      <c r="H22" s="63">
        <v>9.4578274464117359E-2</v>
      </c>
      <c r="I22" s="2">
        <v>9.4600000000000004E-2</v>
      </c>
    </row>
    <row r="23" spans="1:9" ht="12.95" customHeight="1">
      <c r="A23" s="27"/>
      <c r="B23" s="62" t="s">
        <v>260</v>
      </c>
      <c r="C23" s="9" t="s">
        <v>261</v>
      </c>
      <c r="D23" s="9" t="s">
        <v>262</v>
      </c>
      <c r="E23" s="49">
        <v>92000</v>
      </c>
      <c r="F23" s="50">
        <v>63.605839400000001</v>
      </c>
      <c r="G23" s="51">
        <v>63.61</v>
      </c>
      <c r="H23" s="63">
        <v>7.1558944989595377E-2</v>
      </c>
      <c r="I23" s="2">
        <v>7.1599999999999997E-2</v>
      </c>
    </row>
    <row r="24" spans="1:9" ht="12.95" customHeight="1">
      <c r="A24" s="27"/>
      <c r="B24" s="62" t="s">
        <v>263</v>
      </c>
      <c r="C24" s="9" t="s">
        <v>264</v>
      </c>
      <c r="D24" s="9" t="s">
        <v>262</v>
      </c>
      <c r="E24" s="49">
        <v>116000</v>
      </c>
      <c r="F24" s="50">
        <v>57.672001899999998</v>
      </c>
      <c r="G24" s="51">
        <v>57.67</v>
      </c>
      <c r="H24" s="63">
        <v>6.4883156174524753E-2</v>
      </c>
      <c r="I24" s="2">
        <v>6.4899999999999999E-2</v>
      </c>
    </row>
    <row r="25" spans="1:9" ht="12.95" customHeight="1">
      <c r="A25" s="27"/>
      <c r="B25" s="62" t="s">
        <v>265</v>
      </c>
      <c r="C25" s="9" t="s">
        <v>266</v>
      </c>
      <c r="D25" s="9" t="s">
        <v>267</v>
      </c>
      <c r="E25" s="49">
        <v>63000</v>
      </c>
      <c r="F25" s="50">
        <v>55.638187899999998</v>
      </c>
      <c r="G25" s="51">
        <v>55.64</v>
      </c>
      <c r="H25" s="63">
        <v>6.2595039462003718E-2</v>
      </c>
      <c r="I25" s="2">
        <v>6.2600000000000003E-2</v>
      </c>
    </row>
    <row r="26" spans="1:9" ht="12.95" customHeight="1">
      <c r="A26" s="27"/>
      <c r="B26" s="62" t="s">
        <v>268</v>
      </c>
      <c r="C26" s="9" t="s">
        <v>269</v>
      </c>
      <c r="D26" s="9" t="s">
        <v>255</v>
      </c>
      <c r="E26" s="49">
        <v>1600</v>
      </c>
      <c r="F26" s="50">
        <v>43.522270399999996</v>
      </c>
      <c r="G26" s="51">
        <v>43.52</v>
      </c>
      <c r="H26" s="63">
        <v>4.8964179747557818E-2</v>
      </c>
      <c r="I26" s="2">
        <v>4.9000000000000002E-2</v>
      </c>
    </row>
    <row r="27" spans="1:9" ht="12.95" customHeight="1">
      <c r="A27" s="27"/>
      <c r="B27" s="62" t="s">
        <v>270</v>
      </c>
      <c r="C27" s="9" t="s">
        <v>271</v>
      </c>
      <c r="D27" s="9" t="s">
        <v>267</v>
      </c>
      <c r="E27" s="49">
        <v>2300</v>
      </c>
      <c r="F27" s="50">
        <v>37.736918799999998</v>
      </c>
      <c r="G27" s="51">
        <v>37.74</v>
      </c>
      <c r="H27" s="63">
        <v>4.2455443115904032E-2</v>
      </c>
      <c r="I27" s="2">
        <v>4.2500000000000003E-2</v>
      </c>
    </row>
    <row r="28" spans="1:9" ht="12.95" customHeight="1">
      <c r="A28" s="27"/>
      <c r="B28" s="62" t="s">
        <v>278</v>
      </c>
      <c r="C28" s="9" t="s">
        <v>279</v>
      </c>
      <c r="D28" s="9" t="s">
        <v>280</v>
      </c>
      <c r="E28" s="49">
        <v>4842</v>
      </c>
      <c r="F28" s="50">
        <v>32.311692499999999</v>
      </c>
      <c r="G28" s="51">
        <v>32.31</v>
      </c>
      <c r="H28" s="63">
        <v>3.6351860897353733E-2</v>
      </c>
      <c r="I28" s="2">
        <v>3.6400000000000002E-2</v>
      </c>
    </row>
    <row r="29" spans="1:9" ht="12.95" customHeight="1">
      <c r="A29" s="27"/>
      <c r="B29" s="62" t="s">
        <v>281</v>
      </c>
      <c r="C29" s="9" t="s">
        <v>282</v>
      </c>
      <c r="D29" s="9" t="s">
        <v>283</v>
      </c>
      <c r="E29" s="49">
        <v>16000</v>
      </c>
      <c r="F29" s="50">
        <v>25.527427200000002</v>
      </c>
      <c r="G29" s="51">
        <v>25.53</v>
      </c>
      <c r="H29" s="63">
        <v>2.8719309043985366E-2</v>
      </c>
      <c r="I29" s="2">
        <v>2.87E-2</v>
      </c>
    </row>
    <row r="30" spans="1:9" ht="12.95" customHeight="1">
      <c r="A30" s="27"/>
      <c r="B30" s="62" t="s">
        <v>284</v>
      </c>
      <c r="C30" s="9" t="s">
        <v>285</v>
      </c>
      <c r="D30" s="9" t="s">
        <v>262</v>
      </c>
      <c r="E30" s="49">
        <v>4560</v>
      </c>
      <c r="F30" s="50">
        <v>24.5129321</v>
      </c>
      <c r="G30" s="51">
        <v>24.51</v>
      </c>
      <c r="H30" s="63">
        <v>2.7577964165308801E-2</v>
      </c>
      <c r="I30" s="2">
        <v>2.76E-2</v>
      </c>
    </row>
    <row r="31" spans="1:9" ht="12.95" customHeight="1">
      <c r="A31" s="27"/>
      <c r="B31" s="62" t="s">
        <v>286</v>
      </c>
      <c r="C31" s="9" t="s">
        <v>287</v>
      </c>
      <c r="D31" s="9" t="s">
        <v>288</v>
      </c>
      <c r="E31" s="49">
        <v>9000</v>
      </c>
      <c r="F31" s="50">
        <v>21.284942900000001</v>
      </c>
      <c r="G31" s="51">
        <v>21.28</v>
      </c>
      <c r="H31" s="63">
        <v>2.3946355750597621E-2</v>
      </c>
      <c r="I31" s="2">
        <v>2.3900000000000001E-2</v>
      </c>
    </row>
    <row r="32" spans="1:9" ht="12.95" customHeight="1">
      <c r="A32" s="27"/>
      <c r="B32" s="62" t="s">
        <v>289</v>
      </c>
      <c r="C32" s="9" t="s">
        <v>290</v>
      </c>
      <c r="D32" s="9" t="s">
        <v>291</v>
      </c>
      <c r="E32" s="49">
        <v>2048</v>
      </c>
      <c r="F32" s="50">
        <v>19.4780221</v>
      </c>
      <c r="G32" s="51">
        <v>19.48</v>
      </c>
      <c r="H32" s="63">
        <v>2.1913502362489425E-2</v>
      </c>
      <c r="I32" s="2">
        <v>2.1899999999999999E-2</v>
      </c>
    </row>
    <row r="33" spans="1:9" ht="12.95" customHeight="1">
      <c r="A33" s="27"/>
      <c r="B33" s="62" t="s">
        <v>294</v>
      </c>
      <c r="C33" s="9" t="s">
        <v>295</v>
      </c>
      <c r="D33" s="9" t="s">
        <v>267</v>
      </c>
      <c r="E33" s="49">
        <v>5342</v>
      </c>
      <c r="F33" s="50">
        <v>18.128835599999999</v>
      </c>
      <c r="G33" s="51">
        <v>18.13</v>
      </c>
      <c r="H33" s="63">
        <v>2.0395617158160139E-2</v>
      </c>
      <c r="I33" s="2">
        <v>2.0400000000000001E-2</v>
      </c>
    </row>
    <row r="34" spans="1:9" ht="12.95" customHeight="1">
      <c r="A34" s="27"/>
      <c r="B34" s="62" t="s">
        <v>296</v>
      </c>
      <c r="C34" s="9" t="s">
        <v>297</v>
      </c>
      <c r="D34" s="9" t="s">
        <v>267</v>
      </c>
      <c r="E34" s="49">
        <v>5043</v>
      </c>
      <c r="F34" s="50">
        <v>17.257952899999999</v>
      </c>
      <c r="G34" s="51">
        <v>17.260000000000002</v>
      </c>
      <c r="H34" s="63">
        <v>1.9415841593376219E-2</v>
      </c>
      <c r="I34" s="2">
        <v>1.9400000000000001E-2</v>
      </c>
    </row>
    <row r="35" spans="1:9" ht="12.95" customHeight="1">
      <c r="A35" s="27"/>
      <c r="B35" s="62" t="s">
        <v>300</v>
      </c>
      <c r="C35" s="9" t="s">
        <v>301</v>
      </c>
      <c r="D35" s="9" t="s">
        <v>255</v>
      </c>
      <c r="E35" s="49">
        <v>12000</v>
      </c>
      <c r="F35" s="50">
        <v>13.9433902</v>
      </c>
      <c r="G35" s="51">
        <v>13.94</v>
      </c>
      <c r="H35" s="63">
        <v>1.5686834757663196E-2</v>
      </c>
      <c r="I35" s="2">
        <v>1.5699999999999999E-2</v>
      </c>
    </row>
    <row r="36" spans="1:9" ht="12.95" customHeight="1">
      <c r="A36" s="27"/>
      <c r="B36" s="62" t="s">
        <v>302</v>
      </c>
      <c r="C36" s="9" t="s">
        <v>303</v>
      </c>
      <c r="D36" s="9" t="s">
        <v>304</v>
      </c>
      <c r="E36" s="49">
        <v>100</v>
      </c>
      <c r="F36" s="50">
        <v>13.762905</v>
      </c>
      <c r="G36" s="51">
        <v>13.76</v>
      </c>
      <c r="H36" s="63">
        <v>1.5483782166579302E-2</v>
      </c>
      <c r="I36" s="2">
        <v>1.55E-2</v>
      </c>
    </row>
    <row r="37" spans="1:9" ht="12.95" customHeight="1">
      <c r="A37" s="27"/>
      <c r="B37" s="62" t="s">
        <v>305</v>
      </c>
      <c r="C37" s="9" t="s">
        <v>306</v>
      </c>
      <c r="D37" s="9" t="s">
        <v>267</v>
      </c>
      <c r="E37" s="49">
        <v>22000</v>
      </c>
      <c r="F37" s="50">
        <v>13.3487171</v>
      </c>
      <c r="G37" s="51">
        <v>13.35</v>
      </c>
      <c r="H37" s="63">
        <v>1.5017805309249187E-2</v>
      </c>
      <c r="I37" s="2">
        <v>1.4999999999999999E-2</v>
      </c>
    </row>
    <row r="38" spans="1:9" ht="12.95" customHeight="1">
      <c r="A38" s="27"/>
      <c r="B38" s="62" t="s">
        <v>307</v>
      </c>
      <c r="C38" s="9" t="s">
        <v>308</v>
      </c>
      <c r="D38" s="9" t="s">
        <v>288</v>
      </c>
      <c r="E38" s="49">
        <v>20000</v>
      </c>
      <c r="F38" s="50">
        <v>13.04121</v>
      </c>
      <c r="G38" s="51">
        <v>13.04</v>
      </c>
      <c r="H38" s="63">
        <v>1.4671848336424299E-2</v>
      </c>
      <c r="I38" s="2">
        <v>1.47E-2</v>
      </c>
    </row>
    <row r="39" spans="1:9" ht="12.95" customHeight="1">
      <c r="A39" s="27"/>
      <c r="B39" s="62" t="s">
        <v>309</v>
      </c>
      <c r="C39" s="9" t="s">
        <v>310</v>
      </c>
      <c r="D39" s="9" t="s">
        <v>291</v>
      </c>
      <c r="E39" s="49">
        <v>100</v>
      </c>
      <c r="F39" s="50">
        <v>12.721539999999999</v>
      </c>
      <c r="G39" s="51">
        <v>12.72</v>
      </c>
      <c r="H39" s="63">
        <v>1.4312207646817678E-2</v>
      </c>
      <c r="I39" s="2">
        <v>1.43E-2</v>
      </c>
    </row>
    <row r="40" spans="1:9" ht="12.95" customHeight="1">
      <c r="A40" s="27"/>
      <c r="B40" s="62" t="s">
        <v>311</v>
      </c>
      <c r="C40" s="9" t="s">
        <v>312</v>
      </c>
      <c r="D40" s="9" t="s">
        <v>313</v>
      </c>
      <c r="E40" s="49">
        <v>200</v>
      </c>
      <c r="F40" s="50">
        <v>10.740131999999999</v>
      </c>
      <c r="G40" s="51">
        <v>10.74</v>
      </c>
      <c r="H40" s="63">
        <v>1.2083049641649616E-2</v>
      </c>
      <c r="I40" s="2">
        <v>1.21E-2</v>
      </c>
    </row>
    <row r="41" spans="1:9" ht="12.95" customHeight="1">
      <c r="A41" s="27"/>
      <c r="B41" s="62" t="s">
        <v>316</v>
      </c>
      <c r="C41" s="9" t="s">
        <v>317</v>
      </c>
      <c r="D41" s="9" t="s">
        <v>288</v>
      </c>
      <c r="E41" s="49">
        <v>16000</v>
      </c>
      <c r="F41" s="50">
        <v>9.9531180999999993</v>
      </c>
      <c r="G41" s="51">
        <v>9.9499999999999993</v>
      </c>
      <c r="H41" s="63">
        <v>1.1197629609347566E-2</v>
      </c>
      <c r="I41" s="2">
        <v>1.12E-2</v>
      </c>
    </row>
    <row r="42" spans="1:9" ht="12.95" customHeight="1">
      <c r="A42" s="27"/>
      <c r="B42" s="62" t="s">
        <v>318</v>
      </c>
      <c r="C42" s="9" t="s">
        <v>319</v>
      </c>
      <c r="D42" s="9" t="s">
        <v>304</v>
      </c>
      <c r="E42" s="49">
        <v>2700</v>
      </c>
      <c r="F42" s="50">
        <v>9.1341783000000003</v>
      </c>
      <c r="G42" s="51">
        <v>9.1300000000000008</v>
      </c>
      <c r="H42" s="63">
        <v>1.0276291747119932E-2</v>
      </c>
      <c r="I42" s="2">
        <v>1.03E-2</v>
      </c>
    </row>
    <row r="43" spans="1:9" ht="12.95" customHeight="1">
      <c r="A43" s="27"/>
      <c r="B43" s="62" t="s">
        <v>320</v>
      </c>
      <c r="C43" s="9" t="s">
        <v>321</v>
      </c>
      <c r="D43" s="9" t="s">
        <v>280</v>
      </c>
      <c r="E43" s="49">
        <v>4659</v>
      </c>
      <c r="F43" s="50">
        <v>5.0267394999999997</v>
      </c>
      <c r="G43" s="51">
        <v>5.03</v>
      </c>
      <c r="H43" s="63">
        <v>5.6552696851529353E-3</v>
      </c>
      <c r="I43" s="2">
        <v>5.7000000000000002E-3</v>
      </c>
    </row>
    <row r="44" spans="1:9" ht="12.95" customHeight="1">
      <c r="A44" s="27"/>
      <c r="B44" s="62"/>
      <c r="C44" s="9"/>
      <c r="D44" s="9"/>
      <c r="E44" s="49"/>
      <c r="F44" s="112">
        <f>SUM(F22:F43)</f>
        <v>602.41574020000007</v>
      </c>
      <c r="G44" s="52"/>
      <c r="H44" s="64">
        <f>SUM(H22:H43)</f>
        <v>0.67774020782497824</v>
      </c>
      <c r="I44" s="2"/>
    </row>
    <row r="45" spans="1:9" ht="12.95" customHeight="1">
      <c r="A45" s="27"/>
      <c r="B45" s="62"/>
      <c r="C45" s="9"/>
      <c r="D45" s="9"/>
      <c r="E45" s="49"/>
      <c r="F45" s="112"/>
      <c r="G45" s="52"/>
      <c r="H45" s="64"/>
      <c r="I45" s="2"/>
    </row>
    <row r="46" spans="1:9" ht="12.95" customHeight="1">
      <c r="A46" s="25"/>
      <c r="B46" s="60" t="s">
        <v>39</v>
      </c>
      <c r="C46" s="9" t="s">
        <v>1</v>
      </c>
      <c r="D46" s="9" t="s">
        <v>1</v>
      </c>
      <c r="E46" s="9" t="s">
        <v>1</v>
      </c>
      <c r="F46" s="10">
        <v>881.82119020000005</v>
      </c>
      <c r="G46" s="52">
        <v>881.82</v>
      </c>
      <c r="H46" s="64">
        <v>0.99208177480920601</v>
      </c>
      <c r="I46" s="37">
        <v>0.99229999999999996</v>
      </c>
    </row>
    <row r="47" spans="1:9" ht="12.95" customHeight="1">
      <c r="A47" s="25"/>
      <c r="B47" s="60" t="s">
        <v>194</v>
      </c>
      <c r="C47" s="9" t="s">
        <v>1</v>
      </c>
      <c r="D47" s="9" t="s">
        <v>1</v>
      </c>
      <c r="E47" s="9" t="s">
        <v>1</v>
      </c>
      <c r="F47" s="10" t="s">
        <v>195</v>
      </c>
      <c r="G47" s="92" t="s">
        <v>195</v>
      </c>
      <c r="H47" s="64" t="s">
        <v>195</v>
      </c>
      <c r="I47" s="89" t="s">
        <v>195</v>
      </c>
    </row>
    <row r="48" spans="1:9" ht="12.95" customHeight="1">
      <c r="A48" s="25"/>
      <c r="B48" s="60" t="s">
        <v>39</v>
      </c>
      <c r="C48" s="9" t="s">
        <v>1</v>
      </c>
      <c r="D48" s="9" t="s">
        <v>1</v>
      </c>
      <c r="E48" s="9" t="s">
        <v>1</v>
      </c>
      <c r="F48" s="10" t="s">
        <v>195</v>
      </c>
      <c r="G48" s="92" t="s">
        <v>195</v>
      </c>
      <c r="H48" s="64" t="s">
        <v>195</v>
      </c>
      <c r="I48" s="89" t="s">
        <v>195</v>
      </c>
    </row>
    <row r="49" spans="1:9" ht="12.95" customHeight="1">
      <c r="A49" s="25"/>
      <c r="B49" s="60" t="s">
        <v>40</v>
      </c>
      <c r="C49" s="9" t="s">
        <v>1</v>
      </c>
      <c r="D49" s="9" t="s">
        <v>1</v>
      </c>
      <c r="E49" s="9" t="s">
        <v>1</v>
      </c>
      <c r="F49" s="10">
        <v>881.82119020000005</v>
      </c>
      <c r="G49" s="52">
        <v>881.82</v>
      </c>
      <c r="H49" s="64">
        <v>0.99208177480920601</v>
      </c>
      <c r="I49" s="37">
        <v>0.99229999999999996</v>
      </c>
    </row>
    <row r="50" spans="1:9" ht="12.95" customHeight="1">
      <c r="A50" s="25"/>
      <c r="B50" s="60"/>
      <c r="C50" s="9"/>
      <c r="D50" s="9"/>
      <c r="E50" s="9"/>
      <c r="F50" s="10"/>
      <c r="G50" s="52"/>
      <c r="H50" s="64"/>
      <c r="I50" s="74"/>
    </row>
    <row r="51" spans="1:9" ht="12.95" customHeight="1">
      <c r="A51" s="25"/>
      <c r="B51" s="7" t="s">
        <v>352</v>
      </c>
      <c r="C51" s="8"/>
      <c r="D51" s="9"/>
      <c r="E51" s="9"/>
      <c r="F51" s="112"/>
      <c r="G51" s="52"/>
      <c r="H51" s="64"/>
      <c r="I51" s="21"/>
    </row>
    <row r="52" spans="1:9" ht="12.95" customHeight="1">
      <c r="A52" s="27"/>
      <c r="B52" s="11" t="s">
        <v>356</v>
      </c>
      <c r="C52" s="8"/>
      <c r="D52" s="9"/>
      <c r="E52" s="20" t="s">
        <v>195</v>
      </c>
      <c r="F52" s="20"/>
      <c r="G52" s="20" t="s">
        <v>195</v>
      </c>
      <c r="H52" s="142" t="s">
        <v>195</v>
      </c>
      <c r="I52" s="22" t="s">
        <v>195</v>
      </c>
    </row>
    <row r="53" spans="1:9" ht="12.95" customHeight="1">
      <c r="A53" s="25"/>
      <c r="B53" s="14" t="s">
        <v>354</v>
      </c>
      <c r="C53" s="8"/>
      <c r="D53" s="9"/>
      <c r="E53" s="20" t="s">
        <v>195</v>
      </c>
      <c r="F53" s="20"/>
      <c r="G53" s="20" t="s">
        <v>195</v>
      </c>
      <c r="H53" s="142" t="s">
        <v>195</v>
      </c>
      <c r="I53" s="22" t="s">
        <v>195</v>
      </c>
    </row>
    <row r="54" spans="1:9" ht="12.95" customHeight="1">
      <c r="A54" s="25"/>
      <c r="B54" s="14" t="s">
        <v>355</v>
      </c>
      <c r="C54" s="8"/>
      <c r="D54" s="9"/>
      <c r="E54" s="20" t="s">
        <v>195</v>
      </c>
      <c r="F54" s="20"/>
      <c r="G54" s="20" t="s">
        <v>195</v>
      </c>
      <c r="H54" s="142" t="s">
        <v>195</v>
      </c>
      <c r="I54" s="22" t="s">
        <v>195</v>
      </c>
    </row>
    <row r="55" spans="1:9" ht="12.95" customHeight="1">
      <c r="A55" s="25"/>
      <c r="B55" s="14"/>
      <c r="C55" s="8"/>
      <c r="D55" s="9"/>
      <c r="E55" s="75"/>
      <c r="F55" s="75"/>
      <c r="G55" s="75"/>
      <c r="H55" s="13"/>
      <c r="I55" s="120"/>
    </row>
    <row r="56" spans="1:9" ht="12.95" customHeight="1">
      <c r="A56" s="25"/>
      <c r="B56" s="135" t="s">
        <v>11</v>
      </c>
      <c r="C56" s="8"/>
      <c r="D56" s="9"/>
      <c r="E56" s="75"/>
      <c r="F56" s="75"/>
      <c r="G56" s="75"/>
      <c r="H56" s="13"/>
      <c r="I56" s="120"/>
    </row>
    <row r="57" spans="1:9" ht="12.95" customHeight="1">
      <c r="A57" s="25"/>
      <c r="B57" s="14"/>
      <c r="C57" s="8"/>
      <c r="D57" s="9"/>
      <c r="E57" s="75"/>
      <c r="F57" s="75"/>
      <c r="G57" s="75"/>
      <c r="H57" s="13"/>
      <c r="I57" s="120"/>
    </row>
    <row r="58" spans="1:9" ht="12.95" customHeight="1">
      <c r="A58" s="25"/>
      <c r="B58" s="60" t="s">
        <v>41</v>
      </c>
      <c r="C58" s="9" t="s">
        <v>1</v>
      </c>
      <c r="D58" s="9" t="s">
        <v>1</v>
      </c>
      <c r="E58" s="9" t="s">
        <v>1</v>
      </c>
      <c r="F58" s="47" t="s">
        <v>1</v>
      </c>
      <c r="G58" s="48"/>
      <c r="H58" s="61" t="s">
        <v>1</v>
      </c>
      <c r="I58" s="36" t="s">
        <v>1</v>
      </c>
    </row>
    <row r="59" spans="1:9" ht="12.95" customHeight="1">
      <c r="A59" s="27"/>
      <c r="B59" s="62" t="s">
        <v>42</v>
      </c>
      <c r="C59" s="9" t="s">
        <v>1</v>
      </c>
      <c r="D59" s="9" t="s">
        <v>43</v>
      </c>
      <c r="E59" s="49"/>
      <c r="F59" s="50">
        <v>8.8702793</v>
      </c>
      <c r="G59" s="51">
        <v>8.8699999999999992</v>
      </c>
      <c r="H59" s="63">
        <v>9.9793955155483196E-3</v>
      </c>
      <c r="I59" s="2">
        <v>0.01</v>
      </c>
    </row>
    <row r="60" spans="1:9" ht="12.95" customHeight="1">
      <c r="A60" s="25"/>
      <c r="B60" s="60" t="s">
        <v>39</v>
      </c>
      <c r="C60" s="9" t="s">
        <v>1</v>
      </c>
      <c r="D60" s="9" t="s">
        <v>1</v>
      </c>
      <c r="E60" s="9" t="s">
        <v>1</v>
      </c>
      <c r="F60" s="10">
        <v>8.8702793</v>
      </c>
      <c r="G60" s="52">
        <v>8.8699999999999992</v>
      </c>
      <c r="H60" s="64">
        <v>9.9793955155483196E-3</v>
      </c>
      <c r="I60" s="37">
        <v>0.01</v>
      </c>
    </row>
    <row r="61" spans="1:9" ht="12.95" customHeight="1">
      <c r="A61" s="25"/>
      <c r="B61" s="60"/>
      <c r="C61" s="9"/>
      <c r="D61" s="9"/>
      <c r="E61" s="9"/>
      <c r="F61" s="10"/>
      <c r="G61" s="52"/>
      <c r="H61" s="64"/>
      <c r="I61" s="37"/>
    </row>
    <row r="62" spans="1:9" ht="12.95" customHeight="1">
      <c r="A62" s="25"/>
      <c r="B62" s="60" t="s">
        <v>44</v>
      </c>
      <c r="C62" s="9" t="s">
        <v>1</v>
      </c>
      <c r="D62" s="9" t="s">
        <v>1</v>
      </c>
      <c r="E62" s="9" t="s">
        <v>1</v>
      </c>
      <c r="F62" s="12">
        <v>-1.8320905747</v>
      </c>
      <c r="G62" s="75">
        <v>-1.83</v>
      </c>
      <c r="H62" s="76">
        <v>-2.0611703247542953E-3</v>
      </c>
      <c r="I62" s="37">
        <v>-2.3E-3</v>
      </c>
    </row>
    <row r="63" spans="1:9" ht="12.95" customHeight="1">
      <c r="A63" s="25"/>
      <c r="B63" s="60" t="s">
        <v>39</v>
      </c>
      <c r="C63" s="15"/>
      <c r="D63" s="15"/>
      <c r="E63" s="15"/>
      <c r="F63" s="10">
        <v>-1.8320905747</v>
      </c>
      <c r="G63" s="52">
        <v>-1.83</v>
      </c>
      <c r="H63" s="64">
        <v>-2.0611703247542953E-3</v>
      </c>
      <c r="I63" s="74"/>
    </row>
    <row r="64" spans="1:9" ht="12.95" customHeight="1">
      <c r="A64" s="25"/>
      <c r="B64" s="60" t="s">
        <v>40</v>
      </c>
      <c r="C64" s="15"/>
      <c r="D64" s="15"/>
      <c r="E64" s="15"/>
      <c r="F64" s="16">
        <f>F60+F63</f>
        <v>7.0381887252999995</v>
      </c>
      <c r="G64" s="16">
        <f t="shared" ref="G64:H64" si="0">G60+G63</f>
        <v>7.0399999999999991</v>
      </c>
      <c r="H64" s="64">
        <f t="shared" si="0"/>
        <v>7.9182251907940239E-3</v>
      </c>
      <c r="I64" s="74"/>
    </row>
    <row r="65" spans="1:9" ht="12.95" customHeight="1">
      <c r="A65" s="25"/>
      <c r="B65" s="71"/>
      <c r="C65" s="15"/>
      <c r="D65" s="15"/>
      <c r="E65" s="15"/>
      <c r="F65" s="16"/>
      <c r="G65" s="72"/>
      <c r="H65" s="73"/>
      <c r="I65" s="74"/>
    </row>
    <row r="66" spans="1:9" ht="12.95" customHeight="1" thickBot="1">
      <c r="A66" s="25"/>
      <c r="B66" s="65" t="s">
        <v>45</v>
      </c>
      <c r="C66" s="66" t="s">
        <v>1</v>
      </c>
      <c r="D66" s="66" t="s">
        <v>1</v>
      </c>
      <c r="E66" s="66" t="s">
        <v>1</v>
      </c>
      <c r="F66" s="67">
        <v>888.85937892530001</v>
      </c>
      <c r="G66" s="68">
        <v>888.86</v>
      </c>
      <c r="H66" s="69">
        <v>1</v>
      </c>
      <c r="I66" s="38">
        <v>1</v>
      </c>
    </row>
    <row r="67" spans="1:9" s="28" customFormat="1" ht="12.95" customHeight="1">
      <c r="A67" s="25"/>
      <c r="B67" s="26" t="s">
        <v>1</v>
      </c>
      <c r="C67" s="25"/>
      <c r="D67" s="25"/>
      <c r="E67" s="25"/>
      <c r="F67" s="30"/>
      <c r="G67" s="25"/>
      <c r="H67" s="31"/>
      <c r="I67" s="25"/>
    </row>
    <row r="68" spans="1:9" s="28" customFormat="1" ht="12.95" customHeight="1">
      <c r="A68" s="25"/>
      <c r="B68" s="32" t="s">
        <v>43</v>
      </c>
      <c r="C68" s="25"/>
      <c r="D68" s="25"/>
      <c r="E68" s="25"/>
      <c r="F68" s="30"/>
      <c r="G68" s="25"/>
      <c r="H68" s="31"/>
      <c r="I68" s="25"/>
    </row>
    <row r="69" spans="1:9" s="28" customFormat="1" ht="12.95" customHeight="1">
      <c r="A69" s="25"/>
      <c r="B69" s="32" t="s">
        <v>361</v>
      </c>
      <c r="C69" s="25"/>
      <c r="D69" s="25"/>
      <c r="E69" s="25"/>
      <c r="F69" s="30"/>
      <c r="G69" s="25"/>
      <c r="H69" s="31"/>
      <c r="I69" s="25"/>
    </row>
    <row r="70" spans="1:9" s="28" customFormat="1">
      <c r="B70" s="111" t="s">
        <v>362</v>
      </c>
      <c r="F70" s="33"/>
      <c r="H70" s="34"/>
    </row>
    <row r="71" spans="1:9" s="28" customFormat="1" ht="13.5" thickBot="1">
      <c r="F71" s="33"/>
      <c r="H71" s="34"/>
    </row>
    <row r="72" spans="1:9" s="28" customFormat="1" ht="13.5" thickBot="1">
      <c r="B72" s="143" t="s">
        <v>368</v>
      </c>
      <c r="C72" s="144">
        <v>0.15920000000000001</v>
      </c>
      <c r="F72" s="33"/>
      <c r="H72" s="34"/>
    </row>
    <row r="73" spans="1:9" s="28" customFormat="1">
      <c r="B73" s="109" t="s">
        <v>369</v>
      </c>
      <c r="C73" s="109"/>
      <c r="F73" s="33"/>
      <c r="H73" s="34"/>
    </row>
    <row r="74" spans="1:9" s="28" customFormat="1">
      <c r="F74" s="33"/>
      <c r="H74" s="34"/>
    </row>
    <row r="75" spans="1:9" s="28" customFormat="1">
      <c r="C75" s="33"/>
      <c r="E75" s="34"/>
    </row>
    <row r="76" spans="1:9" s="28" customFormat="1">
      <c r="C76" s="33"/>
      <c r="E76" s="34"/>
    </row>
    <row r="77" spans="1:9" s="28" customFormat="1">
      <c r="C77" s="33"/>
      <c r="E77" s="34"/>
    </row>
    <row r="78" spans="1:9" s="28" customFormat="1">
      <c r="C78" s="33"/>
      <c r="E78" s="34"/>
    </row>
    <row r="79" spans="1:9" s="28" customFormat="1">
      <c r="C79" s="33"/>
      <c r="E79" s="34"/>
    </row>
    <row r="80" spans="1:9" s="28" customFormat="1">
      <c r="C80" s="33"/>
      <c r="E80" s="34"/>
    </row>
    <row r="81" spans="3:8" s="28" customFormat="1">
      <c r="C81" s="33"/>
      <c r="E81" s="34"/>
    </row>
    <row r="82" spans="3:8" s="28" customFormat="1">
      <c r="C82" s="33"/>
      <c r="E82" s="34"/>
    </row>
    <row r="83" spans="3:8" s="28" customFormat="1">
      <c r="C83" s="33"/>
      <c r="E83" s="34"/>
    </row>
    <row r="84" spans="3:8" s="28" customFormat="1">
      <c r="C84" s="33"/>
      <c r="E84" s="34"/>
    </row>
    <row r="85" spans="3:8" s="28" customFormat="1">
      <c r="C85" s="33"/>
      <c r="E85" s="34"/>
    </row>
    <row r="86" spans="3:8" s="28" customFormat="1">
      <c r="C86" s="33"/>
      <c r="E86" s="34"/>
    </row>
    <row r="87" spans="3:8" s="28" customFormat="1">
      <c r="C87" s="33"/>
      <c r="E87" s="34"/>
    </row>
    <row r="88" spans="3:8" s="28" customFormat="1">
      <c r="C88" s="33"/>
      <c r="E88" s="34"/>
    </row>
    <row r="89" spans="3:8" s="28" customFormat="1">
      <c r="C89" s="33"/>
      <c r="E89" s="34"/>
    </row>
    <row r="90" spans="3:8" s="28" customFormat="1">
      <c r="C90" s="33"/>
      <c r="E90" s="34"/>
    </row>
    <row r="91" spans="3:8" s="28" customFormat="1">
      <c r="F91" s="33"/>
      <c r="H91" s="34"/>
    </row>
    <row r="92" spans="3:8" s="28" customFormat="1">
      <c r="F92" s="33"/>
      <c r="H92" s="34"/>
    </row>
    <row r="93" spans="3:8" s="28" customFormat="1">
      <c r="F93" s="33"/>
      <c r="H93" s="34"/>
    </row>
    <row r="94" spans="3:8" s="28" customFormat="1">
      <c r="F94" s="33"/>
      <c r="H94" s="34"/>
    </row>
    <row r="95" spans="3:8" s="28" customFormat="1">
      <c r="F95" s="33"/>
      <c r="H95" s="34"/>
    </row>
    <row r="96" spans="3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890"/>
  <sheetViews>
    <sheetView topLeftCell="A44" zoomScaleNormal="100" workbookViewId="0">
      <selection activeCell="A44" sqref="A44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20.140625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101" width="9.140625" style="28"/>
  </cols>
  <sheetData>
    <row r="1" spans="1:9" ht="21" customHeight="1">
      <c r="A1" s="25"/>
      <c r="B1" s="164" t="s">
        <v>322</v>
      </c>
      <c r="C1" s="165"/>
      <c r="D1" s="165"/>
      <c r="E1" s="165"/>
      <c r="F1" s="165"/>
      <c r="G1" s="165"/>
      <c r="H1" s="166"/>
      <c r="I1" s="1"/>
    </row>
    <row r="2" spans="1:9" ht="12.95" customHeight="1" thickBot="1">
      <c r="A2" s="25"/>
      <c r="B2" s="170" t="s">
        <v>370</v>
      </c>
      <c r="C2" s="171"/>
      <c r="D2" s="171"/>
      <c r="E2" s="171"/>
      <c r="F2" s="171"/>
      <c r="G2" s="171"/>
      <c r="H2" s="172"/>
      <c r="I2" s="1"/>
    </row>
    <row r="3" spans="1:9" s="28" customFormat="1" ht="12.95" customHeight="1">
      <c r="A3" s="25"/>
      <c r="B3" s="145"/>
      <c r="C3" s="145"/>
      <c r="D3" s="145"/>
      <c r="E3" s="145"/>
      <c r="F3" s="145"/>
      <c r="G3" s="145"/>
      <c r="H3" s="145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3" t="s">
        <v>3</v>
      </c>
      <c r="C6" s="54" t="s">
        <v>4</v>
      </c>
      <c r="D6" s="55" t="s">
        <v>363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 ht="12.95" customHeight="1">
      <c r="A7" s="25"/>
      <c r="B7" s="60" t="s">
        <v>50</v>
      </c>
      <c r="C7" s="9" t="s">
        <v>1</v>
      </c>
      <c r="D7" s="9" t="s">
        <v>1</v>
      </c>
      <c r="E7" s="9" t="s">
        <v>1</v>
      </c>
      <c r="F7" s="47" t="s">
        <v>1</v>
      </c>
      <c r="G7" s="48"/>
      <c r="H7" s="61" t="s">
        <v>1</v>
      </c>
      <c r="I7" s="36" t="s">
        <v>1</v>
      </c>
    </row>
    <row r="8" spans="1:9" ht="12.95" customHeight="1">
      <c r="A8" s="25"/>
      <c r="B8" s="60" t="s">
        <v>51</v>
      </c>
      <c r="C8" s="9" t="s">
        <v>1</v>
      </c>
      <c r="D8" s="9" t="s">
        <v>1</v>
      </c>
      <c r="E8" s="9" t="s">
        <v>1</v>
      </c>
      <c r="F8" s="47" t="s">
        <v>1</v>
      </c>
      <c r="G8" s="48"/>
      <c r="H8" s="61" t="s">
        <v>1</v>
      </c>
      <c r="I8" s="36" t="s">
        <v>1</v>
      </c>
    </row>
    <row r="9" spans="1:9" ht="12.95" customHeight="1">
      <c r="A9" s="27"/>
      <c r="B9" s="62" t="s">
        <v>198</v>
      </c>
      <c r="C9" s="9" t="s">
        <v>199</v>
      </c>
      <c r="D9" s="9" t="s">
        <v>54</v>
      </c>
      <c r="E9" s="49">
        <v>660500</v>
      </c>
      <c r="F9" s="50">
        <v>6754.9335000000001</v>
      </c>
      <c r="G9" s="51">
        <v>6754.93</v>
      </c>
      <c r="H9" s="63">
        <v>6.7467841155788452E-2</v>
      </c>
      <c r="I9" s="2">
        <v>6.7500000000000004E-2</v>
      </c>
    </row>
    <row r="10" spans="1:9" ht="12.95" customHeight="1">
      <c r="A10" s="27"/>
      <c r="B10" s="62" t="s">
        <v>58</v>
      </c>
      <c r="C10" s="9" t="s">
        <v>59</v>
      </c>
      <c r="D10" s="9" t="s">
        <v>54</v>
      </c>
      <c r="E10" s="49">
        <v>2062500</v>
      </c>
      <c r="F10" s="50">
        <v>6507.1875</v>
      </c>
      <c r="G10" s="51">
        <v>6507.19</v>
      </c>
      <c r="H10" s="63">
        <v>6.499337004885869E-2</v>
      </c>
      <c r="I10" s="2">
        <v>6.5000000000000002E-2</v>
      </c>
    </row>
    <row r="11" spans="1:9" ht="12.95" customHeight="1">
      <c r="A11" s="27"/>
      <c r="B11" s="62" t="s">
        <v>323</v>
      </c>
      <c r="C11" s="9" t="s">
        <v>324</v>
      </c>
      <c r="D11" s="9" t="s">
        <v>82</v>
      </c>
      <c r="E11" s="49">
        <v>248750</v>
      </c>
      <c r="F11" s="50">
        <v>4277.6293750000004</v>
      </c>
      <c r="G11" s="51">
        <v>4277.63</v>
      </c>
      <c r="H11" s="63">
        <v>4.2724686955961093E-2</v>
      </c>
      <c r="I11" s="2">
        <v>4.2700000000000002E-2</v>
      </c>
    </row>
    <row r="12" spans="1:9" ht="12.95" customHeight="1">
      <c r="A12" s="27"/>
      <c r="B12" s="62" t="s">
        <v>325</v>
      </c>
      <c r="C12" s="9" t="s">
        <v>326</v>
      </c>
      <c r="D12" s="9" t="s">
        <v>125</v>
      </c>
      <c r="E12" s="49">
        <v>170906</v>
      </c>
      <c r="F12" s="50">
        <v>3791.2932510000001</v>
      </c>
      <c r="G12" s="51">
        <v>3791.29</v>
      </c>
      <c r="H12" s="63">
        <v>3.7867193042460119E-2</v>
      </c>
      <c r="I12" s="2">
        <v>3.7900000000000003E-2</v>
      </c>
    </row>
    <row r="13" spans="1:9" ht="12.95" customHeight="1">
      <c r="A13" s="27"/>
      <c r="B13" s="62" t="s">
        <v>327</v>
      </c>
      <c r="C13" s="9" t="s">
        <v>328</v>
      </c>
      <c r="D13" s="9" t="s">
        <v>125</v>
      </c>
      <c r="E13" s="49">
        <v>136700</v>
      </c>
      <c r="F13" s="50">
        <v>3491.2496500000002</v>
      </c>
      <c r="G13" s="51">
        <v>3491.25</v>
      </c>
      <c r="H13" s="63">
        <v>3.4870376861800639E-2</v>
      </c>
      <c r="I13" s="2">
        <v>3.49E-2</v>
      </c>
    </row>
    <row r="14" spans="1:9" ht="12.95" customHeight="1">
      <c r="A14" s="27"/>
      <c r="B14" s="62" t="s">
        <v>329</v>
      </c>
      <c r="C14" s="9" t="s">
        <v>330</v>
      </c>
      <c r="D14" s="9" t="s">
        <v>73</v>
      </c>
      <c r="E14" s="49">
        <v>307200</v>
      </c>
      <c r="F14" s="50">
        <v>3145.4207999999999</v>
      </c>
      <c r="G14" s="51">
        <v>3145.42</v>
      </c>
      <c r="H14" s="63">
        <v>3.1416260560154001E-2</v>
      </c>
      <c r="I14" s="2">
        <v>3.1399999999999997E-2</v>
      </c>
    </row>
    <row r="15" spans="1:9" ht="12.95" customHeight="1">
      <c r="A15" s="27"/>
      <c r="B15" s="62" t="s">
        <v>205</v>
      </c>
      <c r="C15" s="9" t="s">
        <v>206</v>
      </c>
      <c r="D15" s="9" t="s">
        <v>57</v>
      </c>
      <c r="E15" s="49">
        <v>234275</v>
      </c>
      <c r="F15" s="50">
        <v>3082.3561749999999</v>
      </c>
      <c r="G15" s="51">
        <v>3082.36</v>
      </c>
      <c r="H15" s="63">
        <v>3.0786375143510097E-2</v>
      </c>
      <c r="I15" s="2">
        <v>3.0800000000000001E-2</v>
      </c>
    </row>
    <row r="16" spans="1:9" ht="12.95" customHeight="1">
      <c r="A16" s="27"/>
      <c r="B16" s="62" t="s">
        <v>210</v>
      </c>
      <c r="C16" s="9" t="s">
        <v>211</v>
      </c>
      <c r="D16" s="9" t="s">
        <v>134</v>
      </c>
      <c r="E16" s="49">
        <v>83350</v>
      </c>
      <c r="F16" s="50">
        <v>3081.7412250000002</v>
      </c>
      <c r="G16" s="51">
        <v>3081.74</v>
      </c>
      <c r="H16" s="63">
        <v>3.0780233062478693E-2</v>
      </c>
      <c r="I16" s="2">
        <v>3.0800000000000001E-2</v>
      </c>
    </row>
    <row r="17" spans="1:9" ht="12.95" customHeight="1">
      <c r="A17" s="27"/>
      <c r="B17" s="62" t="s">
        <v>235</v>
      </c>
      <c r="C17" s="9" t="s">
        <v>236</v>
      </c>
      <c r="D17" s="9" t="s">
        <v>54</v>
      </c>
      <c r="E17" s="49">
        <v>1144350</v>
      </c>
      <c r="F17" s="50">
        <v>3055.9866750000001</v>
      </c>
      <c r="G17" s="51">
        <v>3055.99</v>
      </c>
      <c r="H17" s="63">
        <v>3.0522998274240022E-2</v>
      </c>
      <c r="I17" s="2">
        <v>3.0499999999999999E-2</v>
      </c>
    </row>
    <row r="18" spans="1:9" ht="12.95" customHeight="1">
      <c r="A18" s="27"/>
      <c r="B18" s="62" t="s">
        <v>203</v>
      </c>
      <c r="C18" s="9" t="s">
        <v>204</v>
      </c>
      <c r="D18" s="9" t="s">
        <v>54</v>
      </c>
      <c r="E18" s="49">
        <v>344100</v>
      </c>
      <c r="F18" s="50">
        <v>3048.7260000000001</v>
      </c>
      <c r="G18" s="51">
        <v>3048.73</v>
      </c>
      <c r="H18" s="63">
        <v>3.0450479119523872E-2</v>
      </c>
      <c r="I18" s="2">
        <v>3.0499999999999999E-2</v>
      </c>
    </row>
    <row r="19" spans="1:9" ht="12.95" customHeight="1">
      <c r="A19" s="27"/>
      <c r="B19" s="62" t="s">
        <v>208</v>
      </c>
      <c r="C19" s="9" t="s">
        <v>209</v>
      </c>
      <c r="D19" s="9" t="s">
        <v>99</v>
      </c>
      <c r="E19" s="49">
        <v>895500</v>
      </c>
      <c r="F19" s="50">
        <v>2917.98675</v>
      </c>
      <c r="G19" s="51">
        <v>2917.99</v>
      </c>
      <c r="H19" s="63">
        <v>2.9144663902863795E-2</v>
      </c>
      <c r="I19" s="2">
        <v>2.9100000000000001E-2</v>
      </c>
    </row>
    <row r="20" spans="1:9" ht="12.95" customHeight="1">
      <c r="A20" s="27"/>
      <c r="B20" s="62" t="s">
        <v>215</v>
      </c>
      <c r="C20" s="9" t="s">
        <v>216</v>
      </c>
      <c r="D20" s="9" t="s">
        <v>134</v>
      </c>
      <c r="E20" s="49">
        <v>105900</v>
      </c>
      <c r="F20" s="50">
        <v>2795.5482000000002</v>
      </c>
      <c r="G20" s="51">
        <v>2795.55</v>
      </c>
      <c r="H20" s="63">
        <v>2.7921755543700071E-2</v>
      </c>
      <c r="I20" s="2">
        <v>2.7900000000000001E-2</v>
      </c>
    </row>
    <row r="21" spans="1:9" ht="12.95" customHeight="1">
      <c r="A21" s="27"/>
      <c r="B21" s="62" t="s">
        <v>62</v>
      </c>
      <c r="C21" s="9" t="s">
        <v>63</v>
      </c>
      <c r="D21" s="9" t="s">
        <v>64</v>
      </c>
      <c r="E21" s="49">
        <v>411250</v>
      </c>
      <c r="F21" s="50">
        <v>2672.3024999999998</v>
      </c>
      <c r="G21" s="51">
        <v>2672.3</v>
      </c>
      <c r="H21" s="63">
        <v>2.6690785422271938E-2</v>
      </c>
      <c r="I21" s="2">
        <v>2.6700000000000002E-2</v>
      </c>
    </row>
    <row r="22" spans="1:9" ht="12.95" customHeight="1">
      <c r="A22" s="27"/>
      <c r="B22" s="62" t="s">
        <v>258</v>
      </c>
      <c r="C22" s="9" t="s">
        <v>259</v>
      </c>
      <c r="D22" s="9" t="s">
        <v>64</v>
      </c>
      <c r="E22" s="49">
        <v>305900</v>
      </c>
      <c r="F22" s="50">
        <v>2526.7339999999999</v>
      </c>
      <c r="G22" s="51">
        <v>2526.73</v>
      </c>
      <c r="H22" s="63">
        <v>2.5236856610791204E-2</v>
      </c>
      <c r="I22" s="2">
        <v>2.52E-2</v>
      </c>
    </row>
    <row r="23" spans="1:9" ht="12.95" customHeight="1">
      <c r="A23" s="27"/>
      <c r="B23" s="62" t="s">
        <v>331</v>
      </c>
      <c r="C23" s="9" t="s">
        <v>332</v>
      </c>
      <c r="D23" s="9" t="s">
        <v>54</v>
      </c>
      <c r="E23" s="49">
        <v>430500</v>
      </c>
      <c r="F23" s="50">
        <v>2411.6610000000001</v>
      </c>
      <c r="G23" s="51">
        <v>2411.66</v>
      </c>
      <c r="H23" s="63">
        <v>2.4087514891095514E-2</v>
      </c>
      <c r="I23" s="2">
        <v>2.41E-2</v>
      </c>
    </row>
    <row r="24" spans="1:9" ht="12.95" customHeight="1">
      <c r="A24" s="27"/>
      <c r="B24" s="62" t="s">
        <v>364</v>
      </c>
      <c r="C24" s="9" t="s">
        <v>207</v>
      </c>
      <c r="D24" s="9" t="s">
        <v>134</v>
      </c>
      <c r="E24" s="49">
        <v>710550</v>
      </c>
      <c r="F24" s="50">
        <v>2355.8285249999999</v>
      </c>
      <c r="G24" s="51">
        <v>2355.83</v>
      </c>
      <c r="H24" s="63">
        <v>2.3529863723303183E-2</v>
      </c>
      <c r="I24" s="2">
        <v>2.35E-2</v>
      </c>
    </row>
    <row r="25" spans="1:9" ht="12.95" customHeight="1">
      <c r="A25" s="27"/>
      <c r="B25" s="62" t="s">
        <v>97</v>
      </c>
      <c r="C25" s="9" t="s">
        <v>98</v>
      </c>
      <c r="D25" s="9" t="s">
        <v>99</v>
      </c>
      <c r="E25" s="49">
        <v>266600</v>
      </c>
      <c r="F25" s="50">
        <v>2162.9258</v>
      </c>
      <c r="G25" s="51">
        <v>2162.9299999999998</v>
      </c>
      <c r="H25" s="63">
        <v>2.1603163718215235E-2</v>
      </c>
      <c r="I25" s="2">
        <v>2.1600000000000001E-2</v>
      </c>
    </row>
    <row r="26" spans="1:9" ht="12.95" customHeight="1">
      <c r="A26" s="27"/>
      <c r="B26" s="62" t="s">
        <v>333</v>
      </c>
      <c r="C26" s="9" t="s">
        <v>334</v>
      </c>
      <c r="D26" s="9" t="s">
        <v>125</v>
      </c>
      <c r="E26" s="49">
        <v>214000</v>
      </c>
      <c r="F26" s="50">
        <v>2098.056</v>
      </c>
      <c r="G26" s="51">
        <v>2098.06</v>
      </c>
      <c r="H26" s="63">
        <v>2.0955248329824254E-2</v>
      </c>
      <c r="I26" s="2">
        <v>2.1000000000000001E-2</v>
      </c>
    </row>
    <row r="27" spans="1:9" ht="12.95" customHeight="1">
      <c r="A27" s="27"/>
      <c r="B27" s="62" t="s">
        <v>78</v>
      </c>
      <c r="C27" s="9" t="s">
        <v>79</v>
      </c>
      <c r="D27" s="9" t="s">
        <v>73</v>
      </c>
      <c r="E27" s="49">
        <v>104556</v>
      </c>
      <c r="F27" s="50">
        <v>1866.795102</v>
      </c>
      <c r="G27" s="51">
        <v>1866.8</v>
      </c>
      <c r="H27" s="63">
        <v>1.8645429360946323E-2</v>
      </c>
      <c r="I27" s="2">
        <v>1.8599999999999998E-2</v>
      </c>
    </row>
    <row r="28" spans="1:9" ht="12.95" customHeight="1">
      <c r="A28" s="27"/>
      <c r="B28" s="62" t="s">
        <v>65</v>
      </c>
      <c r="C28" s="9" t="s">
        <v>66</v>
      </c>
      <c r="D28" s="9" t="s">
        <v>67</v>
      </c>
      <c r="E28" s="49">
        <v>442289</v>
      </c>
      <c r="F28" s="50">
        <v>1817.365501</v>
      </c>
      <c r="G28" s="51">
        <v>1817.37</v>
      </c>
      <c r="H28" s="63">
        <v>1.8151729686676842E-2</v>
      </c>
      <c r="I28" s="2">
        <v>1.8200000000000001E-2</v>
      </c>
    </row>
    <row r="29" spans="1:9" ht="12.95" customHeight="1">
      <c r="A29" s="27"/>
      <c r="B29" s="62" t="s">
        <v>80</v>
      </c>
      <c r="C29" s="9" t="s">
        <v>81</v>
      </c>
      <c r="D29" s="9" t="s">
        <v>82</v>
      </c>
      <c r="E29" s="49">
        <v>619719</v>
      </c>
      <c r="F29" s="50">
        <v>1734.2836215</v>
      </c>
      <c r="G29" s="51">
        <v>1734.28</v>
      </c>
      <c r="H29" s="63">
        <v>1.7321913220085371E-2</v>
      </c>
      <c r="I29" s="2">
        <v>1.7299999999999999E-2</v>
      </c>
    </row>
    <row r="30" spans="1:9" ht="12.95" customHeight="1">
      <c r="A30" s="27"/>
      <c r="B30" s="62" t="s">
        <v>243</v>
      </c>
      <c r="C30" s="9" t="s">
        <v>244</v>
      </c>
      <c r="D30" s="9" t="s">
        <v>245</v>
      </c>
      <c r="E30" s="49">
        <v>435291</v>
      </c>
      <c r="F30" s="50">
        <v>1711.999503</v>
      </c>
      <c r="G30" s="51">
        <v>1712</v>
      </c>
      <c r="H30" s="63">
        <v>1.7099340878365829E-2</v>
      </c>
      <c r="I30" s="2">
        <v>1.7100000000000001E-2</v>
      </c>
    </row>
    <row r="31" spans="1:9" ht="12.95" customHeight="1">
      <c r="A31" s="27"/>
      <c r="B31" s="62" t="s">
        <v>102</v>
      </c>
      <c r="C31" s="9" t="s">
        <v>103</v>
      </c>
      <c r="D31" s="9" t="s">
        <v>90</v>
      </c>
      <c r="E31" s="49">
        <v>204678</v>
      </c>
      <c r="F31" s="50">
        <v>1705.0700790000001</v>
      </c>
      <c r="G31" s="51">
        <v>1705.07</v>
      </c>
      <c r="H31" s="63">
        <v>1.703013023732353E-2</v>
      </c>
      <c r="I31" s="2">
        <v>1.7000000000000001E-2</v>
      </c>
    </row>
    <row r="32" spans="1:9" ht="12.95" customHeight="1">
      <c r="A32" s="27"/>
      <c r="B32" s="62" t="s">
        <v>335</v>
      </c>
      <c r="C32" s="9" t="s">
        <v>336</v>
      </c>
      <c r="D32" s="9" t="s">
        <v>73</v>
      </c>
      <c r="E32" s="49">
        <v>84720</v>
      </c>
      <c r="F32" s="50">
        <v>1701.51648</v>
      </c>
      <c r="G32" s="51">
        <v>1701.52</v>
      </c>
      <c r="H32" s="63">
        <v>1.6994637119165761E-2</v>
      </c>
      <c r="I32" s="2">
        <v>1.7000000000000001E-2</v>
      </c>
    </row>
    <row r="33" spans="1:9" ht="12.95" customHeight="1">
      <c r="A33" s="27"/>
      <c r="B33" s="62" t="s">
        <v>83</v>
      </c>
      <c r="C33" s="9" t="s">
        <v>84</v>
      </c>
      <c r="D33" s="9" t="s">
        <v>85</v>
      </c>
      <c r="E33" s="49">
        <v>234750</v>
      </c>
      <c r="F33" s="50">
        <v>1563.66975</v>
      </c>
      <c r="G33" s="51">
        <v>1563.67</v>
      </c>
      <c r="H33" s="63">
        <v>1.5617832849592292E-2</v>
      </c>
      <c r="I33" s="2">
        <v>1.5599999999999999E-2</v>
      </c>
    </row>
    <row r="34" spans="1:9" ht="12.95" customHeight="1">
      <c r="A34" s="27"/>
      <c r="B34" s="62" t="s">
        <v>52</v>
      </c>
      <c r="C34" s="9" t="s">
        <v>53</v>
      </c>
      <c r="D34" s="9" t="s">
        <v>54</v>
      </c>
      <c r="E34" s="49">
        <v>187000</v>
      </c>
      <c r="F34" s="50">
        <v>1525.4525000000001</v>
      </c>
      <c r="G34" s="51">
        <v>1525.45</v>
      </c>
      <c r="H34" s="63">
        <v>1.52361214156587E-2</v>
      </c>
      <c r="I34" s="2">
        <v>1.52E-2</v>
      </c>
    </row>
    <row r="35" spans="1:9" ht="12.95" customHeight="1">
      <c r="A35" s="27"/>
      <c r="B35" s="62" t="s">
        <v>88</v>
      </c>
      <c r="C35" s="9" t="s">
        <v>89</v>
      </c>
      <c r="D35" s="9" t="s">
        <v>90</v>
      </c>
      <c r="E35" s="49">
        <v>850500</v>
      </c>
      <c r="F35" s="50">
        <v>1511.7637500000001</v>
      </c>
      <c r="G35" s="51">
        <v>1511.76</v>
      </c>
      <c r="H35" s="63">
        <v>1.5099399061453245E-2</v>
      </c>
      <c r="I35" s="2">
        <v>1.5100000000000001E-2</v>
      </c>
    </row>
    <row r="36" spans="1:9" ht="12.95" customHeight="1">
      <c r="A36" s="27"/>
      <c r="B36" s="62" t="s">
        <v>106</v>
      </c>
      <c r="C36" s="9" t="s">
        <v>107</v>
      </c>
      <c r="D36" s="9" t="s">
        <v>85</v>
      </c>
      <c r="E36" s="49">
        <v>1388102</v>
      </c>
      <c r="F36" s="50">
        <v>1397.1246630000001</v>
      </c>
      <c r="G36" s="51">
        <v>1397.12</v>
      </c>
      <c r="H36" s="63">
        <v>1.3954391236881676E-2</v>
      </c>
      <c r="I36" s="2">
        <v>1.4E-2</v>
      </c>
    </row>
    <row r="37" spans="1:9" ht="12.95" customHeight="1">
      <c r="A37" s="27"/>
      <c r="B37" s="62" t="s">
        <v>155</v>
      </c>
      <c r="C37" s="9" t="s">
        <v>156</v>
      </c>
      <c r="D37" s="9" t="s">
        <v>99</v>
      </c>
      <c r="E37" s="49">
        <v>69329</v>
      </c>
      <c r="F37" s="50">
        <v>1396.4940469999999</v>
      </c>
      <c r="G37" s="51">
        <v>1396.49</v>
      </c>
      <c r="H37" s="63">
        <v>1.3948092684850292E-2</v>
      </c>
      <c r="I37" s="2">
        <v>1.3899999999999999E-2</v>
      </c>
    </row>
    <row r="38" spans="1:9" ht="12.95" customHeight="1">
      <c r="A38" s="27"/>
      <c r="B38" s="62" t="s">
        <v>86</v>
      </c>
      <c r="C38" s="9" t="s">
        <v>87</v>
      </c>
      <c r="D38" s="9" t="s">
        <v>73</v>
      </c>
      <c r="E38" s="49">
        <v>176900</v>
      </c>
      <c r="F38" s="50">
        <v>1390.6993500000001</v>
      </c>
      <c r="G38" s="51">
        <v>1390.7</v>
      </c>
      <c r="H38" s="63">
        <v>1.3890215624070652E-2</v>
      </c>
      <c r="I38" s="2">
        <v>1.3899999999999999E-2</v>
      </c>
    </row>
    <row r="39" spans="1:9" ht="12.95" customHeight="1">
      <c r="A39" s="27"/>
      <c r="B39" s="62" t="s">
        <v>55</v>
      </c>
      <c r="C39" s="9" t="s">
        <v>56</v>
      </c>
      <c r="D39" s="9" t="s">
        <v>57</v>
      </c>
      <c r="E39" s="49">
        <v>91589</v>
      </c>
      <c r="F39" s="50">
        <v>1389.7714860000001</v>
      </c>
      <c r="G39" s="51">
        <v>1389.77</v>
      </c>
      <c r="H39" s="63">
        <v>1.3880948178141513E-2</v>
      </c>
      <c r="I39" s="2">
        <v>1.3899999999999999E-2</v>
      </c>
    </row>
    <row r="40" spans="1:9" ht="12.95" customHeight="1">
      <c r="A40" s="27"/>
      <c r="B40" s="62" t="s">
        <v>123</v>
      </c>
      <c r="C40" s="9" t="s">
        <v>124</v>
      </c>
      <c r="D40" s="9" t="s">
        <v>125</v>
      </c>
      <c r="E40" s="49">
        <v>209600</v>
      </c>
      <c r="F40" s="50">
        <v>1319.8512000000001</v>
      </c>
      <c r="G40" s="51">
        <v>1319.85</v>
      </c>
      <c r="H40" s="63">
        <v>1.3182588860553072E-2</v>
      </c>
      <c r="I40" s="2">
        <v>1.32E-2</v>
      </c>
    </row>
    <row r="41" spans="1:9" ht="12.95" customHeight="1">
      <c r="A41" s="27"/>
      <c r="B41" s="62" t="s">
        <v>74</v>
      </c>
      <c r="C41" s="9" t="s">
        <v>75</v>
      </c>
      <c r="D41" s="9" t="s">
        <v>73</v>
      </c>
      <c r="E41" s="49">
        <v>201300</v>
      </c>
      <c r="F41" s="50">
        <v>1279.96605</v>
      </c>
      <c r="G41" s="51">
        <v>1279.97</v>
      </c>
      <c r="H41" s="63">
        <v>1.2784218548739523E-2</v>
      </c>
      <c r="I41" s="2">
        <v>1.2800000000000001E-2</v>
      </c>
    </row>
    <row r="42" spans="1:9" ht="12.95" customHeight="1">
      <c r="A42" s="27"/>
      <c r="B42" s="62" t="s">
        <v>71</v>
      </c>
      <c r="C42" s="9" t="s">
        <v>72</v>
      </c>
      <c r="D42" s="9" t="s">
        <v>73</v>
      </c>
      <c r="E42" s="49">
        <v>58505</v>
      </c>
      <c r="F42" s="50">
        <v>1233.8411974999999</v>
      </c>
      <c r="G42" s="51">
        <v>1233.8399999999999</v>
      </c>
      <c r="H42" s="63">
        <v>1.2323526489845948E-2</v>
      </c>
      <c r="I42" s="2">
        <v>1.23E-2</v>
      </c>
    </row>
    <row r="43" spans="1:9" ht="12.95" customHeight="1">
      <c r="A43" s="27"/>
      <c r="B43" s="62" t="s">
        <v>121</v>
      </c>
      <c r="C43" s="9" t="s">
        <v>122</v>
      </c>
      <c r="D43" s="9" t="s">
        <v>99</v>
      </c>
      <c r="E43" s="49">
        <v>118678</v>
      </c>
      <c r="F43" s="50">
        <v>1188.2041360000001</v>
      </c>
      <c r="G43" s="51">
        <v>1188.2</v>
      </c>
      <c r="H43" s="63">
        <v>1.186770645607375E-2</v>
      </c>
      <c r="I43" s="2">
        <v>1.1900000000000001E-2</v>
      </c>
    </row>
    <row r="44" spans="1:9" ht="12.95" customHeight="1">
      <c r="A44" s="27"/>
      <c r="B44" s="62" t="s">
        <v>94</v>
      </c>
      <c r="C44" s="9" t="s">
        <v>95</v>
      </c>
      <c r="D44" s="9" t="s">
        <v>96</v>
      </c>
      <c r="E44" s="49">
        <v>261213</v>
      </c>
      <c r="F44" s="50">
        <v>1177.0257779999999</v>
      </c>
      <c r="G44" s="51">
        <v>1177.03</v>
      </c>
      <c r="H44" s="63">
        <v>1.1756057735634602E-2</v>
      </c>
      <c r="I44" s="2">
        <v>1.18E-2</v>
      </c>
    </row>
    <row r="45" spans="1:9" ht="12.95" customHeight="1">
      <c r="A45" s="27"/>
      <c r="B45" s="62" t="s">
        <v>114</v>
      </c>
      <c r="C45" s="9" t="s">
        <v>115</v>
      </c>
      <c r="D45" s="9" t="s">
        <v>116</v>
      </c>
      <c r="E45" s="49">
        <v>236600</v>
      </c>
      <c r="F45" s="50">
        <v>1045.4170999999999</v>
      </c>
      <c r="G45" s="51">
        <v>1045.42</v>
      </c>
      <c r="H45" s="63">
        <v>1.0441558728053357E-2</v>
      </c>
      <c r="I45" s="2">
        <v>1.04E-2</v>
      </c>
    </row>
    <row r="46" spans="1:9" ht="12.95" customHeight="1">
      <c r="A46" s="27"/>
      <c r="B46" s="62" t="s">
        <v>104</v>
      </c>
      <c r="C46" s="9" t="s">
        <v>105</v>
      </c>
      <c r="D46" s="9" t="s">
        <v>93</v>
      </c>
      <c r="E46" s="49">
        <v>227000</v>
      </c>
      <c r="F46" s="50">
        <v>1006.8585</v>
      </c>
      <c r="G46" s="51">
        <v>1006.86</v>
      </c>
      <c r="H46" s="63">
        <v>1.0056437912283729E-2</v>
      </c>
      <c r="I46" s="2">
        <v>1.01E-2</v>
      </c>
    </row>
    <row r="47" spans="1:9" ht="12.95" customHeight="1">
      <c r="A47" s="27"/>
      <c r="B47" s="62" t="s">
        <v>108</v>
      </c>
      <c r="C47" s="9" t="s">
        <v>109</v>
      </c>
      <c r="D47" s="9" t="s">
        <v>93</v>
      </c>
      <c r="E47" s="49">
        <v>187368</v>
      </c>
      <c r="F47" s="50">
        <v>981.62095199999999</v>
      </c>
      <c r="G47" s="51">
        <v>981.62</v>
      </c>
      <c r="H47" s="63">
        <v>9.8043669067548692E-3</v>
      </c>
      <c r="I47" s="2">
        <v>9.7999999999999997E-3</v>
      </c>
    </row>
    <row r="48" spans="1:9" ht="12.95" customHeight="1">
      <c r="A48" s="27"/>
      <c r="B48" s="62" t="s">
        <v>100</v>
      </c>
      <c r="C48" s="9" t="s">
        <v>101</v>
      </c>
      <c r="D48" s="9" t="s">
        <v>54</v>
      </c>
      <c r="E48" s="49">
        <v>722016</v>
      </c>
      <c r="F48" s="50">
        <v>953.42212800000004</v>
      </c>
      <c r="G48" s="51">
        <v>953.42</v>
      </c>
      <c r="H48" s="63">
        <v>9.5227188670795656E-3</v>
      </c>
      <c r="I48" s="2">
        <v>9.4999999999999998E-3</v>
      </c>
    </row>
    <row r="49" spans="1:9" ht="12.95" customHeight="1">
      <c r="A49" s="27"/>
      <c r="B49" s="62" t="s">
        <v>110</v>
      </c>
      <c r="C49" s="9" t="s">
        <v>111</v>
      </c>
      <c r="D49" s="9" t="s">
        <v>70</v>
      </c>
      <c r="E49" s="49">
        <v>492854</v>
      </c>
      <c r="F49" s="50">
        <v>937.40830800000003</v>
      </c>
      <c r="G49" s="51">
        <v>937.41</v>
      </c>
      <c r="H49" s="63">
        <v>9.362773863319367E-3</v>
      </c>
      <c r="I49" s="2">
        <v>9.4000000000000004E-3</v>
      </c>
    </row>
    <row r="50" spans="1:9" ht="12.95" customHeight="1">
      <c r="A50" s="27"/>
      <c r="B50" s="62" t="s">
        <v>275</v>
      </c>
      <c r="C50" s="9" t="s">
        <v>276</v>
      </c>
      <c r="D50" s="9" t="s">
        <v>277</v>
      </c>
      <c r="E50" s="49">
        <v>256000</v>
      </c>
      <c r="F50" s="50">
        <v>929.024</v>
      </c>
      <c r="G50" s="51">
        <v>929.02</v>
      </c>
      <c r="H50" s="63">
        <v>9.2790319344987198E-3</v>
      </c>
      <c r="I50" s="2">
        <v>9.2999999999999992E-3</v>
      </c>
    </row>
    <row r="51" spans="1:9" ht="12.95" customHeight="1">
      <c r="A51" s="27"/>
      <c r="B51" s="62" t="s">
        <v>112</v>
      </c>
      <c r="C51" s="9" t="s">
        <v>113</v>
      </c>
      <c r="D51" s="9" t="s">
        <v>70</v>
      </c>
      <c r="E51" s="49">
        <v>72500</v>
      </c>
      <c r="F51" s="50">
        <v>925.71624999999995</v>
      </c>
      <c r="G51" s="51">
        <v>925.72</v>
      </c>
      <c r="H51" s="63">
        <v>9.245994340333942E-3</v>
      </c>
      <c r="I51" s="2">
        <v>9.1999999999999998E-3</v>
      </c>
    </row>
    <row r="52" spans="1:9" ht="12.95" customHeight="1">
      <c r="A52" s="27"/>
      <c r="B52" s="62" t="s">
        <v>161</v>
      </c>
      <c r="C52" s="9" t="s">
        <v>162</v>
      </c>
      <c r="D52" s="9" t="s">
        <v>125</v>
      </c>
      <c r="E52" s="49">
        <v>82381</v>
      </c>
      <c r="F52" s="50">
        <v>691.91801899999996</v>
      </c>
      <c r="G52" s="51">
        <v>691.92</v>
      </c>
      <c r="H52" s="63">
        <v>6.910832652715207E-3</v>
      </c>
      <c r="I52" s="2">
        <v>6.8999999999999999E-3</v>
      </c>
    </row>
    <row r="53" spans="1:9" ht="12.95" customHeight="1">
      <c r="A53" s="27"/>
      <c r="B53" s="62" t="s">
        <v>159</v>
      </c>
      <c r="C53" s="9" t="s">
        <v>160</v>
      </c>
      <c r="D53" s="9" t="s">
        <v>150</v>
      </c>
      <c r="E53" s="49">
        <v>406000</v>
      </c>
      <c r="F53" s="50">
        <v>673.96</v>
      </c>
      <c r="G53" s="51">
        <v>673.96</v>
      </c>
      <c r="H53" s="63">
        <v>6.7314691144413465E-3</v>
      </c>
      <c r="I53" s="2">
        <v>6.7000000000000002E-3</v>
      </c>
    </row>
    <row r="54" spans="1:9" ht="12.95" customHeight="1">
      <c r="A54" s="27"/>
      <c r="B54" s="62" t="s">
        <v>337</v>
      </c>
      <c r="C54" s="9" t="s">
        <v>338</v>
      </c>
      <c r="D54" s="9" t="s">
        <v>339</v>
      </c>
      <c r="E54" s="49">
        <v>205400</v>
      </c>
      <c r="F54" s="50">
        <v>650.60450000000003</v>
      </c>
      <c r="G54" s="51">
        <v>650.6</v>
      </c>
      <c r="H54" s="63">
        <v>6.4981958832372178E-3</v>
      </c>
      <c r="I54" s="2">
        <v>6.4999999999999997E-3</v>
      </c>
    </row>
    <row r="55" spans="1:9" ht="12.95" customHeight="1">
      <c r="A55" s="27"/>
      <c r="B55" s="62" t="s">
        <v>157</v>
      </c>
      <c r="C55" s="9" t="s">
        <v>158</v>
      </c>
      <c r="D55" s="9" t="s">
        <v>116</v>
      </c>
      <c r="E55" s="49">
        <v>514879</v>
      </c>
      <c r="F55" s="50">
        <v>640.76691549999998</v>
      </c>
      <c r="G55" s="51">
        <v>640.77</v>
      </c>
      <c r="H55" s="63">
        <v>6.3999387222447891E-3</v>
      </c>
      <c r="I55" s="2">
        <v>6.4000000000000003E-3</v>
      </c>
    </row>
    <row r="56" spans="1:9" ht="12.95" customHeight="1">
      <c r="A56" s="27"/>
      <c r="B56" s="62" t="s">
        <v>172</v>
      </c>
      <c r="C56" s="9" t="s">
        <v>173</v>
      </c>
      <c r="D56" s="9" t="s">
        <v>174</v>
      </c>
      <c r="E56" s="49">
        <v>87350</v>
      </c>
      <c r="F56" s="50">
        <v>527.46297500000003</v>
      </c>
      <c r="G56" s="51">
        <v>527.46</v>
      </c>
      <c r="H56" s="63">
        <v>5.2682662550060065E-3</v>
      </c>
      <c r="I56" s="2">
        <v>5.3E-3</v>
      </c>
    </row>
    <row r="57" spans="1:9" ht="12.95" customHeight="1">
      <c r="A57" s="27"/>
      <c r="B57" s="62" t="s">
        <v>175</v>
      </c>
      <c r="C57" s="9" t="s">
        <v>176</v>
      </c>
      <c r="D57" s="9" t="s">
        <v>57</v>
      </c>
      <c r="E57" s="49">
        <v>34000</v>
      </c>
      <c r="F57" s="50">
        <v>381.63299999999998</v>
      </c>
      <c r="G57" s="51">
        <v>381.63</v>
      </c>
      <c r="H57" s="63">
        <v>3.8117258480497274E-3</v>
      </c>
      <c r="I57" s="2">
        <v>3.8E-3</v>
      </c>
    </row>
    <row r="58" spans="1:9" ht="12.95" customHeight="1">
      <c r="A58" s="27"/>
      <c r="B58" s="62" t="s">
        <v>184</v>
      </c>
      <c r="C58" s="9" t="s">
        <v>185</v>
      </c>
      <c r="D58" s="9" t="s">
        <v>64</v>
      </c>
      <c r="E58" s="49">
        <v>232200</v>
      </c>
      <c r="F58" s="50">
        <v>342.72719999999998</v>
      </c>
      <c r="G58" s="51">
        <v>342.73</v>
      </c>
      <c r="H58" s="63">
        <v>3.4231372210204794E-3</v>
      </c>
      <c r="I58" s="2">
        <v>3.3999999999999998E-3</v>
      </c>
    </row>
    <row r="59" spans="1:9" ht="12.95" customHeight="1">
      <c r="A59" s="27"/>
      <c r="B59" s="62" t="s">
        <v>132</v>
      </c>
      <c r="C59" s="9" t="s">
        <v>133</v>
      </c>
      <c r="D59" s="9" t="s">
        <v>134</v>
      </c>
      <c r="E59" s="49">
        <v>1988</v>
      </c>
      <c r="F59" s="50">
        <v>316.25402200000002</v>
      </c>
      <c r="G59" s="51">
        <v>316.25</v>
      </c>
      <c r="H59" s="63">
        <v>3.1587248225575021E-3</v>
      </c>
      <c r="I59" s="2">
        <v>3.2000000000000002E-3</v>
      </c>
    </row>
    <row r="60" spans="1:9" ht="12.95" customHeight="1">
      <c r="A60" s="27"/>
      <c r="B60" s="62" t="s">
        <v>256</v>
      </c>
      <c r="C60" s="9" t="s">
        <v>257</v>
      </c>
      <c r="D60" s="9" t="s">
        <v>188</v>
      </c>
      <c r="E60" s="49">
        <v>92096</v>
      </c>
      <c r="F60" s="50">
        <v>282.13609600000001</v>
      </c>
      <c r="G60" s="51">
        <v>282.14</v>
      </c>
      <c r="H60" s="63">
        <v>2.8179571729673256E-3</v>
      </c>
      <c r="I60" s="2">
        <v>2.8E-3</v>
      </c>
    </row>
    <row r="61" spans="1:9" ht="12.95" customHeight="1">
      <c r="A61" s="27"/>
      <c r="B61" s="62" t="s">
        <v>166</v>
      </c>
      <c r="C61" s="9" t="s">
        <v>167</v>
      </c>
      <c r="D61" s="9" t="s">
        <v>99</v>
      </c>
      <c r="E61" s="49">
        <v>58670</v>
      </c>
      <c r="F61" s="50">
        <v>247.29405</v>
      </c>
      <c r="G61" s="51">
        <v>247.29</v>
      </c>
      <c r="H61" s="63">
        <v>2.4699570594102233E-3</v>
      </c>
      <c r="I61" s="2">
        <v>2.5000000000000001E-3</v>
      </c>
    </row>
    <row r="62" spans="1:9" ht="12.95" customHeight="1">
      <c r="A62" s="27"/>
      <c r="B62" s="62" t="s">
        <v>340</v>
      </c>
      <c r="C62" s="9" t="s">
        <v>341</v>
      </c>
      <c r="D62" s="9" t="s">
        <v>54</v>
      </c>
      <c r="E62" s="49">
        <v>3500</v>
      </c>
      <c r="F62" s="50">
        <v>5.7225000000000001</v>
      </c>
      <c r="G62" s="51">
        <v>5.72</v>
      </c>
      <c r="H62" s="63">
        <v>5.715596178911301E-5</v>
      </c>
      <c r="I62" s="2">
        <v>1E-4</v>
      </c>
    </row>
    <row r="63" spans="1:9" ht="12.95" customHeight="1">
      <c r="A63" s="27"/>
      <c r="B63" s="62" t="s">
        <v>191</v>
      </c>
      <c r="C63" s="9" t="s">
        <v>192</v>
      </c>
      <c r="D63" s="9" t="s">
        <v>96</v>
      </c>
      <c r="E63" s="49">
        <v>200</v>
      </c>
      <c r="F63" s="50">
        <v>0.78320000000000001</v>
      </c>
      <c r="G63" s="51">
        <v>0.78</v>
      </c>
      <c r="H63" s="63" t="s">
        <v>193</v>
      </c>
      <c r="I63" s="88" t="s">
        <v>193</v>
      </c>
    </row>
    <row r="64" spans="1:9" ht="12.95" customHeight="1">
      <c r="A64" s="25"/>
      <c r="B64" s="60" t="s">
        <v>39</v>
      </c>
      <c r="C64" s="9" t="s">
        <v>1</v>
      </c>
      <c r="D64" s="9" t="s">
        <v>1</v>
      </c>
      <c r="E64" s="9" t="s">
        <v>1</v>
      </c>
      <c r="F64" s="10">
        <v>98629.190835500005</v>
      </c>
      <c r="G64" s="52">
        <v>98629.19</v>
      </c>
      <c r="H64" s="64">
        <v>0.98510201182786772</v>
      </c>
      <c r="I64" s="37">
        <v>0.98519999999999996</v>
      </c>
    </row>
    <row r="65" spans="1:9" ht="12.95" customHeight="1">
      <c r="A65" s="25"/>
      <c r="B65" s="60" t="s">
        <v>194</v>
      </c>
      <c r="C65" s="9" t="s">
        <v>1</v>
      </c>
      <c r="D65" s="9" t="s">
        <v>1</v>
      </c>
      <c r="E65" s="9" t="s">
        <v>1</v>
      </c>
      <c r="F65" s="10" t="s">
        <v>195</v>
      </c>
      <c r="G65" s="92" t="s">
        <v>195</v>
      </c>
      <c r="H65" s="64" t="s">
        <v>195</v>
      </c>
      <c r="I65" s="89" t="s">
        <v>195</v>
      </c>
    </row>
    <row r="66" spans="1:9" ht="12.95" customHeight="1">
      <c r="A66" s="25"/>
      <c r="B66" s="60" t="s">
        <v>39</v>
      </c>
      <c r="C66" s="9" t="s">
        <v>1</v>
      </c>
      <c r="D66" s="9" t="s">
        <v>1</v>
      </c>
      <c r="E66" s="9" t="s">
        <v>1</v>
      </c>
      <c r="F66" s="10" t="s">
        <v>195</v>
      </c>
      <c r="G66" s="92" t="s">
        <v>195</v>
      </c>
      <c r="H66" s="64" t="s">
        <v>195</v>
      </c>
      <c r="I66" s="89" t="s">
        <v>195</v>
      </c>
    </row>
    <row r="67" spans="1:9" ht="12.95" customHeight="1">
      <c r="A67" s="25"/>
      <c r="B67" s="60" t="s">
        <v>40</v>
      </c>
      <c r="C67" s="9" t="s">
        <v>1</v>
      </c>
      <c r="D67" s="9" t="s">
        <v>1</v>
      </c>
      <c r="E67" s="9" t="s">
        <v>1</v>
      </c>
      <c r="F67" s="10">
        <v>98629.190835500005</v>
      </c>
      <c r="G67" s="52">
        <v>98629.19</v>
      </c>
      <c r="H67" s="64">
        <v>0.98510201182786772</v>
      </c>
      <c r="I67" s="37">
        <v>0.98519999999999996</v>
      </c>
    </row>
    <row r="68" spans="1:9" ht="12.95" customHeight="1">
      <c r="A68" s="25"/>
      <c r="B68" s="60"/>
      <c r="C68" s="9"/>
      <c r="D68" s="9"/>
      <c r="E68" s="9"/>
      <c r="F68" s="10"/>
      <c r="G68" s="52"/>
      <c r="H68" s="64"/>
      <c r="I68" s="74"/>
    </row>
    <row r="69" spans="1:9" ht="12.95" customHeight="1">
      <c r="A69" s="25"/>
      <c r="B69" s="7" t="s">
        <v>352</v>
      </c>
      <c r="C69" s="8"/>
      <c r="D69" s="9"/>
      <c r="E69" s="9"/>
      <c r="F69" s="10"/>
      <c r="G69" s="10"/>
      <c r="H69" s="64"/>
      <c r="I69" s="21"/>
    </row>
    <row r="70" spans="1:9" ht="12.95" customHeight="1">
      <c r="A70" s="27"/>
      <c r="B70" s="11" t="s">
        <v>356</v>
      </c>
      <c r="C70" s="8"/>
      <c r="D70" s="9"/>
      <c r="E70" s="92" t="s">
        <v>195</v>
      </c>
      <c r="F70" s="10"/>
      <c r="G70" s="105" t="s">
        <v>195</v>
      </c>
      <c r="H70" s="106" t="s">
        <v>195</v>
      </c>
      <c r="I70" s="22" t="s">
        <v>195</v>
      </c>
    </row>
    <row r="71" spans="1:9" ht="12.95" customHeight="1">
      <c r="A71" s="25"/>
      <c r="B71" s="14" t="s">
        <v>354</v>
      </c>
      <c r="C71" s="8"/>
      <c r="D71" s="9"/>
      <c r="E71" s="92" t="s">
        <v>195</v>
      </c>
      <c r="F71" s="10"/>
      <c r="G71" s="105" t="s">
        <v>195</v>
      </c>
      <c r="H71" s="106" t="s">
        <v>195</v>
      </c>
      <c r="I71" s="22" t="s">
        <v>195</v>
      </c>
    </row>
    <row r="72" spans="1:9" ht="12.95" customHeight="1">
      <c r="A72" s="25"/>
      <c r="B72" s="14" t="s">
        <v>355</v>
      </c>
      <c r="C72" s="8"/>
      <c r="D72" s="9"/>
      <c r="E72" s="92" t="s">
        <v>195</v>
      </c>
      <c r="F72" s="10"/>
      <c r="G72" s="105" t="s">
        <v>195</v>
      </c>
      <c r="H72" s="106" t="s">
        <v>195</v>
      </c>
      <c r="I72" s="90" t="s">
        <v>195</v>
      </c>
    </row>
    <row r="73" spans="1:9" ht="12.95" customHeight="1">
      <c r="A73" s="25"/>
      <c r="B73" s="14"/>
      <c r="C73" s="8"/>
      <c r="D73" s="9"/>
      <c r="E73" s="92"/>
      <c r="F73" s="10"/>
      <c r="G73" s="105"/>
      <c r="H73" s="106"/>
      <c r="I73" s="103"/>
    </row>
    <row r="74" spans="1:9" ht="12.95" customHeight="1">
      <c r="A74" s="25"/>
      <c r="B74" s="135" t="s">
        <v>11</v>
      </c>
      <c r="C74" s="8"/>
      <c r="D74" s="9"/>
      <c r="E74" s="92"/>
      <c r="F74" s="10"/>
      <c r="G74" s="105"/>
      <c r="H74" s="106"/>
      <c r="I74" s="103"/>
    </row>
    <row r="75" spans="1:9" ht="12.95" customHeight="1">
      <c r="A75" s="25"/>
      <c r="B75" s="60"/>
      <c r="C75" s="8"/>
      <c r="D75" s="9"/>
      <c r="E75" s="9"/>
      <c r="F75" s="10"/>
      <c r="G75" s="10"/>
      <c r="H75" s="64"/>
      <c r="I75" s="91"/>
    </row>
    <row r="76" spans="1:9" ht="12.95" customHeight="1">
      <c r="A76" s="25"/>
      <c r="B76" s="60" t="s">
        <v>41</v>
      </c>
      <c r="C76" s="9" t="s">
        <v>1</v>
      </c>
      <c r="D76" s="9" t="s">
        <v>1</v>
      </c>
      <c r="E76" s="9" t="s">
        <v>1</v>
      </c>
      <c r="F76" s="47" t="s">
        <v>1</v>
      </c>
      <c r="G76" s="48"/>
      <c r="H76" s="61" t="s">
        <v>1</v>
      </c>
      <c r="I76" s="36" t="s">
        <v>1</v>
      </c>
    </row>
    <row r="77" spans="1:9" ht="12.95" customHeight="1">
      <c r="A77" s="27"/>
      <c r="B77" s="62" t="s">
        <v>42</v>
      </c>
      <c r="C77" s="9" t="s">
        <v>1</v>
      </c>
      <c r="D77" s="9" t="s">
        <v>43</v>
      </c>
      <c r="E77" s="49"/>
      <c r="F77" s="50">
        <v>1024.8865346</v>
      </c>
      <c r="G77" s="51">
        <v>1024.8900000000001</v>
      </c>
      <c r="H77" s="63">
        <v>1.0236500761865278E-2</v>
      </c>
      <c r="I77" s="2">
        <v>1.0200000000000001E-2</v>
      </c>
    </row>
    <row r="78" spans="1:9" ht="12.95" customHeight="1">
      <c r="A78" s="25"/>
      <c r="B78" s="60" t="s">
        <v>39</v>
      </c>
      <c r="C78" s="9" t="s">
        <v>1</v>
      </c>
      <c r="D78" s="9" t="s">
        <v>1</v>
      </c>
      <c r="E78" s="9" t="s">
        <v>1</v>
      </c>
      <c r="F78" s="10">
        <v>1024.8865346</v>
      </c>
      <c r="G78" s="52">
        <v>1024.8900000000001</v>
      </c>
      <c r="H78" s="64">
        <v>1.0236500761865278E-2</v>
      </c>
      <c r="I78" s="37">
        <v>1.0200000000000001E-2</v>
      </c>
    </row>
    <row r="79" spans="1:9" ht="12.95" customHeight="1">
      <c r="A79" s="25"/>
      <c r="B79" s="60"/>
      <c r="C79" s="9"/>
      <c r="D79" s="9"/>
      <c r="E79" s="9"/>
      <c r="F79" s="10"/>
      <c r="G79" s="52"/>
      <c r="H79" s="64"/>
      <c r="I79" s="37"/>
    </row>
    <row r="80" spans="1:9" ht="12.95" customHeight="1">
      <c r="A80" s="25"/>
      <c r="B80" s="60" t="s">
        <v>44</v>
      </c>
      <c r="C80" s="9" t="s">
        <v>1</v>
      </c>
      <c r="D80" s="9" t="s">
        <v>1</v>
      </c>
      <c r="E80" s="9" t="s">
        <v>1</v>
      </c>
      <c r="F80" s="12">
        <v>466.71179821409999</v>
      </c>
      <c r="G80" s="75">
        <v>466.71</v>
      </c>
      <c r="H80" s="76">
        <v>4.6614874102669729E-3</v>
      </c>
      <c r="I80" s="37">
        <v>4.5999999999999999E-3</v>
      </c>
    </row>
    <row r="81" spans="1:9" ht="12.95" customHeight="1">
      <c r="A81" s="25"/>
      <c r="B81" s="60" t="s">
        <v>39</v>
      </c>
      <c r="C81" s="15"/>
      <c r="D81" s="15"/>
      <c r="E81" s="15"/>
      <c r="F81" s="10">
        <v>466.71179821409999</v>
      </c>
      <c r="G81" s="52">
        <v>466.71</v>
      </c>
      <c r="H81" s="64">
        <v>4.6614874102669729E-3</v>
      </c>
      <c r="I81" s="74"/>
    </row>
    <row r="82" spans="1:9" ht="12.95" customHeight="1">
      <c r="A82" s="25"/>
      <c r="B82" s="60" t="s">
        <v>40</v>
      </c>
      <c r="C82" s="15"/>
      <c r="D82" s="15"/>
      <c r="E82" s="15"/>
      <c r="F82" s="16">
        <f>F78+F81</f>
        <v>1491.5983328141001</v>
      </c>
      <c r="G82" s="16">
        <f t="shared" ref="G82:H82" si="0">G78+G81</f>
        <v>1491.6000000000001</v>
      </c>
      <c r="H82" s="64">
        <f t="shared" si="0"/>
        <v>1.489798817213225E-2</v>
      </c>
      <c r="I82" s="74"/>
    </row>
    <row r="83" spans="1:9" ht="12.95" customHeight="1">
      <c r="A83" s="25"/>
      <c r="B83" s="71"/>
      <c r="C83" s="15"/>
      <c r="D83" s="15"/>
      <c r="E83" s="15"/>
      <c r="F83" s="16"/>
      <c r="G83" s="72"/>
      <c r="H83" s="73"/>
      <c r="I83" s="74"/>
    </row>
    <row r="84" spans="1:9" ht="12.95" customHeight="1" thickBot="1">
      <c r="A84" s="25"/>
      <c r="B84" s="65" t="s">
        <v>45</v>
      </c>
      <c r="C84" s="66" t="s">
        <v>1</v>
      </c>
      <c r="D84" s="66" t="s">
        <v>1</v>
      </c>
      <c r="E84" s="66" t="s">
        <v>1</v>
      </c>
      <c r="F84" s="67">
        <v>100120.78916831411</v>
      </c>
      <c r="G84" s="68">
        <v>100120.79</v>
      </c>
      <c r="H84" s="69">
        <v>1</v>
      </c>
      <c r="I84" s="38">
        <v>1</v>
      </c>
    </row>
    <row r="85" spans="1:9" s="28" customFormat="1" ht="12.95" customHeight="1">
      <c r="A85" s="25"/>
      <c r="B85" s="26" t="s">
        <v>1</v>
      </c>
      <c r="C85" s="25"/>
      <c r="D85" s="25"/>
      <c r="E85" s="25"/>
      <c r="F85" s="30"/>
      <c r="G85" s="25"/>
      <c r="H85" s="31"/>
      <c r="I85" s="25"/>
    </row>
    <row r="86" spans="1:9" s="28" customFormat="1" ht="12.95" customHeight="1">
      <c r="A86" s="25"/>
      <c r="B86" s="32" t="s">
        <v>43</v>
      </c>
      <c r="C86" s="25"/>
      <c r="D86" s="25"/>
      <c r="E86" s="25"/>
      <c r="F86" s="30"/>
      <c r="G86" s="25"/>
      <c r="H86" s="31"/>
      <c r="I86" s="25"/>
    </row>
    <row r="87" spans="1:9" s="28" customFormat="1" ht="12.95" customHeight="1">
      <c r="A87" s="25"/>
      <c r="B87" s="32" t="s">
        <v>196</v>
      </c>
      <c r="C87" s="25"/>
      <c r="D87" s="25"/>
      <c r="E87" s="25"/>
      <c r="F87" s="30"/>
      <c r="G87" s="25"/>
      <c r="H87" s="31"/>
      <c r="I87" s="25"/>
    </row>
    <row r="88" spans="1:9" s="28" customFormat="1" ht="12.95" customHeight="1">
      <c r="A88" s="25"/>
      <c r="B88" s="32" t="s">
        <v>361</v>
      </c>
      <c r="C88" s="25"/>
      <c r="D88" s="25"/>
      <c r="E88" s="25"/>
      <c r="F88" s="30"/>
      <c r="G88" s="25"/>
      <c r="H88" s="31"/>
      <c r="I88" s="25"/>
    </row>
    <row r="89" spans="1:9" s="28" customFormat="1" ht="12.95" customHeight="1" thickBot="1">
      <c r="A89" s="25"/>
      <c r="B89" s="32" t="s">
        <v>1</v>
      </c>
      <c r="C89" s="25"/>
      <c r="D89" s="25"/>
      <c r="E89" s="25"/>
      <c r="F89" s="30"/>
      <c r="G89" s="25"/>
      <c r="H89" s="31"/>
      <c r="I89" s="25"/>
    </row>
    <row r="90" spans="1:9" s="28" customFormat="1" ht="15.75" thickBot="1">
      <c r="B90" s="146" t="s">
        <v>368</v>
      </c>
      <c r="C90" s="108">
        <v>0.15920000000000001</v>
      </c>
      <c r="F90" s="33"/>
      <c r="H90" s="34"/>
    </row>
    <row r="91" spans="1:9" s="28" customFormat="1">
      <c r="B91" s="147" t="s">
        <v>369</v>
      </c>
      <c r="C91" s="147"/>
      <c r="F91" s="33"/>
      <c r="H91" s="34"/>
    </row>
    <row r="92" spans="1:9" s="28" customFormat="1">
      <c r="F92" s="33"/>
      <c r="H92" s="34"/>
    </row>
    <row r="93" spans="1:9" s="28" customFormat="1">
      <c r="C93" s="33"/>
      <c r="E93" s="34"/>
    </row>
    <row r="94" spans="1:9" s="28" customFormat="1">
      <c r="C94" s="33"/>
      <c r="E94" s="34"/>
    </row>
    <row r="95" spans="1:9" s="28" customFormat="1">
      <c r="C95" s="33"/>
      <c r="E95" s="34"/>
    </row>
    <row r="96" spans="1:9" s="28" customFormat="1">
      <c r="C96" s="33"/>
      <c r="E96" s="34"/>
    </row>
    <row r="97" spans="3:5" s="28" customFormat="1">
      <c r="C97" s="33"/>
      <c r="E97" s="34"/>
    </row>
    <row r="98" spans="3:5" s="28" customFormat="1">
      <c r="C98" s="33"/>
      <c r="E98" s="34"/>
    </row>
    <row r="99" spans="3:5" s="28" customFormat="1">
      <c r="C99" s="33"/>
      <c r="E99" s="34"/>
    </row>
    <row r="100" spans="3:5" s="28" customFormat="1">
      <c r="C100" s="33"/>
      <c r="E100" s="34"/>
    </row>
    <row r="101" spans="3:5" s="28" customFormat="1">
      <c r="C101" s="33"/>
      <c r="E101" s="34"/>
    </row>
    <row r="102" spans="3:5" s="28" customFormat="1">
      <c r="C102" s="33"/>
      <c r="E102" s="34"/>
    </row>
    <row r="103" spans="3:5" s="28" customFormat="1">
      <c r="C103" s="33"/>
      <c r="E103" s="34"/>
    </row>
    <row r="104" spans="3:5" s="28" customFormat="1">
      <c r="C104" s="33"/>
      <c r="E104" s="34"/>
    </row>
    <row r="105" spans="3:5" s="28" customFormat="1">
      <c r="C105" s="33"/>
      <c r="E105" s="34"/>
    </row>
    <row r="106" spans="3:5" s="28" customFormat="1">
      <c r="C106" s="33"/>
      <c r="E106" s="34"/>
    </row>
    <row r="107" spans="3:5" s="28" customFormat="1">
      <c r="C107" s="33"/>
      <c r="E107" s="34"/>
    </row>
    <row r="108" spans="3:5" s="28" customFormat="1">
      <c r="C108" s="33"/>
      <c r="E108" s="34"/>
    </row>
    <row r="109" spans="3:5" s="28" customFormat="1">
      <c r="C109" s="33"/>
      <c r="E109" s="34"/>
    </row>
    <row r="110" spans="3:5" s="28" customFormat="1">
      <c r="C110" s="33"/>
      <c r="E110" s="34"/>
    </row>
    <row r="111" spans="3:5" s="28" customFormat="1">
      <c r="C111" s="33"/>
      <c r="E111" s="34"/>
    </row>
    <row r="112" spans="3:5" s="28" customFormat="1">
      <c r="C112" s="33"/>
      <c r="E112" s="34"/>
    </row>
    <row r="113" spans="3:8" s="28" customFormat="1">
      <c r="C113" s="33"/>
      <c r="E113" s="34"/>
    </row>
    <row r="114" spans="3:8" s="28" customFormat="1">
      <c r="C114" s="33"/>
      <c r="E114" s="34"/>
    </row>
    <row r="115" spans="3:8" s="28" customFormat="1">
      <c r="F115" s="33"/>
      <c r="H115" s="34"/>
    </row>
    <row r="116" spans="3:8" s="28" customFormat="1">
      <c r="F116" s="33"/>
      <c r="H116" s="34"/>
    </row>
    <row r="117" spans="3:8" s="28" customFormat="1">
      <c r="F117" s="33"/>
      <c r="H117" s="34"/>
    </row>
    <row r="118" spans="3:8" s="28" customFormat="1">
      <c r="F118" s="33"/>
      <c r="H118" s="34"/>
    </row>
    <row r="119" spans="3:8" s="28" customFormat="1">
      <c r="F119" s="33"/>
      <c r="H119" s="34"/>
    </row>
    <row r="120" spans="3:8" s="28" customFormat="1">
      <c r="F120" s="33"/>
      <c r="H120" s="34"/>
    </row>
    <row r="121" spans="3:8" s="28" customFormat="1">
      <c r="F121" s="33"/>
      <c r="H121" s="34"/>
    </row>
    <row r="122" spans="3:8" s="28" customFormat="1">
      <c r="F122" s="33"/>
      <c r="H122" s="34"/>
    </row>
    <row r="123" spans="3:8" s="28" customFormat="1">
      <c r="F123" s="33"/>
      <c r="H123" s="34"/>
    </row>
    <row r="124" spans="3:8" s="28" customFormat="1">
      <c r="F124" s="33"/>
      <c r="H124" s="34"/>
    </row>
    <row r="125" spans="3:8" s="28" customFormat="1">
      <c r="F125" s="33"/>
      <c r="H125" s="34"/>
    </row>
    <row r="126" spans="3:8" s="28" customFormat="1">
      <c r="F126" s="33"/>
      <c r="H126" s="34"/>
    </row>
    <row r="127" spans="3:8" s="28" customFormat="1">
      <c r="F127" s="33"/>
      <c r="H127" s="34"/>
    </row>
    <row r="128" spans="3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  <row r="628" spans="6:8" s="28" customFormat="1">
      <c r="F628" s="33"/>
      <c r="H628" s="34"/>
    </row>
    <row r="629" spans="6:8" s="28" customFormat="1">
      <c r="F629" s="33"/>
      <c r="H629" s="34"/>
    </row>
    <row r="630" spans="6:8" s="28" customFormat="1">
      <c r="F630" s="33"/>
      <c r="H630" s="34"/>
    </row>
    <row r="631" spans="6:8" s="28" customFormat="1">
      <c r="F631" s="33"/>
      <c r="H631" s="34"/>
    </row>
    <row r="632" spans="6:8" s="28" customFormat="1">
      <c r="F632" s="33"/>
      <c r="H632" s="34"/>
    </row>
    <row r="633" spans="6:8" s="28" customFormat="1">
      <c r="F633" s="33"/>
      <c r="H633" s="34"/>
    </row>
    <row r="634" spans="6:8" s="28" customFormat="1">
      <c r="F634" s="33"/>
      <c r="H634" s="34"/>
    </row>
    <row r="635" spans="6:8" s="28" customFormat="1">
      <c r="F635" s="33"/>
      <c r="H635" s="34"/>
    </row>
    <row r="636" spans="6:8" s="28" customFormat="1">
      <c r="F636" s="33"/>
      <c r="H636" s="34"/>
    </row>
    <row r="637" spans="6:8" s="28" customFormat="1">
      <c r="F637" s="33"/>
      <c r="H637" s="34"/>
    </row>
    <row r="638" spans="6:8" s="28" customFormat="1">
      <c r="F638" s="33"/>
      <c r="H638" s="34"/>
    </row>
    <row r="639" spans="6:8" s="28" customFormat="1">
      <c r="F639" s="33"/>
      <c r="H639" s="34"/>
    </row>
    <row r="640" spans="6:8" s="28" customFormat="1">
      <c r="F640" s="33"/>
      <c r="H640" s="34"/>
    </row>
    <row r="641" spans="6:8" s="28" customFormat="1">
      <c r="F641" s="33"/>
      <c r="H641" s="34"/>
    </row>
    <row r="642" spans="6:8" s="28" customFormat="1">
      <c r="F642" s="33"/>
      <c r="H642" s="34"/>
    </row>
    <row r="643" spans="6:8" s="28" customFormat="1">
      <c r="F643" s="33"/>
      <c r="H643" s="34"/>
    </row>
    <row r="644" spans="6:8" s="28" customFormat="1">
      <c r="F644" s="33"/>
      <c r="H644" s="34"/>
    </row>
    <row r="645" spans="6:8" s="28" customFormat="1">
      <c r="F645" s="33"/>
      <c r="H645" s="34"/>
    </row>
    <row r="646" spans="6:8" s="28" customFormat="1">
      <c r="F646" s="33"/>
      <c r="H646" s="34"/>
    </row>
    <row r="647" spans="6:8" s="28" customFormat="1">
      <c r="F647" s="33"/>
      <c r="H647" s="34"/>
    </row>
    <row r="648" spans="6:8" s="28" customFormat="1">
      <c r="F648" s="33"/>
      <c r="H648" s="34"/>
    </row>
    <row r="649" spans="6:8" s="28" customFormat="1">
      <c r="F649" s="33"/>
      <c r="H649" s="34"/>
    </row>
    <row r="650" spans="6:8" s="28" customFormat="1">
      <c r="F650" s="33"/>
      <c r="H650" s="34"/>
    </row>
    <row r="651" spans="6:8" s="28" customFormat="1">
      <c r="F651" s="33"/>
      <c r="H651" s="34"/>
    </row>
    <row r="652" spans="6:8" s="28" customFormat="1">
      <c r="F652" s="33"/>
      <c r="H652" s="34"/>
    </row>
    <row r="653" spans="6:8" s="28" customFormat="1">
      <c r="F653" s="33"/>
      <c r="H653" s="34"/>
    </row>
    <row r="654" spans="6:8" s="28" customFormat="1">
      <c r="F654" s="33"/>
      <c r="H654" s="34"/>
    </row>
    <row r="655" spans="6:8" s="28" customFormat="1">
      <c r="F655" s="33"/>
      <c r="H655" s="34"/>
    </row>
    <row r="656" spans="6:8" s="28" customFormat="1">
      <c r="F656" s="33"/>
      <c r="H656" s="34"/>
    </row>
    <row r="657" spans="6:8" s="28" customFormat="1">
      <c r="F657" s="33"/>
      <c r="H657" s="34"/>
    </row>
    <row r="658" spans="6:8" s="28" customFormat="1">
      <c r="F658" s="33"/>
      <c r="H658" s="34"/>
    </row>
    <row r="659" spans="6:8" s="28" customFormat="1">
      <c r="F659" s="33"/>
      <c r="H659" s="34"/>
    </row>
    <row r="660" spans="6:8" s="28" customFormat="1">
      <c r="F660" s="33"/>
      <c r="H660" s="34"/>
    </row>
    <row r="661" spans="6:8" s="28" customFormat="1">
      <c r="F661" s="33"/>
      <c r="H661" s="34"/>
    </row>
    <row r="662" spans="6:8" s="28" customFormat="1">
      <c r="F662" s="33"/>
      <c r="H662" s="34"/>
    </row>
    <row r="663" spans="6:8" s="28" customFormat="1">
      <c r="F663" s="33"/>
      <c r="H663" s="34"/>
    </row>
    <row r="664" spans="6:8" s="28" customFormat="1">
      <c r="F664" s="33"/>
      <c r="H664" s="34"/>
    </row>
    <row r="665" spans="6:8" s="28" customFormat="1">
      <c r="F665" s="33"/>
      <c r="H665" s="34"/>
    </row>
    <row r="666" spans="6:8" s="28" customFormat="1">
      <c r="F666" s="33"/>
      <c r="H666" s="34"/>
    </row>
    <row r="667" spans="6:8" s="28" customFormat="1">
      <c r="F667" s="33"/>
      <c r="H667" s="34"/>
    </row>
    <row r="668" spans="6:8" s="28" customFormat="1">
      <c r="F668" s="33"/>
      <c r="H668" s="34"/>
    </row>
    <row r="669" spans="6:8" s="28" customFormat="1">
      <c r="F669" s="33"/>
      <c r="H669" s="34"/>
    </row>
    <row r="670" spans="6:8" s="28" customFormat="1">
      <c r="F670" s="33"/>
      <c r="H670" s="34"/>
    </row>
    <row r="671" spans="6:8" s="28" customFormat="1">
      <c r="F671" s="33"/>
      <c r="H671" s="34"/>
    </row>
    <row r="672" spans="6:8" s="28" customFormat="1">
      <c r="F672" s="33"/>
      <c r="H672" s="34"/>
    </row>
    <row r="673" spans="6:8" s="28" customFormat="1">
      <c r="F673" s="33"/>
      <c r="H673" s="34"/>
    </row>
    <row r="674" spans="6:8" s="28" customFormat="1">
      <c r="F674" s="33"/>
      <c r="H674" s="34"/>
    </row>
    <row r="675" spans="6:8" s="28" customFormat="1">
      <c r="F675" s="33"/>
      <c r="H675" s="34"/>
    </row>
    <row r="676" spans="6:8" s="28" customFormat="1">
      <c r="F676" s="33"/>
      <c r="H676" s="34"/>
    </row>
    <row r="677" spans="6:8" s="28" customFormat="1">
      <c r="F677" s="33"/>
      <c r="H677" s="34"/>
    </row>
    <row r="678" spans="6:8" s="28" customFormat="1">
      <c r="F678" s="33"/>
      <c r="H678" s="34"/>
    </row>
    <row r="679" spans="6:8" s="28" customFormat="1">
      <c r="F679" s="33"/>
      <c r="H679" s="34"/>
    </row>
    <row r="680" spans="6:8" s="28" customFormat="1">
      <c r="F680" s="33"/>
      <c r="H680" s="34"/>
    </row>
    <row r="681" spans="6:8" s="28" customFormat="1">
      <c r="F681" s="33"/>
      <c r="H681" s="34"/>
    </row>
    <row r="682" spans="6:8" s="28" customFormat="1">
      <c r="F682" s="33"/>
      <c r="H682" s="34"/>
    </row>
    <row r="683" spans="6:8" s="28" customFormat="1">
      <c r="F683" s="33"/>
      <c r="H683" s="34"/>
    </row>
    <row r="684" spans="6:8" s="28" customFormat="1">
      <c r="F684" s="33"/>
      <c r="H684" s="34"/>
    </row>
    <row r="685" spans="6:8" s="28" customFormat="1">
      <c r="F685" s="33"/>
      <c r="H685" s="34"/>
    </row>
    <row r="686" spans="6:8" s="28" customFormat="1">
      <c r="F686" s="33"/>
      <c r="H686" s="34"/>
    </row>
    <row r="687" spans="6:8" s="28" customFormat="1">
      <c r="F687" s="33"/>
      <c r="H687" s="34"/>
    </row>
    <row r="688" spans="6:8" s="28" customFormat="1">
      <c r="F688" s="33"/>
      <c r="H688" s="34"/>
    </row>
    <row r="689" spans="6:8" s="28" customFormat="1">
      <c r="F689" s="33"/>
      <c r="H689" s="34"/>
    </row>
    <row r="690" spans="6:8" s="28" customFormat="1">
      <c r="F690" s="33"/>
      <c r="H690" s="34"/>
    </row>
    <row r="691" spans="6:8" s="28" customFormat="1">
      <c r="F691" s="33"/>
      <c r="H691" s="34"/>
    </row>
    <row r="692" spans="6:8" s="28" customFormat="1">
      <c r="F692" s="33"/>
      <c r="H692" s="34"/>
    </row>
    <row r="693" spans="6:8" s="28" customFormat="1">
      <c r="F693" s="33"/>
      <c r="H693" s="34"/>
    </row>
    <row r="694" spans="6:8" s="28" customFormat="1">
      <c r="F694" s="33"/>
      <c r="H694" s="34"/>
    </row>
    <row r="695" spans="6:8" s="28" customFormat="1">
      <c r="F695" s="33"/>
      <c r="H695" s="34"/>
    </row>
    <row r="696" spans="6:8" s="28" customFormat="1">
      <c r="F696" s="33"/>
      <c r="H696" s="34"/>
    </row>
    <row r="697" spans="6:8" s="28" customFormat="1">
      <c r="F697" s="33"/>
      <c r="H697" s="34"/>
    </row>
    <row r="698" spans="6:8" s="28" customFormat="1">
      <c r="F698" s="33"/>
      <c r="H698" s="34"/>
    </row>
    <row r="699" spans="6:8" s="28" customFormat="1">
      <c r="F699" s="33"/>
      <c r="H699" s="34"/>
    </row>
    <row r="700" spans="6:8" s="28" customFormat="1">
      <c r="F700" s="33"/>
      <c r="H700" s="34"/>
    </row>
    <row r="701" spans="6:8" s="28" customFormat="1">
      <c r="F701" s="33"/>
      <c r="H701" s="34"/>
    </row>
    <row r="702" spans="6:8" s="28" customFormat="1">
      <c r="F702" s="33"/>
      <c r="H702" s="34"/>
    </row>
    <row r="703" spans="6:8" s="28" customFormat="1">
      <c r="F703" s="33"/>
      <c r="H703" s="34"/>
    </row>
    <row r="704" spans="6:8" s="28" customFormat="1">
      <c r="F704" s="33"/>
      <c r="H704" s="34"/>
    </row>
    <row r="705" spans="6:8" s="28" customFormat="1">
      <c r="F705" s="33"/>
      <c r="H705" s="34"/>
    </row>
    <row r="706" spans="6:8" s="28" customFormat="1">
      <c r="F706" s="33"/>
      <c r="H706" s="34"/>
    </row>
    <row r="707" spans="6:8" s="28" customFormat="1">
      <c r="F707" s="33"/>
      <c r="H707" s="34"/>
    </row>
    <row r="708" spans="6:8" s="28" customFormat="1">
      <c r="F708" s="33"/>
      <c r="H708" s="34"/>
    </row>
    <row r="709" spans="6:8" s="28" customFormat="1">
      <c r="F709" s="33"/>
      <c r="H709" s="34"/>
    </row>
    <row r="710" spans="6:8" s="28" customFormat="1">
      <c r="F710" s="33"/>
      <c r="H710" s="34"/>
    </row>
    <row r="711" spans="6:8" s="28" customFormat="1">
      <c r="F711" s="33"/>
      <c r="H711" s="34"/>
    </row>
    <row r="712" spans="6:8" s="28" customFormat="1">
      <c r="F712" s="33"/>
      <c r="H712" s="34"/>
    </row>
    <row r="713" spans="6:8" s="28" customFormat="1">
      <c r="F713" s="33"/>
      <c r="H713" s="34"/>
    </row>
    <row r="714" spans="6:8" s="28" customFormat="1">
      <c r="F714" s="33"/>
      <c r="H714" s="34"/>
    </row>
    <row r="715" spans="6:8" s="28" customFormat="1">
      <c r="F715" s="33"/>
      <c r="H715" s="34"/>
    </row>
    <row r="716" spans="6:8" s="28" customFormat="1">
      <c r="F716" s="33"/>
      <c r="H716" s="34"/>
    </row>
    <row r="717" spans="6:8" s="28" customFormat="1">
      <c r="F717" s="33"/>
      <c r="H717" s="34"/>
    </row>
    <row r="718" spans="6:8" s="28" customFormat="1">
      <c r="F718" s="33"/>
      <c r="H718" s="34"/>
    </row>
    <row r="719" spans="6:8" s="28" customFormat="1">
      <c r="F719" s="33"/>
      <c r="H719" s="34"/>
    </row>
    <row r="720" spans="6:8" s="28" customFormat="1">
      <c r="F720" s="33"/>
      <c r="H720" s="34"/>
    </row>
    <row r="721" spans="6:8" s="28" customFormat="1">
      <c r="F721" s="33"/>
      <c r="H721" s="34"/>
    </row>
    <row r="722" spans="6:8" s="28" customFormat="1">
      <c r="F722" s="33"/>
      <c r="H722" s="34"/>
    </row>
    <row r="723" spans="6:8" s="28" customFormat="1">
      <c r="F723" s="33"/>
      <c r="H723" s="34"/>
    </row>
    <row r="724" spans="6:8" s="28" customFormat="1">
      <c r="F724" s="33"/>
      <c r="H724" s="34"/>
    </row>
    <row r="725" spans="6:8" s="28" customFormat="1">
      <c r="F725" s="33"/>
      <c r="H725" s="34"/>
    </row>
    <row r="726" spans="6:8" s="28" customFormat="1">
      <c r="F726" s="33"/>
      <c r="H726" s="34"/>
    </row>
    <row r="727" spans="6:8" s="28" customFormat="1">
      <c r="F727" s="33"/>
      <c r="H727" s="34"/>
    </row>
    <row r="728" spans="6:8" s="28" customFormat="1">
      <c r="F728" s="33"/>
      <c r="H728" s="34"/>
    </row>
    <row r="729" spans="6:8" s="28" customFormat="1">
      <c r="F729" s="33"/>
      <c r="H729" s="34"/>
    </row>
    <row r="730" spans="6:8" s="28" customFormat="1">
      <c r="F730" s="33"/>
      <c r="H730" s="34"/>
    </row>
    <row r="731" spans="6:8" s="28" customFormat="1">
      <c r="F731" s="33"/>
      <c r="H731" s="34"/>
    </row>
    <row r="732" spans="6:8" s="28" customFormat="1">
      <c r="F732" s="33"/>
      <c r="H732" s="34"/>
    </row>
    <row r="733" spans="6:8" s="28" customFormat="1">
      <c r="F733" s="33"/>
      <c r="H733" s="34"/>
    </row>
    <row r="734" spans="6:8" s="28" customFormat="1">
      <c r="F734" s="33"/>
      <c r="H734" s="34"/>
    </row>
    <row r="735" spans="6:8" s="28" customFormat="1">
      <c r="F735" s="33"/>
      <c r="H735" s="34"/>
    </row>
    <row r="736" spans="6:8" s="28" customFormat="1">
      <c r="F736" s="33"/>
      <c r="H736" s="34"/>
    </row>
    <row r="737" spans="6:8" s="28" customFormat="1">
      <c r="F737" s="33"/>
      <c r="H737" s="34"/>
    </row>
    <row r="738" spans="6:8" s="28" customFormat="1">
      <c r="F738" s="33"/>
      <c r="H738" s="34"/>
    </row>
    <row r="739" spans="6:8" s="28" customFormat="1">
      <c r="F739" s="33"/>
      <c r="H739" s="34"/>
    </row>
    <row r="740" spans="6:8" s="28" customFormat="1">
      <c r="F740" s="33"/>
      <c r="H740" s="34"/>
    </row>
    <row r="741" spans="6:8" s="28" customFormat="1">
      <c r="F741" s="33"/>
      <c r="H741" s="34"/>
    </row>
    <row r="742" spans="6:8" s="28" customFormat="1">
      <c r="F742" s="33"/>
      <c r="H742" s="34"/>
    </row>
    <row r="743" spans="6:8" s="28" customFormat="1">
      <c r="F743" s="33"/>
      <c r="H743" s="34"/>
    </row>
    <row r="744" spans="6:8" s="28" customFormat="1">
      <c r="F744" s="33"/>
      <c r="H744" s="34"/>
    </row>
    <row r="745" spans="6:8" s="28" customFormat="1">
      <c r="F745" s="33"/>
      <c r="H745" s="34"/>
    </row>
    <row r="746" spans="6:8" s="28" customFormat="1">
      <c r="F746" s="33"/>
      <c r="H746" s="34"/>
    </row>
    <row r="747" spans="6:8" s="28" customFormat="1">
      <c r="F747" s="33"/>
      <c r="H747" s="34"/>
    </row>
    <row r="748" spans="6:8" s="28" customFormat="1">
      <c r="F748" s="33"/>
      <c r="H748" s="34"/>
    </row>
    <row r="749" spans="6:8" s="28" customFormat="1">
      <c r="F749" s="33"/>
      <c r="H749" s="34"/>
    </row>
    <row r="750" spans="6:8" s="28" customFormat="1">
      <c r="F750" s="33"/>
      <c r="H750" s="34"/>
    </row>
    <row r="751" spans="6:8" s="28" customFormat="1">
      <c r="F751" s="33"/>
      <c r="H751" s="34"/>
    </row>
    <row r="752" spans="6:8" s="28" customFormat="1">
      <c r="F752" s="33"/>
      <c r="H752" s="34"/>
    </row>
    <row r="753" spans="6:8" s="28" customFormat="1">
      <c r="F753" s="33"/>
      <c r="H753" s="34"/>
    </row>
    <row r="754" spans="6:8" s="28" customFormat="1">
      <c r="F754" s="33"/>
      <c r="H754" s="34"/>
    </row>
    <row r="755" spans="6:8" s="28" customFormat="1">
      <c r="F755" s="33"/>
      <c r="H755" s="34"/>
    </row>
    <row r="756" spans="6:8" s="28" customFormat="1">
      <c r="F756" s="33"/>
      <c r="H756" s="34"/>
    </row>
    <row r="757" spans="6:8" s="28" customFormat="1">
      <c r="F757" s="33"/>
      <c r="H757" s="34"/>
    </row>
    <row r="758" spans="6:8" s="28" customFormat="1">
      <c r="F758" s="33"/>
      <c r="H758" s="34"/>
    </row>
    <row r="759" spans="6:8" s="28" customFormat="1">
      <c r="F759" s="33"/>
      <c r="H759" s="34"/>
    </row>
    <row r="760" spans="6:8" s="28" customFormat="1">
      <c r="F760" s="33"/>
      <c r="H760" s="34"/>
    </row>
    <row r="761" spans="6:8" s="28" customFormat="1">
      <c r="F761" s="33"/>
      <c r="H761" s="34"/>
    </row>
    <row r="762" spans="6:8" s="28" customFormat="1">
      <c r="F762" s="33"/>
      <c r="H762" s="34"/>
    </row>
    <row r="763" spans="6:8" s="28" customFormat="1">
      <c r="F763" s="33"/>
      <c r="H763" s="34"/>
    </row>
    <row r="764" spans="6:8" s="28" customFormat="1">
      <c r="F764" s="33"/>
      <c r="H764" s="34"/>
    </row>
    <row r="765" spans="6:8" s="28" customFormat="1">
      <c r="F765" s="33"/>
      <c r="H765" s="34"/>
    </row>
    <row r="766" spans="6:8" s="28" customFormat="1">
      <c r="F766" s="33"/>
      <c r="H766" s="34"/>
    </row>
    <row r="767" spans="6:8" s="28" customFormat="1">
      <c r="F767" s="33"/>
      <c r="H767" s="34"/>
    </row>
    <row r="768" spans="6:8" s="28" customFormat="1">
      <c r="F768" s="33"/>
      <c r="H768" s="34"/>
    </row>
    <row r="769" spans="6:8" s="28" customFormat="1">
      <c r="F769" s="33"/>
      <c r="H769" s="34"/>
    </row>
    <row r="770" spans="6:8" s="28" customFormat="1">
      <c r="F770" s="33"/>
      <c r="H770" s="34"/>
    </row>
    <row r="771" spans="6:8" s="28" customFormat="1">
      <c r="F771" s="33"/>
      <c r="H771" s="34"/>
    </row>
    <row r="772" spans="6:8" s="28" customFormat="1">
      <c r="F772" s="33"/>
      <c r="H772" s="34"/>
    </row>
    <row r="773" spans="6:8" s="28" customFormat="1">
      <c r="F773" s="33"/>
      <c r="H773" s="34"/>
    </row>
    <row r="774" spans="6:8" s="28" customFormat="1">
      <c r="F774" s="33"/>
      <c r="H774" s="34"/>
    </row>
    <row r="775" spans="6:8" s="28" customFormat="1">
      <c r="F775" s="33"/>
      <c r="H775" s="34"/>
    </row>
    <row r="776" spans="6:8" s="28" customFormat="1">
      <c r="F776" s="33"/>
      <c r="H776" s="34"/>
    </row>
    <row r="777" spans="6:8" s="28" customFormat="1">
      <c r="F777" s="33"/>
      <c r="H777" s="34"/>
    </row>
    <row r="778" spans="6:8" s="28" customFormat="1">
      <c r="F778" s="33"/>
      <c r="H778" s="34"/>
    </row>
    <row r="779" spans="6:8" s="28" customFormat="1">
      <c r="F779" s="33"/>
      <c r="H779" s="34"/>
    </row>
    <row r="780" spans="6:8" s="28" customFormat="1">
      <c r="F780" s="33"/>
      <c r="H780" s="34"/>
    </row>
    <row r="781" spans="6:8" s="28" customFormat="1">
      <c r="F781" s="33"/>
      <c r="H781" s="34"/>
    </row>
    <row r="782" spans="6:8" s="28" customFormat="1">
      <c r="F782" s="33"/>
      <c r="H782" s="34"/>
    </row>
    <row r="783" spans="6:8" s="28" customFormat="1">
      <c r="F783" s="33"/>
      <c r="H783" s="34"/>
    </row>
    <row r="784" spans="6:8" s="28" customFormat="1">
      <c r="F784" s="33"/>
      <c r="H784" s="34"/>
    </row>
    <row r="785" spans="6:8" s="28" customFormat="1">
      <c r="F785" s="33"/>
      <c r="H785" s="34"/>
    </row>
    <row r="786" spans="6:8" s="28" customFormat="1">
      <c r="F786" s="33"/>
      <c r="H786" s="34"/>
    </row>
    <row r="787" spans="6:8" s="28" customFormat="1">
      <c r="F787" s="33"/>
      <c r="H787" s="34"/>
    </row>
    <row r="788" spans="6:8" s="28" customFormat="1">
      <c r="F788" s="33"/>
      <c r="H788" s="34"/>
    </row>
    <row r="789" spans="6:8" s="28" customFormat="1">
      <c r="F789" s="33"/>
      <c r="H789" s="34"/>
    </row>
    <row r="790" spans="6:8" s="28" customFormat="1">
      <c r="F790" s="33"/>
      <c r="H790" s="34"/>
    </row>
    <row r="791" spans="6:8" s="28" customFormat="1">
      <c r="F791" s="33"/>
      <c r="H791" s="34"/>
    </row>
    <row r="792" spans="6:8" s="28" customFormat="1">
      <c r="F792" s="33"/>
      <c r="H792" s="34"/>
    </row>
    <row r="793" spans="6:8" s="28" customFormat="1">
      <c r="F793" s="33"/>
      <c r="H793" s="34"/>
    </row>
    <row r="794" spans="6:8" s="28" customFormat="1">
      <c r="F794" s="33"/>
      <c r="H794" s="34"/>
    </row>
    <row r="795" spans="6:8" s="28" customFormat="1">
      <c r="F795" s="33"/>
      <c r="H795" s="34"/>
    </row>
    <row r="796" spans="6:8" s="28" customFormat="1">
      <c r="F796" s="33"/>
      <c r="H796" s="34"/>
    </row>
    <row r="797" spans="6:8" s="28" customFormat="1">
      <c r="F797" s="33"/>
      <c r="H797" s="34"/>
    </row>
    <row r="798" spans="6:8" s="28" customFormat="1">
      <c r="F798" s="33"/>
      <c r="H798" s="34"/>
    </row>
    <row r="799" spans="6:8" s="28" customFormat="1">
      <c r="F799" s="33"/>
      <c r="H799" s="34"/>
    </row>
    <row r="800" spans="6:8" s="28" customFormat="1">
      <c r="F800" s="33"/>
      <c r="H800" s="34"/>
    </row>
    <row r="801" spans="6:8" s="28" customFormat="1">
      <c r="F801" s="33"/>
      <c r="H801" s="34"/>
    </row>
    <row r="802" spans="6:8" s="28" customFormat="1">
      <c r="F802" s="33"/>
      <c r="H802" s="34"/>
    </row>
    <row r="803" spans="6:8" s="28" customFormat="1">
      <c r="F803" s="33"/>
      <c r="H803" s="34"/>
    </row>
    <row r="804" spans="6:8" s="28" customFormat="1">
      <c r="F804" s="33"/>
      <c r="H804" s="34"/>
    </row>
    <row r="805" spans="6:8" s="28" customFormat="1">
      <c r="F805" s="33"/>
      <c r="H805" s="34"/>
    </row>
    <row r="806" spans="6:8" s="28" customFormat="1">
      <c r="F806" s="33"/>
      <c r="H806" s="34"/>
    </row>
    <row r="807" spans="6:8" s="28" customFormat="1">
      <c r="F807" s="33"/>
      <c r="H807" s="34"/>
    </row>
    <row r="808" spans="6:8" s="28" customFormat="1">
      <c r="F808" s="33"/>
      <c r="H808" s="34"/>
    </row>
    <row r="809" spans="6:8" s="28" customFormat="1">
      <c r="F809" s="33"/>
      <c r="H809" s="34"/>
    </row>
    <row r="810" spans="6:8" s="28" customFormat="1">
      <c r="F810" s="33"/>
      <c r="H810" s="34"/>
    </row>
    <row r="811" spans="6:8" s="28" customFormat="1">
      <c r="F811" s="33"/>
      <c r="H811" s="34"/>
    </row>
    <row r="812" spans="6:8" s="28" customFormat="1">
      <c r="F812" s="33"/>
      <c r="H812" s="34"/>
    </row>
    <row r="813" spans="6:8" s="28" customFormat="1">
      <c r="F813" s="33"/>
      <c r="H813" s="34"/>
    </row>
    <row r="814" spans="6:8" s="28" customFormat="1">
      <c r="F814" s="33"/>
      <c r="H814" s="34"/>
    </row>
    <row r="815" spans="6:8" s="28" customFormat="1">
      <c r="F815" s="33"/>
      <c r="H815" s="34"/>
    </row>
    <row r="816" spans="6:8" s="28" customFormat="1">
      <c r="F816" s="33"/>
      <c r="H816" s="34"/>
    </row>
    <row r="817" spans="6:8" s="28" customFormat="1">
      <c r="F817" s="33"/>
      <c r="H817" s="34"/>
    </row>
    <row r="818" spans="6:8" s="28" customFormat="1">
      <c r="F818" s="33"/>
      <c r="H818" s="34"/>
    </row>
    <row r="819" spans="6:8" s="28" customFormat="1">
      <c r="F819" s="33"/>
      <c r="H819" s="34"/>
    </row>
    <row r="820" spans="6:8" s="28" customFormat="1">
      <c r="F820" s="33"/>
      <c r="H820" s="34"/>
    </row>
    <row r="821" spans="6:8" s="28" customFormat="1">
      <c r="F821" s="33"/>
      <c r="H821" s="34"/>
    </row>
    <row r="822" spans="6:8" s="28" customFormat="1">
      <c r="F822" s="33"/>
      <c r="H822" s="34"/>
    </row>
    <row r="823" spans="6:8" s="28" customFormat="1">
      <c r="F823" s="33"/>
      <c r="H823" s="34"/>
    </row>
    <row r="824" spans="6:8" s="28" customFormat="1">
      <c r="F824" s="33"/>
      <c r="H824" s="34"/>
    </row>
    <row r="825" spans="6:8" s="28" customFormat="1">
      <c r="F825" s="33"/>
      <c r="H825" s="34"/>
    </row>
    <row r="826" spans="6:8" s="28" customFormat="1">
      <c r="F826" s="33"/>
      <c r="H826" s="34"/>
    </row>
    <row r="827" spans="6:8" s="28" customFormat="1">
      <c r="F827" s="33"/>
      <c r="H827" s="34"/>
    </row>
    <row r="828" spans="6:8" s="28" customFormat="1">
      <c r="F828" s="33"/>
      <c r="H828" s="34"/>
    </row>
    <row r="829" spans="6:8" s="28" customFormat="1">
      <c r="F829" s="33"/>
      <c r="H829" s="34"/>
    </row>
    <row r="830" spans="6:8" s="28" customFormat="1">
      <c r="F830" s="33"/>
      <c r="H830" s="34"/>
    </row>
    <row r="831" spans="6:8" s="28" customFormat="1">
      <c r="F831" s="33"/>
      <c r="H831" s="34"/>
    </row>
    <row r="832" spans="6:8" s="28" customFormat="1">
      <c r="F832" s="33"/>
      <c r="H832" s="34"/>
    </row>
    <row r="833" spans="6:8" s="28" customFormat="1">
      <c r="F833" s="33"/>
      <c r="H833" s="34"/>
    </row>
    <row r="834" spans="6:8" s="28" customFormat="1">
      <c r="F834" s="33"/>
      <c r="H834" s="34"/>
    </row>
    <row r="835" spans="6:8" s="28" customFormat="1">
      <c r="F835" s="33"/>
      <c r="H835" s="34"/>
    </row>
    <row r="836" spans="6:8" s="28" customFormat="1">
      <c r="F836" s="33"/>
      <c r="H836" s="34"/>
    </row>
    <row r="837" spans="6:8" s="28" customFormat="1">
      <c r="F837" s="33"/>
      <c r="H837" s="34"/>
    </row>
    <row r="838" spans="6:8" s="28" customFormat="1">
      <c r="F838" s="33"/>
      <c r="H838" s="34"/>
    </row>
    <row r="839" spans="6:8" s="28" customFormat="1">
      <c r="F839" s="33"/>
      <c r="H839" s="34"/>
    </row>
    <row r="840" spans="6:8" s="28" customFormat="1">
      <c r="F840" s="33"/>
      <c r="H840" s="34"/>
    </row>
    <row r="841" spans="6:8" s="28" customFormat="1">
      <c r="F841" s="33"/>
      <c r="H841" s="34"/>
    </row>
    <row r="842" spans="6:8" s="28" customFormat="1">
      <c r="F842" s="33"/>
      <c r="H842" s="34"/>
    </row>
    <row r="843" spans="6:8" s="28" customFormat="1">
      <c r="F843" s="33"/>
      <c r="H843" s="34"/>
    </row>
    <row r="844" spans="6:8" s="28" customFormat="1">
      <c r="F844" s="33"/>
      <c r="H844" s="34"/>
    </row>
    <row r="845" spans="6:8" s="28" customFormat="1">
      <c r="F845" s="33"/>
      <c r="H845" s="34"/>
    </row>
    <row r="846" spans="6:8" s="28" customFormat="1">
      <c r="F846" s="33"/>
      <c r="H846" s="34"/>
    </row>
    <row r="847" spans="6:8" s="28" customFormat="1">
      <c r="F847" s="33"/>
      <c r="H847" s="34"/>
    </row>
    <row r="848" spans="6:8" s="28" customFormat="1">
      <c r="F848" s="33"/>
      <c r="H848" s="34"/>
    </row>
    <row r="849" spans="6:8" s="28" customFormat="1">
      <c r="F849" s="33"/>
      <c r="H849" s="34"/>
    </row>
    <row r="850" spans="6:8" s="28" customFormat="1">
      <c r="F850" s="33"/>
      <c r="H850" s="34"/>
    </row>
    <row r="851" spans="6:8" s="28" customFormat="1">
      <c r="F851" s="33"/>
      <c r="H851" s="34"/>
    </row>
    <row r="852" spans="6:8" s="28" customFormat="1">
      <c r="F852" s="33"/>
      <c r="H852" s="34"/>
    </row>
    <row r="853" spans="6:8" s="28" customFormat="1">
      <c r="F853" s="33"/>
      <c r="H853" s="34"/>
    </row>
    <row r="854" spans="6:8" s="28" customFormat="1">
      <c r="F854" s="33"/>
      <c r="H854" s="34"/>
    </row>
    <row r="855" spans="6:8" s="28" customFormat="1">
      <c r="F855" s="33"/>
      <c r="H855" s="34"/>
    </row>
    <row r="856" spans="6:8" s="28" customFormat="1">
      <c r="F856" s="33"/>
      <c r="H856" s="34"/>
    </row>
    <row r="857" spans="6:8" s="28" customFormat="1">
      <c r="F857" s="33"/>
      <c r="H857" s="34"/>
    </row>
    <row r="858" spans="6:8" s="28" customFormat="1">
      <c r="F858" s="33"/>
      <c r="H858" s="34"/>
    </row>
    <row r="859" spans="6:8" s="28" customFormat="1">
      <c r="F859" s="33"/>
      <c r="H859" s="34"/>
    </row>
    <row r="860" spans="6:8" s="28" customFormat="1">
      <c r="F860" s="33"/>
      <c r="H860" s="34"/>
    </row>
    <row r="861" spans="6:8" s="28" customFormat="1">
      <c r="F861" s="33"/>
      <c r="H861" s="34"/>
    </row>
    <row r="862" spans="6:8" s="28" customFormat="1">
      <c r="F862" s="33"/>
      <c r="H862" s="34"/>
    </row>
    <row r="863" spans="6:8" s="28" customFormat="1">
      <c r="F863" s="33"/>
      <c r="H863" s="34"/>
    </row>
    <row r="864" spans="6:8" s="28" customFormat="1">
      <c r="F864" s="33"/>
      <c r="H864" s="34"/>
    </row>
    <row r="865" spans="6:8" s="28" customFormat="1">
      <c r="F865" s="33"/>
      <c r="H865" s="34"/>
    </row>
    <row r="866" spans="6:8" s="28" customFormat="1">
      <c r="F866" s="33"/>
      <c r="H866" s="34"/>
    </row>
    <row r="867" spans="6:8" s="28" customFormat="1">
      <c r="F867" s="33"/>
      <c r="H867" s="34"/>
    </row>
    <row r="868" spans="6:8" s="28" customFormat="1">
      <c r="F868" s="33"/>
      <c r="H868" s="34"/>
    </row>
    <row r="869" spans="6:8" s="28" customFormat="1">
      <c r="F869" s="33"/>
      <c r="H869" s="34"/>
    </row>
    <row r="870" spans="6:8" s="28" customFormat="1">
      <c r="F870" s="33"/>
      <c r="H870" s="34"/>
    </row>
    <row r="871" spans="6:8" s="28" customFormat="1">
      <c r="F871" s="33"/>
      <c r="H871" s="34"/>
    </row>
    <row r="872" spans="6:8" s="28" customFormat="1">
      <c r="F872" s="33"/>
      <c r="H872" s="34"/>
    </row>
    <row r="873" spans="6:8" s="28" customFormat="1">
      <c r="F873" s="33"/>
      <c r="H873" s="34"/>
    </row>
    <row r="874" spans="6:8" s="28" customFormat="1">
      <c r="F874" s="33"/>
      <c r="H874" s="34"/>
    </row>
    <row r="875" spans="6:8" s="28" customFormat="1">
      <c r="F875" s="33"/>
      <c r="H875" s="34"/>
    </row>
    <row r="876" spans="6:8" s="28" customFormat="1">
      <c r="F876" s="33"/>
      <c r="H876" s="34"/>
    </row>
    <row r="877" spans="6:8" s="28" customFormat="1">
      <c r="F877" s="33"/>
      <c r="H877" s="34"/>
    </row>
    <row r="878" spans="6:8" s="28" customFormat="1">
      <c r="F878" s="33"/>
      <c r="H878" s="34"/>
    </row>
    <row r="879" spans="6:8" s="28" customFormat="1">
      <c r="F879" s="33"/>
      <c r="H879" s="34"/>
    </row>
    <row r="880" spans="6:8" s="28" customFormat="1">
      <c r="F880" s="33"/>
      <c r="H880" s="34"/>
    </row>
    <row r="881" spans="6:8" s="28" customFormat="1">
      <c r="F881" s="33"/>
      <c r="H881" s="34"/>
    </row>
    <row r="882" spans="6:8" s="28" customFormat="1">
      <c r="F882" s="33"/>
      <c r="H882" s="34"/>
    </row>
    <row r="883" spans="6:8" s="28" customFormat="1">
      <c r="F883" s="33"/>
      <c r="H883" s="34"/>
    </row>
    <row r="884" spans="6:8" s="28" customFormat="1">
      <c r="F884" s="33"/>
      <c r="H884" s="34"/>
    </row>
    <row r="885" spans="6:8" s="28" customFormat="1">
      <c r="F885" s="33"/>
      <c r="H885" s="34"/>
    </row>
    <row r="886" spans="6:8" s="28" customFormat="1">
      <c r="F886" s="33"/>
      <c r="H886" s="34"/>
    </row>
    <row r="887" spans="6:8" s="28" customFormat="1">
      <c r="F887" s="33"/>
      <c r="H887" s="34"/>
    </row>
    <row r="888" spans="6:8" s="28" customFormat="1">
      <c r="F888" s="33"/>
      <c r="H888" s="34"/>
    </row>
    <row r="889" spans="6:8" s="28" customFormat="1">
      <c r="F889" s="33"/>
      <c r="H889" s="34"/>
    </row>
    <row r="890" spans="6:8" s="28" customFormat="1">
      <c r="F890" s="33"/>
      <c r="H890" s="34"/>
    </row>
  </sheetData>
  <mergeCells count="2">
    <mergeCell ref="B1:H1"/>
    <mergeCell ref="B2:H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27"/>
  <sheetViews>
    <sheetView zoomScaleNormal="100" workbookViewId="0"/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89" width="9.140625" style="28"/>
  </cols>
  <sheetData>
    <row r="1" spans="1:9" ht="15.95" customHeight="1">
      <c r="A1" s="25"/>
      <c r="B1" s="158" t="s">
        <v>342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5"/>
      <c r="B2" s="161" t="s">
        <v>372</v>
      </c>
      <c r="C2" s="162"/>
      <c r="D2" s="162"/>
      <c r="E2" s="162"/>
      <c r="F2" s="162"/>
      <c r="G2" s="162"/>
      <c r="H2" s="163"/>
      <c r="I2" s="1"/>
    </row>
    <row r="3" spans="1:9" s="28" customFormat="1" ht="12.95" customHeight="1">
      <c r="A3" s="25"/>
      <c r="B3" s="87"/>
      <c r="C3" s="87"/>
      <c r="D3" s="87"/>
      <c r="E3" s="87"/>
      <c r="F3" s="87"/>
      <c r="G3" s="87"/>
      <c r="H3" s="87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3" t="s">
        <v>3</v>
      </c>
      <c r="C6" s="54" t="s">
        <v>4</v>
      </c>
      <c r="D6" s="55" t="s">
        <v>5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 ht="12.95" customHeight="1">
      <c r="A7" s="25"/>
      <c r="B7" s="7" t="s">
        <v>350</v>
      </c>
      <c r="C7" s="42"/>
      <c r="D7" s="40"/>
      <c r="E7" s="40"/>
      <c r="F7" s="41"/>
      <c r="G7" s="40"/>
      <c r="H7" s="148"/>
      <c r="I7" s="23"/>
    </row>
    <row r="8" spans="1:9" ht="12.95" customHeight="1">
      <c r="A8" s="25"/>
      <c r="B8" s="11" t="s">
        <v>351</v>
      </c>
      <c r="C8" s="43"/>
      <c r="D8" s="40"/>
      <c r="E8" s="77" t="s">
        <v>195</v>
      </c>
      <c r="F8" s="77" t="s">
        <v>195</v>
      </c>
      <c r="G8" s="77" t="s">
        <v>195</v>
      </c>
      <c r="H8" s="78" t="s">
        <v>195</v>
      </c>
      <c r="I8" s="5" t="s">
        <v>195</v>
      </c>
    </row>
    <row r="9" spans="1:9" ht="12.95" customHeight="1">
      <c r="A9" s="27"/>
      <c r="B9" s="14" t="s">
        <v>194</v>
      </c>
      <c r="C9" s="46"/>
      <c r="D9" s="40"/>
      <c r="E9" s="77" t="s">
        <v>195</v>
      </c>
      <c r="F9" s="77" t="s">
        <v>195</v>
      </c>
      <c r="G9" s="77" t="s">
        <v>195</v>
      </c>
      <c r="H9" s="78" t="s">
        <v>195</v>
      </c>
      <c r="I9" s="5" t="s">
        <v>195</v>
      </c>
    </row>
    <row r="10" spans="1:9" ht="12.95" customHeight="1">
      <c r="A10" s="27"/>
      <c r="B10" s="141"/>
      <c r="C10" s="39"/>
      <c r="D10" s="40"/>
      <c r="E10" s="79"/>
      <c r="F10" s="79"/>
      <c r="G10" s="79"/>
      <c r="H10" s="149"/>
      <c r="I10" s="6"/>
    </row>
    <row r="11" spans="1:9" ht="12.95" customHeight="1">
      <c r="A11" s="27"/>
      <c r="B11" s="7" t="s">
        <v>352</v>
      </c>
      <c r="C11" s="42"/>
      <c r="D11" s="40"/>
      <c r="E11" s="79"/>
      <c r="F11" s="79"/>
      <c r="G11" s="79"/>
      <c r="H11" s="149"/>
      <c r="I11" s="6"/>
    </row>
    <row r="12" spans="1:9" ht="12.95" customHeight="1">
      <c r="A12" s="27"/>
      <c r="B12" s="11" t="s">
        <v>356</v>
      </c>
      <c r="C12" s="43"/>
      <c r="D12" s="40"/>
      <c r="E12" s="77" t="s">
        <v>195</v>
      </c>
      <c r="F12" s="77" t="s">
        <v>195</v>
      </c>
      <c r="G12" s="77" t="s">
        <v>195</v>
      </c>
      <c r="H12" s="78" t="s">
        <v>195</v>
      </c>
      <c r="I12" s="5" t="s">
        <v>195</v>
      </c>
    </row>
    <row r="13" spans="1:9" ht="12.95" customHeight="1">
      <c r="A13" s="27"/>
      <c r="B13" s="14" t="s">
        <v>354</v>
      </c>
      <c r="C13" s="46"/>
      <c r="D13" s="40"/>
      <c r="E13" s="77" t="s">
        <v>195</v>
      </c>
      <c r="F13" s="77" t="s">
        <v>195</v>
      </c>
      <c r="G13" s="77" t="s">
        <v>195</v>
      </c>
      <c r="H13" s="78" t="s">
        <v>195</v>
      </c>
      <c r="I13" s="5" t="s">
        <v>195</v>
      </c>
    </row>
    <row r="14" spans="1:9" ht="12.95" customHeight="1">
      <c r="A14" s="25"/>
      <c r="B14" s="14" t="s">
        <v>355</v>
      </c>
      <c r="C14" s="46"/>
      <c r="D14" s="40"/>
      <c r="E14" s="77" t="s">
        <v>195</v>
      </c>
      <c r="F14" s="77" t="s">
        <v>195</v>
      </c>
      <c r="G14" s="77" t="s">
        <v>195</v>
      </c>
      <c r="H14" s="78" t="s">
        <v>195</v>
      </c>
      <c r="I14" s="5" t="s">
        <v>195</v>
      </c>
    </row>
    <row r="15" spans="1:9" ht="12.95" customHeight="1">
      <c r="A15" s="25"/>
      <c r="B15" s="14"/>
      <c r="C15" s="46"/>
      <c r="D15" s="40"/>
      <c r="E15" s="77"/>
      <c r="F15" s="77"/>
      <c r="G15" s="77"/>
      <c r="H15" s="78"/>
      <c r="I15" s="150"/>
    </row>
    <row r="16" spans="1:9" ht="12.95" customHeight="1">
      <c r="A16" s="25"/>
      <c r="B16" s="60" t="s">
        <v>11</v>
      </c>
      <c r="C16" s="9" t="s">
        <v>1</v>
      </c>
      <c r="D16" s="9" t="s">
        <v>1</v>
      </c>
      <c r="E16" s="9" t="s">
        <v>1</v>
      </c>
      <c r="F16" s="47" t="s">
        <v>1</v>
      </c>
      <c r="G16" s="48"/>
      <c r="H16" s="61" t="s">
        <v>1</v>
      </c>
      <c r="I16" s="36" t="s">
        <v>1</v>
      </c>
    </row>
    <row r="17" spans="1:9" ht="12.95" customHeight="1">
      <c r="A17" s="25"/>
      <c r="B17" s="60"/>
      <c r="C17" s="9"/>
      <c r="D17" s="9"/>
      <c r="E17" s="9"/>
      <c r="F17" s="47"/>
      <c r="G17" s="48"/>
      <c r="H17" s="61"/>
      <c r="I17" s="36"/>
    </row>
    <row r="18" spans="1:9" ht="12.95" customHeight="1">
      <c r="A18" s="25"/>
      <c r="B18" s="60" t="s">
        <v>12</v>
      </c>
      <c r="C18" s="9" t="s">
        <v>1</v>
      </c>
      <c r="D18" s="9" t="s">
        <v>1</v>
      </c>
      <c r="E18" s="9" t="s">
        <v>1</v>
      </c>
      <c r="F18" s="47" t="s">
        <v>1</v>
      </c>
      <c r="G18" s="48"/>
      <c r="H18" s="61" t="s">
        <v>1</v>
      </c>
      <c r="I18" s="36" t="s">
        <v>1</v>
      </c>
    </row>
    <row r="19" spans="1:9" ht="12.95" customHeight="1">
      <c r="A19" s="27"/>
      <c r="B19" s="62" t="s">
        <v>29</v>
      </c>
      <c r="C19" s="9" t="s">
        <v>30</v>
      </c>
      <c r="D19" s="9" t="s">
        <v>18</v>
      </c>
      <c r="E19" s="49">
        <v>500000</v>
      </c>
      <c r="F19" s="50">
        <v>496.08902999999998</v>
      </c>
      <c r="G19" s="51">
        <v>496.09</v>
      </c>
      <c r="H19" s="63">
        <v>0.18698869938896104</v>
      </c>
      <c r="I19" s="2">
        <v>0.187</v>
      </c>
    </row>
    <row r="20" spans="1:9" ht="12.95" customHeight="1">
      <c r="A20" s="27"/>
      <c r="B20" s="62" t="s">
        <v>343</v>
      </c>
      <c r="C20" s="9" t="s">
        <v>344</v>
      </c>
      <c r="D20" s="9" t="s">
        <v>18</v>
      </c>
      <c r="E20" s="49">
        <v>500000</v>
      </c>
      <c r="F20" s="50">
        <v>468.77050000000003</v>
      </c>
      <c r="G20" s="51">
        <v>468.77</v>
      </c>
      <c r="H20" s="63">
        <v>0.17669164364894938</v>
      </c>
      <c r="I20" s="2">
        <v>0.1767</v>
      </c>
    </row>
    <row r="21" spans="1:9" ht="12.95" customHeight="1">
      <c r="A21" s="27"/>
      <c r="B21" s="62" t="s">
        <v>37</v>
      </c>
      <c r="C21" s="9" t="s">
        <v>38</v>
      </c>
      <c r="D21" s="9" t="s">
        <v>18</v>
      </c>
      <c r="E21" s="49">
        <v>350000</v>
      </c>
      <c r="F21" s="50">
        <v>347.65926999999999</v>
      </c>
      <c r="G21" s="51">
        <v>347.66</v>
      </c>
      <c r="H21" s="63">
        <v>0.13104170984755628</v>
      </c>
      <c r="I21" s="2">
        <v>0.13100000000000001</v>
      </c>
    </row>
    <row r="22" spans="1:9" ht="12.95" customHeight="1">
      <c r="A22" s="27"/>
      <c r="B22" s="62" t="s">
        <v>345</v>
      </c>
      <c r="C22" s="9" t="s">
        <v>346</v>
      </c>
      <c r="D22" s="9" t="s">
        <v>18</v>
      </c>
      <c r="E22" s="49">
        <v>350000</v>
      </c>
      <c r="F22" s="50">
        <v>330.7808</v>
      </c>
      <c r="G22" s="51">
        <v>330.78</v>
      </c>
      <c r="H22" s="63">
        <v>0.12467978091521202</v>
      </c>
      <c r="I22" s="2">
        <v>0.12470000000000001</v>
      </c>
    </row>
    <row r="23" spans="1:9" ht="12.95" customHeight="1">
      <c r="A23" s="27"/>
      <c r="B23" s="62" t="s">
        <v>347</v>
      </c>
      <c r="C23" s="9" t="s">
        <v>348</v>
      </c>
      <c r="D23" s="9" t="s">
        <v>18</v>
      </c>
      <c r="E23" s="49">
        <v>320000</v>
      </c>
      <c r="F23" s="50">
        <v>302.89920000000001</v>
      </c>
      <c r="G23" s="51">
        <v>302.89999999999998</v>
      </c>
      <c r="H23" s="63">
        <v>0.1141704896275509</v>
      </c>
      <c r="I23" s="2">
        <v>0.1142</v>
      </c>
    </row>
    <row r="24" spans="1:9" ht="12.95" customHeight="1">
      <c r="A24" s="27"/>
      <c r="B24" s="62" t="s">
        <v>19</v>
      </c>
      <c r="C24" s="9" t="s">
        <v>20</v>
      </c>
      <c r="D24" s="9" t="s">
        <v>18</v>
      </c>
      <c r="E24" s="49">
        <v>10000</v>
      </c>
      <c r="F24" s="50">
        <v>9.9295000000000009</v>
      </c>
      <c r="G24" s="51">
        <v>9.93</v>
      </c>
      <c r="H24" s="63">
        <v>3.7426836279421229E-3</v>
      </c>
      <c r="I24" s="2">
        <v>3.7000000000000002E-3</v>
      </c>
    </row>
    <row r="25" spans="1:9" ht="12.95" customHeight="1">
      <c r="A25" s="25"/>
      <c r="B25" s="60" t="s">
        <v>39</v>
      </c>
      <c r="C25" s="9" t="s">
        <v>1</v>
      </c>
      <c r="D25" s="9" t="s">
        <v>1</v>
      </c>
      <c r="E25" s="9" t="s">
        <v>1</v>
      </c>
      <c r="F25" s="10">
        <v>1956.1283000000001</v>
      </c>
      <c r="G25" s="52">
        <v>1956.13</v>
      </c>
      <c r="H25" s="64">
        <v>0.7373150070561717</v>
      </c>
      <c r="I25" s="37">
        <v>0.73729999999999996</v>
      </c>
    </row>
    <row r="26" spans="1:9" ht="12.95" customHeight="1">
      <c r="A26" s="25"/>
      <c r="B26" s="60" t="s">
        <v>40</v>
      </c>
      <c r="C26" s="9" t="s">
        <v>1</v>
      </c>
      <c r="D26" s="9" t="s">
        <v>1</v>
      </c>
      <c r="E26" s="9" t="s">
        <v>1</v>
      </c>
      <c r="F26" s="10">
        <v>1956.1283000000001</v>
      </c>
      <c r="G26" s="52">
        <v>1956.13</v>
      </c>
      <c r="H26" s="64">
        <v>0.7373150070561717</v>
      </c>
      <c r="I26" s="37">
        <v>0.73729999999999996</v>
      </c>
    </row>
    <row r="27" spans="1:9" ht="12.95" customHeight="1">
      <c r="A27" s="25"/>
      <c r="B27" s="60"/>
      <c r="C27" s="9"/>
      <c r="D27" s="9"/>
      <c r="E27" s="9"/>
      <c r="F27" s="10"/>
      <c r="G27" s="52"/>
      <c r="H27" s="64"/>
      <c r="I27" s="70"/>
    </row>
    <row r="28" spans="1:9" ht="12.95" customHeight="1">
      <c r="A28" s="25"/>
      <c r="B28" s="60" t="s">
        <v>41</v>
      </c>
      <c r="C28" s="9" t="s">
        <v>1</v>
      </c>
      <c r="D28" s="9" t="s">
        <v>1</v>
      </c>
      <c r="E28" s="9" t="s">
        <v>1</v>
      </c>
      <c r="F28" s="47" t="s">
        <v>1</v>
      </c>
      <c r="G28" s="48"/>
      <c r="H28" s="61" t="s">
        <v>1</v>
      </c>
      <c r="I28" s="36" t="s">
        <v>1</v>
      </c>
    </row>
    <row r="29" spans="1:9" ht="12.95" customHeight="1">
      <c r="A29" s="27"/>
      <c r="B29" s="62" t="s">
        <v>42</v>
      </c>
      <c r="C29" s="9" t="s">
        <v>1</v>
      </c>
      <c r="D29" s="9" t="s">
        <v>43</v>
      </c>
      <c r="E29" s="49"/>
      <c r="F29" s="50">
        <v>941.37137199999995</v>
      </c>
      <c r="G29" s="51">
        <v>941.37</v>
      </c>
      <c r="H29" s="63">
        <v>0.35482705290274574</v>
      </c>
      <c r="I29" s="2">
        <v>0.3548</v>
      </c>
    </row>
    <row r="30" spans="1:9" ht="12.95" customHeight="1">
      <c r="A30" s="25"/>
      <c r="B30" s="60" t="s">
        <v>39</v>
      </c>
      <c r="C30" s="9" t="s">
        <v>1</v>
      </c>
      <c r="D30" s="9" t="s">
        <v>1</v>
      </c>
      <c r="E30" s="9" t="s">
        <v>1</v>
      </c>
      <c r="F30" s="10">
        <v>941.37137199999995</v>
      </c>
      <c r="G30" s="52">
        <v>941.37</v>
      </c>
      <c r="H30" s="64">
        <v>0.35482705290274574</v>
      </c>
      <c r="I30" s="37">
        <v>0.3548</v>
      </c>
    </row>
    <row r="31" spans="1:9" ht="12.95" customHeight="1">
      <c r="A31" s="25"/>
      <c r="B31" s="60"/>
      <c r="C31" s="9"/>
      <c r="D31" s="9"/>
      <c r="E31" s="9"/>
      <c r="F31" s="10"/>
      <c r="G31" s="52"/>
      <c r="H31" s="64"/>
      <c r="I31" s="37"/>
    </row>
    <row r="32" spans="1:9" ht="12.95" customHeight="1">
      <c r="A32" s="25"/>
      <c r="B32" s="60" t="s">
        <v>44</v>
      </c>
      <c r="C32" s="9" t="s">
        <v>1</v>
      </c>
      <c r="D32" s="9" t="s">
        <v>1</v>
      </c>
      <c r="E32" s="9" t="s">
        <v>1</v>
      </c>
      <c r="F32" s="12">
        <v>-244.4568324</v>
      </c>
      <c r="G32" s="75">
        <v>-244.46</v>
      </c>
      <c r="H32" s="76">
        <v>-9.2142059958917485E-2</v>
      </c>
      <c r="I32" s="37">
        <v>-9.2100000000000001E-2</v>
      </c>
    </row>
    <row r="33" spans="1:9" ht="12.95" customHeight="1">
      <c r="A33" s="25"/>
      <c r="B33" s="60" t="s">
        <v>39</v>
      </c>
      <c r="C33" s="15"/>
      <c r="D33" s="15"/>
      <c r="E33" s="15"/>
      <c r="F33" s="10">
        <v>-244.4568324</v>
      </c>
      <c r="G33" s="52">
        <v>-244.46</v>
      </c>
      <c r="H33" s="64">
        <v>-9.2142059958917485E-2</v>
      </c>
      <c r="I33" s="74"/>
    </row>
    <row r="34" spans="1:9" ht="12.95" customHeight="1">
      <c r="A34" s="25"/>
      <c r="B34" s="60" t="s">
        <v>40</v>
      </c>
      <c r="C34" s="15"/>
      <c r="D34" s="15"/>
      <c r="E34" s="15"/>
      <c r="F34" s="16">
        <f>F30+F33</f>
        <v>696.9145395999999</v>
      </c>
      <c r="G34" s="16">
        <f t="shared" ref="G34:H34" si="0">G30+G33</f>
        <v>696.91</v>
      </c>
      <c r="H34" s="64">
        <f t="shared" si="0"/>
        <v>0.26268499294382824</v>
      </c>
      <c r="I34" s="74"/>
    </row>
    <row r="35" spans="1:9" ht="12.95" customHeight="1" thickBot="1">
      <c r="A35" s="25"/>
      <c r="B35" s="71"/>
      <c r="C35" s="15"/>
      <c r="D35" s="15"/>
      <c r="E35" s="15"/>
      <c r="F35" s="16"/>
      <c r="G35" s="72"/>
      <c r="H35" s="73"/>
      <c r="I35" s="74"/>
    </row>
    <row r="36" spans="1:9" ht="12.95" customHeight="1" thickBot="1">
      <c r="A36" s="25"/>
      <c r="B36" s="80" t="s">
        <v>45</v>
      </c>
      <c r="C36" s="81" t="s">
        <v>1</v>
      </c>
      <c r="D36" s="81" t="s">
        <v>1</v>
      </c>
      <c r="E36" s="81" t="s">
        <v>1</v>
      </c>
      <c r="F36" s="82">
        <v>2653.0428396000002</v>
      </c>
      <c r="G36" s="83">
        <v>2653.04</v>
      </c>
      <c r="H36" s="84">
        <v>1</v>
      </c>
      <c r="I36" s="38">
        <v>1</v>
      </c>
    </row>
    <row r="37" spans="1:9" s="28" customFormat="1" ht="12.95" customHeight="1">
      <c r="A37" s="25"/>
      <c r="B37" s="26" t="s">
        <v>1</v>
      </c>
      <c r="C37" s="25"/>
      <c r="D37" s="25"/>
      <c r="E37" s="25"/>
      <c r="F37" s="30"/>
      <c r="G37" s="25"/>
      <c r="H37" s="31"/>
      <c r="I37" s="25"/>
    </row>
    <row r="38" spans="1:9" s="28" customFormat="1" ht="12.95" customHeight="1">
      <c r="A38" s="25"/>
      <c r="B38" s="32" t="s">
        <v>43</v>
      </c>
      <c r="C38" s="25"/>
      <c r="D38" s="25"/>
      <c r="E38" s="25"/>
      <c r="F38" s="30"/>
      <c r="G38" s="25"/>
      <c r="H38" s="31"/>
      <c r="I38" s="25"/>
    </row>
    <row r="39" spans="1:9" s="28" customFormat="1" ht="12.95" customHeight="1">
      <c r="A39" s="25"/>
      <c r="B39" s="32" t="s">
        <v>46</v>
      </c>
      <c r="C39" s="25"/>
      <c r="D39" s="25"/>
      <c r="E39" s="25"/>
      <c r="F39" s="30"/>
      <c r="G39" s="25"/>
      <c r="H39" s="31"/>
      <c r="I39" s="25"/>
    </row>
    <row r="40" spans="1:9" s="28" customFormat="1" ht="12.95" customHeight="1">
      <c r="A40" s="25"/>
      <c r="B40" s="32" t="s">
        <v>47</v>
      </c>
      <c r="C40" s="25"/>
      <c r="D40" s="25"/>
      <c r="E40" s="25"/>
      <c r="F40" s="30"/>
      <c r="G40" s="25"/>
      <c r="H40" s="31"/>
      <c r="I40" s="25"/>
    </row>
    <row r="41" spans="1:9" s="28" customFormat="1" ht="12.95" customHeight="1" thickBot="1">
      <c r="A41" s="25"/>
      <c r="B41" s="32" t="s">
        <v>1</v>
      </c>
      <c r="C41" s="25"/>
      <c r="D41" s="25"/>
      <c r="E41" s="25"/>
      <c r="F41" s="30"/>
      <c r="G41" s="25"/>
      <c r="H41" s="31"/>
      <c r="I41" s="25"/>
    </row>
    <row r="42" spans="1:9" s="28" customFormat="1" ht="12.95" customHeight="1" thickBot="1">
      <c r="A42" s="25"/>
      <c r="B42" s="85" t="s">
        <v>366</v>
      </c>
      <c r="C42" s="86" t="s">
        <v>376</v>
      </c>
      <c r="D42" s="25"/>
      <c r="E42" s="25"/>
      <c r="F42" s="30"/>
      <c r="G42" s="25"/>
      <c r="H42" s="31"/>
      <c r="I42" s="25"/>
    </row>
    <row r="43" spans="1:9" s="28" customFormat="1">
      <c r="F43" s="33"/>
      <c r="H43" s="34"/>
    </row>
    <row r="44" spans="1:9" s="28" customFormat="1">
      <c r="C44" s="33"/>
      <c r="E44" s="34"/>
    </row>
    <row r="45" spans="1:9" s="28" customFormat="1">
      <c r="C45" s="33"/>
      <c r="E45" s="34"/>
    </row>
    <row r="46" spans="1:9" s="28" customFormat="1">
      <c r="C46" s="33"/>
      <c r="E46" s="34"/>
    </row>
    <row r="47" spans="1:9" s="28" customFormat="1">
      <c r="C47" s="33"/>
      <c r="E47" s="34"/>
    </row>
    <row r="48" spans="1:9" s="28" customFormat="1">
      <c r="C48" s="33"/>
      <c r="E48" s="34"/>
    </row>
    <row r="49" spans="3:5" s="28" customFormat="1">
      <c r="C49" s="33"/>
      <c r="E49" s="34"/>
    </row>
    <row r="50" spans="3:5" s="28" customFormat="1">
      <c r="C50" s="33"/>
      <c r="E50" s="34"/>
    </row>
    <row r="51" spans="3:5" s="28" customFormat="1">
      <c r="C51" s="33"/>
      <c r="E51" s="34"/>
    </row>
    <row r="52" spans="3:5" s="28" customFormat="1">
      <c r="C52" s="33"/>
      <c r="E52" s="34"/>
    </row>
    <row r="53" spans="3:5" s="28" customFormat="1">
      <c r="C53" s="33"/>
      <c r="E53" s="34"/>
    </row>
    <row r="54" spans="3:5" s="28" customFormat="1">
      <c r="C54" s="33"/>
      <c r="E54" s="34"/>
    </row>
    <row r="55" spans="3:5" s="28" customFormat="1">
      <c r="C55" s="33"/>
      <c r="E55" s="34"/>
    </row>
    <row r="56" spans="3:5" s="28" customFormat="1">
      <c r="C56" s="33"/>
      <c r="E56" s="34"/>
    </row>
    <row r="57" spans="3:5" s="28" customFormat="1">
      <c r="C57" s="33"/>
      <c r="E57" s="34"/>
    </row>
    <row r="58" spans="3:5" s="28" customFormat="1">
      <c r="C58" s="33"/>
      <c r="E58" s="34"/>
    </row>
    <row r="59" spans="3:5" s="28" customFormat="1">
      <c r="C59" s="33"/>
      <c r="E59" s="34"/>
    </row>
    <row r="60" spans="3:5" s="28" customFormat="1">
      <c r="C60" s="33"/>
      <c r="E60" s="34"/>
    </row>
    <row r="61" spans="3:5" s="28" customFormat="1">
      <c r="C61" s="33"/>
      <c r="E61" s="34"/>
    </row>
    <row r="62" spans="3:5" s="28" customFormat="1">
      <c r="C62" s="33"/>
      <c r="E62" s="34"/>
    </row>
    <row r="63" spans="3:5" s="28" customFormat="1">
      <c r="C63" s="33"/>
      <c r="E63" s="34"/>
    </row>
    <row r="64" spans="3:5" s="28" customFormat="1">
      <c r="C64" s="33"/>
      <c r="E64" s="34"/>
    </row>
    <row r="65" spans="3:8" s="28" customFormat="1">
      <c r="C65" s="33"/>
      <c r="E65" s="34"/>
    </row>
    <row r="66" spans="3:8" s="28" customFormat="1">
      <c r="C66" s="33"/>
      <c r="E66" s="34"/>
    </row>
    <row r="67" spans="3:8" s="28" customFormat="1">
      <c r="C67" s="33"/>
      <c r="E67" s="34"/>
    </row>
    <row r="68" spans="3:8" s="28" customFormat="1">
      <c r="C68" s="33"/>
      <c r="E68" s="34"/>
    </row>
    <row r="69" spans="3:8" s="28" customFormat="1">
      <c r="C69" s="33"/>
      <c r="E69" s="34"/>
    </row>
    <row r="70" spans="3:8" s="28" customFormat="1">
      <c r="C70" s="33"/>
      <c r="E70" s="34"/>
    </row>
    <row r="71" spans="3:8" s="28" customFormat="1">
      <c r="C71" s="33"/>
      <c r="E71" s="34"/>
    </row>
    <row r="72" spans="3:8" s="28" customFormat="1">
      <c r="C72" s="33"/>
      <c r="E72" s="34"/>
    </row>
    <row r="73" spans="3:8" s="28" customFormat="1">
      <c r="F73" s="33"/>
      <c r="H73" s="34"/>
    </row>
    <row r="74" spans="3:8" s="28" customFormat="1">
      <c r="F74" s="33"/>
      <c r="H74" s="34"/>
    </row>
    <row r="75" spans="3:8" s="28" customFormat="1">
      <c r="F75" s="33"/>
      <c r="H75" s="34"/>
    </row>
    <row r="76" spans="3:8" s="28" customFormat="1">
      <c r="F76" s="33"/>
      <c r="H76" s="34"/>
    </row>
    <row r="77" spans="3:8" s="28" customFormat="1">
      <c r="F77" s="33"/>
      <c r="H77" s="34"/>
    </row>
    <row r="78" spans="3:8" s="28" customFormat="1">
      <c r="F78" s="33"/>
      <c r="H78" s="34"/>
    </row>
    <row r="79" spans="3:8" s="28" customFormat="1">
      <c r="F79" s="33"/>
      <c r="H79" s="34"/>
    </row>
    <row r="80" spans="3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  <row r="530" spans="6:8" s="28" customFormat="1">
      <c r="F530" s="33"/>
      <c r="H530" s="34"/>
    </row>
    <row r="531" spans="6:8" s="28" customFormat="1">
      <c r="F531" s="33"/>
      <c r="H531" s="34"/>
    </row>
    <row r="532" spans="6:8" s="28" customFormat="1">
      <c r="F532" s="33"/>
      <c r="H532" s="34"/>
    </row>
    <row r="533" spans="6:8" s="28" customFormat="1">
      <c r="F533" s="33"/>
      <c r="H533" s="34"/>
    </row>
    <row r="534" spans="6:8" s="28" customFormat="1">
      <c r="F534" s="33"/>
      <c r="H534" s="34"/>
    </row>
    <row r="535" spans="6:8" s="28" customFormat="1">
      <c r="F535" s="33"/>
      <c r="H535" s="34"/>
    </row>
    <row r="536" spans="6:8" s="28" customFormat="1">
      <c r="F536" s="33"/>
      <c r="H536" s="34"/>
    </row>
    <row r="537" spans="6:8" s="28" customFormat="1">
      <c r="F537" s="33"/>
      <c r="H537" s="34"/>
    </row>
    <row r="538" spans="6:8" s="28" customFormat="1">
      <c r="F538" s="33"/>
      <c r="H538" s="34"/>
    </row>
    <row r="539" spans="6:8" s="28" customFormat="1">
      <c r="F539" s="33"/>
      <c r="H539" s="34"/>
    </row>
    <row r="540" spans="6:8" s="28" customFormat="1">
      <c r="F540" s="33"/>
      <c r="H540" s="34"/>
    </row>
    <row r="541" spans="6:8" s="28" customFormat="1">
      <c r="F541" s="33"/>
      <c r="H541" s="34"/>
    </row>
    <row r="542" spans="6:8" s="28" customFormat="1">
      <c r="F542" s="33"/>
      <c r="H542" s="34"/>
    </row>
    <row r="543" spans="6:8" s="28" customFormat="1">
      <c r="F543" s="33"/>
      <c r="H543" s="34"/>
    </row>
    <row r="544" spans="6:8" s="28" customFormat="1">
      <c r="F544" s="33"/>
      <c r="H544" s="34"/>
    </row>
    <row r="545" spans="6:8" s="28" customFormat="1">
      <c r="F545" s="33"/>
      <c r="H545" s="34"/>
    </row>
    <row r="546" spans="6:8" s="28" customFormat="1">
      <c r="F546" s="33"/>
      <c r="H546" s="34"/>
    </row>
    <row r="547" spans="6:8" s="28" customFormat="1">
      <c r="F547" s="33"/>
      <c r="H547" s="34"/>
    </row>
    <row r="548" spans="6:8" s="28" customFormat="1">
      <c r="F548" s="33"/>
      <c r="H548" s="34"/>
    </row>
    <row r="549" spans="6:8" s="28" customFormat="1">
      <c r="F549" s="33"/>
      <c r="H549" s="34"/>
    </row>
    <row r="550" spans="6:8" s="28" customFormat="1">
      <c r="F550" s="33"/>
      <c r="H550" s="34"/>
    </row>
    <row r="551" spans="6:8" s="28" customFormat="1">
      <c r="F551" s="33"/>
      <c r="H551" s="34"/>
    </row>
    <row r="552" spans="6:8" s="28" customFormat="1">
      <c r="F552" s="33"/>
      <c r="H552" s="34"/>
    </row>
    <row r="553" spans="6:8" s="28" customFormat="1">
      <c r="F553" s="33"/>
      <c r="H553" s="34"/>
    </row>
    <row r="554" spans="6:8" s="28" customFormat="1">
      <c r="F554" s="33"/>
      <c r="H554" s="34"/>
    </row>
    <row r="555" spans="6:8" s="28" customFormat="1">
      <c r="F555" s="33"/>
      <c r="H555" s="34"/>
    </row>
    <row r="556" spans="6:8" s="28" customFormat="1">
      <c r="F556" s="33"/>
      <c r="H556" s="34"/>
    </row>
    <row r="557" spans="6:8" s="28" customFormat="1">
      <c r="F557" s="33"/>
      <c r="H557" s="34"/>
    </row>
    <row r="558" spans="6:8" s="28" customFormat="1">
      <c r="F558" s="33"/>
      <c r="H558" s="34"/>
    </row>
    <row r="559" spans="6:8" s="28" customFormat="1">
      <c r="F559" s="33"/>
      <c r="H559" s="34"/>
    </row>
    <row r="560" spans="6:8" s="28" customFormat="1">
      <c r="F560" s="33"/>
      <c r="H560" s="34"/>
    </row>
    <row r="561" spans="6:8" s="28" customFormat="1">
      <c r="F561" s="33"/>
      <c r="H561" s="34"/>
    </row>
    <row r="562" spans="6:8" s="28" customFormat="1">
      <c r="F562" s="33"/>
      <c r="H562" s="34"/>
    </row>
    <row r="563" spans="6:8" s="28" customFormat="1">
      <c r="F563" s="33"/>
      <c r="H563" s="34"/>
    </row>
    <row r="564" spans="6:8" s="28" customFormat="1">
      <c r="F564" s="33"/>
      <c r="H564" s="34"/>
    </row>
    <row r="565" spans="6:8" s="28" customFormat="1">
      <c r="F565" s="33"/>
      <c r="H565" s="34"/>
    </row>
    <row r="566" spans="6:8" s="28" customFormat="1">
      <c r="F566" s="33"/>
      <c r="H566" s="34"/>
    </row>
    <row r="567" spans="6:8" s="28" customFormat="1">
      <c r="F567" s="33"/>
      <c r="H567" s="34"/>
    </row>
    <row r="568" spans="6:8" s="28" customFormat="1">
      <c r="F568" s="33"/>
      <c r="H568" s="34"/>
    </row>
    <row r="569" spans="6:8" s="28" customFormat="1">
      <c r="F569" s="33"/>
      <c r="H569" s="34"/>
    </row>
    <row r="570" spans="6:8" s="28" customFormat="1">
      <c r="F570" s="33"/>
      <c r="H570" s="34"/>
    </row>
    <row r="571" spans="6:8" s="28" customFormat="1">
      <c r="F571" s="33"/>
      <c r="H571" s="34"/>
    </row>
    <row r="572" spans="6:8" s="28" customFormat="1">
      <c r="F572" s="33"/>
      <c r="H572" s="34"/>
    </row>
    <row r="573" spans="6:8" s="28" customFormat="1">
      <c r="F573" s="33"/>
      <c r="H573" s="34"/>
    </row>
    <row r="574" spans="6:8" s="28" customFormat="1">
      <c r="F574" s="33"/>
      <c r="H574" s="34"/>
    </row>
    <row r="575" spans="6:8" s="28" customFormat="1">
      <c r="F575" s="33"/>
      <c r="H575" s="34"/>
    </row>
    <row r="576" spans="6:8" s="28" customFormat="1">
      <c r="F576" s="33"/>
      <c r="H576" s="34"/>
    </row>
    <row r="577" spans="6:8" s="28" customFormat="1">
      <c r="F577" s="33"/>
      <c r="H577" s="34"/>
    </row>
    <row r="578" spans="6:8" s="28" customFormat="1">
      <c r="F578" s="33"/>
      <c r="H578" s="34"/>
    </row>
    <row r="579" spans="6:8" s="28" customFormat="1">
      <c r="F579" s="33"/>
      <c r="H579" s="34"/>
    </row>
    <row r="580" spans="6:8" s="28" customFormat="1">
      <c r="F580" s="33"/>
      <c r="H580" s="34"/>
    </row>
    <row r="581" spans="6:8" s="28" customFormat="1">
      <c r="F581" s="33"/>
      <c r="H581" s="34"/>
    </row>
    <row r="582" spans="6:8" s="28" customFormat="1">
      <c r="F582" s="33"/>
      <c r="H582" s="34"/>
    </row>
    <row r="583" spans="6:8" s="28" customFormat="1">
      <c r="F583" s="33"/>
      <c r="H583" s="34"/>
    </row>
    <row r="584" spans="6:8" s="28" customFormat="1">
      <c r="F584" s="33"/>
      <c r="H584" s="34"/>
    </row>
    <row r="585" spans="6:8" s="28" customFormat="1">
      <c r="F585" s="33"/>
      <c r="H585" s="34"/>
    </row>
    <row r="586" spans="6:8" s="28" customFormat="1">
      <c r="F586" s="33"/>
      <c r="H586" s="34"/>
    </row>
    <row r="587" spans="6:8" s="28" customFormat="1">
      <c r="F587" s="33"/>
      <c r="H587" s="34"/>
    </row>
    <row r="588" spans="6:8" s="28" customFormat="1">
      <c r="F588" s="33"/>
      <c r="H588" s="34"/>
    </row>
    <row r="589" spans="6:8" s="28" customFormat="1">
      <c r="F589" s="33"/>
      <c r="H589" s="34"/>
    </row>
    <row r="590" spans="6:8" s="28" customFormat="1">
      <c r="F590" s="33"/>
      <c r="H590" s="34"/>
    </row>
    <row r="591" spans="6:8" s="28" customFormat="1">
      <c r="F591" s="33"/>
      <c r="H591" s="34"/>
    </row>
    <row r="592" spans="6:8" s="28" customFormat="1">
      <c r="F592" s="33"/>
      <c r="H592" s="34"/>
    </row>
    <row r="593" spans="6:8" s="28" customFormat="1">
      <c r="F593" s="33"/>
      <c r="H593" s="34"/>
    </row>
    <row r="594" spans="6:8" s="28" customFormat="1">
      <c r="F594" s="33"/>
      <c r="H594" s="34"/>
    </row>
    <row r="595" spans="6:8" s="28" customFormat="1">
      <c r="F595" s="33"/>
      <c r="H595" s="34"/>
    </row>
    <row r="596" spans="6:8" s="28" customFormat="1">
      <c r="F596" s="33"/>
      <c r="H596" s="34"/>
    </row>
    <row r="597" spans="6:8" s="28" customFormat="1">
      <c r="F597" s="33"/>
      <c r="H597" s="34"/>
    </row>
    <row r="598" spans="6:8" s="28" customFormat="1">
      <c r="F598" s="33"/>
      <c r="H598" s="34"/>
    </row>
    <row r="599" spans="6:8" s="28" customFormat="1">
      <c r="F599" s="33"/>
      <c r="H599" s="34"/>
    </row>
    <row r="600" spans="6:8" s="28" customFormat="1">
      <c r="F600" s="33"/>
      <c r="H600" s="34"/>
    </row>
    <row r="601" spans="6:8" s="28" customFormat="1">
      <c r="F601" s="33"/>
      <c r="H601" s="34"/>
    </row>
    <row r="602" spans="6:8" s="28" customFormat="1">
      <c r="F602" s="33"/>
      <c r="H602" s="34"/>
    </row>
    <row r="603" spans="6:8" s="28" customFormat="1">
      <c r="F603" s="33"/>
      <c r="H603" s="34"/>
    </row>
    <row r="604" spans="6:8" s="28" customFormat="1">
      <c r="F604" s="33"/>
      <c r="H604" s="34"/>
    </row>
    <row r="605" spans="6:8" s="28" customFormat="1">
      <c r="F605" s="33"/>
      <c r="H605" s="34"/>
    </row>
    <row r="606" spans="6:8" s="28" customFormat="1">
      <c r="F606" s="33"/>
      <c r="H606" s="34"/>
    </row>
    <row r="607" spans="6:8" s="28" customFormat="1">
      <c r="F607" s="33"/>
      <c r="H607" s="34"/>
    </row>
    <row r="608" spans="6:8" s="28" customFormat="1">
      <c r="F608" s="33"/>
      <c r="H608" s="34"/>
    </row>
    <row r="609" spans="6:8" s="28" customFormat="1">
      <c r="F609" s="33"/>
      <c r="H609" s="34"/>
    </row>
    <row r="610" spans="6:8" s="28" customFormat="1">
      <c r="F610" s="33"/>
      <c r="H610" s="34"/>
    </row>
    <row r="611" spans="6:8" s="28" customFormat="1">
      <c r="F611" s="33"/>
      <c r="H611" s="34"/>
    </row>
    <row r="612" spans="6:8" s="28" customFormat="1">
      <c r="F612" s="33"/>
      <c r="H612" s="34"/>
    </row>
    <row r="613" spans="6:8" s="28" customFormat="1">
      <c r="F613" s="33"/>
      <c r="H613" s="34"/>
    </row>
    <row r="614" spans="6:8" s="28" customFormat="1">
      <c r="F614" s="33"/>
      <c r="H614" s="34"/>
    </row>
    <row r="615" spans="6:8" s="28" customFormat="1">
      <c r="F615" s="33"/>
      <c r="H615" s="34"/>
    </row>
    <row r="616" spans="6:8" s="28" customFormat="1">
      <c r="F616" s="33"/>
      <c r="H616" s="34"/>
    </row>
    <row r="617" spans="6:8" s="28" customFormat="1">
      <c r="F617" s="33"/>
      <c r="H617" s="34"/>
    </row>
    <row r="618" spans="6:8" s="28" customFormat="1">
      <c r="F618" s="33"/>
      <c r="H618" s="34"/>
    </row>
    <row r="619" spans="6:8" s="28" customFormat="1">
      <c r="F619" s="33"/>
      <c r="H619" s="34"/>
    </row>
    <row r="620" spans="6:8" s="28" customFormat="1">
      <c r="F620" s="33"/>
      <c r="H620" s="34"/>
    </row>
    <row r="621" spans="6:8" s="28" customFormat="1">
      <c r="F621" s="33"/>
      <c r="H621" s="34"/>
    </row>
    <row r="622" spans="6:8" s="28" customFormat="1">
      <c r="F622" s="33"/>
      <c r="H622" s="34"/>
    </row>
    <row r="623" spans="6:8" s="28" customFormat="1">
      <c r="F623" s="33"/>
      <c r="H623" s="34"/>
    </row>
    <row r="624" spans="6:8" s="28" customFormat="1">
      <c r="F624" s="33"/>
      <c r="H624" s="34"/>
    </row>
    <row r="625" spans="6:8" s="28" customFormat="1">
      <c r="F625" s="33"/>
      <c r="H625" s="34"/>
    </row>
    <row r="626" spans="6:8" s="28" customFormat="1">
      <c r="F626" s="33"/>
      <c r="H626" s="34"/>
    </row>
    <row r="627" spans="6:8" s="28" customFormat="1">
      <c r="F627" s="33"/>
      <c r="H627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29"/>
  <sheetViews>
    <sheetView tabSelected="1" zoomScaleNormal="100" workbookViewId="0">
      <selection activeCell="B57" sqref="B57"/>
    </sheetView>
  </sheetViews>
  <sheetFormatPr defaultRowHeight="12.75"/>
  <cols>
    <col min="1" max="1" width="3.42578125" style="28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6" width="16.85546875" style="17" bestFit="1" customWidth="1"/>
    <col min="7" max="7" width="25.140625" hidden="1" customWidth="1"/>
    <col min="8" max="8" width="16.85546875" style="18" bestFit="1" customWidth="1"/>
    <col min="9" max="9" width="25.140625" hidden="1" customWidth="1"/>
    <col min="10" max="87" width="9.140625" style="28"/>
  </cols>
  <sheetData>
    <row r="1" spans="1:9" ht="15.95" customHeight="1">
      <c r="A1" s="25"/>
      <c r="B1" s="158" t="s">
        <v>349</v>
      </c>
      <c r="C1" s="159"/>
      <c r="D1" s="159"/>
      <c r="E1" s="159"/>
      <c r="F1" s="159"/>
      <c r="G1" s="159"/>
      <c r="H1" s="160"/>
      <c r="I1" s="1"/>
    </row>
    <row r="2" spans="1:9" ht="12.95" customHeight="1" thickBot="1">
      <c r="A2" s="25"/>
      <c r="B2" s="161" t="s">
        <v>372</v>
      </c>
      <c r="C2" s="162"/>
      <c r="D2" s="162"/>
      <c r="E2" s="162"/>
      <c r="F2" s="162"/>
      <c r="G2" s="162"/>
      <c r="H2" s="163"/>
      <c r="I2" s="1"/>
    </row>
    <row r="3" spans="1:9" s="28" customFormat="1" ht="12.95" customHeight="1">
      <c r="A3" s="25"/>
      <c r="B3" s="87"/>
      <c r="C3" s="87"/>
      <c r="D3" s="87"/>
      <c r="E3" s="87"/>
      <c r="F3" s="87"/>
      <c r="G3" s="87"/>
      <c r="H3" s="87"/>
      <c r="I3" s="25"/>
    </row>
    <row r="4" spans="1:9" s="28" customFormat="1" ht="12.95" customHeight="1">
      <c r="A4" s="26"/>
      <c r="B4" s="29" t="s">
        <v>2</v>
      </c>
      <c r="C4" s="25"/>
      <c r="D4" s="25"/>
      <c r="E4" s="25"/>
      <c r="F4" s="30"/>
      <c r="G4" s="25"/>
      <c r="H4" s="31"/>
      <c r="I4" s="25"/>
    </row>
    <row r="5" spans="1:9" s="28" customFormat="1" ht="12.95" customHeight="1" thickBot="1">
      <c r="A5" s="26"/>
      <c r="B5" s="29"/>
      <c r="C5" s="25"/>
      <c r="D5" s="25"/>
      <c r="E5" s="25"/>
      <c r="F5" s="30"/>
      <c r="G5" s="25"/>
      <c r="H5" s="31"/>
      <c r="I5" s="25"/>
    </row>
    <row r="6" spans="1:9" ht="27.95" customHeight="1">
      <c r="A6" s="25"/>
      <c r="B6" s="53" t="s">
        <v>3</v>
      </c>
      <c r="C6" s="54" t="s">
        <v>4</v>
      </c>
      <c r="D6" s="55" t="s">
        <v>5</v>
      </c>
      <c r="E6" s="55" t="s">
        <v>6</v>
      </c>
      <c r="F6" s="56" t="s">
        <v>7</v>
      </c>
      <c r="G6" s="55" t="s">
        <v>8</v>
      </c>
      <c r="H6" s="57" t="s">
        <v>9</v>
      </c>
      <c r="I6" s="35" t="s">
        <v>10</v>
      </c>
    </row>
    <row r="7" spans="1:9" ht="12.95" customHeight="1">
      <c r="A7" s="25"/>
      <c r="B7" s="7" t="s">
        <v>350</v>
      </c>
      <c r="C7" s="42"/>
      <c r="D7" s="40"/>
      <c r="E7" s="40"/>
      <c r="F7" s="41"/>
      <c r="G7" s="40"/>
      <c r="H7" s="148"/>
      <c r="I7" s="23"/>
    </row>
    <row r="8" spans="1:9" ht="12.95" customHeight="1">
      <c r="A8" s="25"/>
      <c r="B8" s="11" t="s">
        <v>351</v>
      </c>
      <c r="C8" s="43"/>
      <c r="D8" s="40"/>
      <c r="E8" s="77" t="s">
        <v>195</v>
      </c>
      <c r="F8" s="77" t="s">
        <v>195</v>
      </c>
      <c r="G8" s="77" t="s">
        <v>195</v>
      </c>
      <c r="H8" s="78" t="s">
        <v>195</v>
      </c>
      <c r="I8" s="5" t="s">
        <v>195</v>
      </c>
    </row>
    <row r="9" spans="1:9" ht="12.95" customHeight="1">
      <c r="A9" s="27"/>
      <c r="B9" s="14" t="s">
        <v>194</v>
      </c>
      <c r="C9" s="46"/>
      <c r="D9" s="40"/>
      <c r="E9" s="77" t="s">
        <v>195</v>
      </c>
      <c r="F9" s="77" t="s">
        <v>195</v>
      </c>
      <c r="G9" s="77" t="s">
        <v>195</v>
      </c>
      <c r="H9" s="78" t="s">
        <v>195</v>
      </c>
      <c r="I9" s="5" t="s">
        <v>195</v>
      </c>
    </row>
    <row r="10" spans="1:9" ht="12.95" customHeight="1">
      <c r="A10" s="27"/>
      <c r="B10" s="141"/>
      <c r="C10" s="39"/>
      <c r="D10" s="40"/>
      <c r="E10" s="79"/>
      <c r="F10" s="79"/>
      <c r="G10" s="79"/>
      <c r="H10" s="149"/>
      <c r="I10" s="6"/>
    </row>
    <row r="11" spans="1:9" ht="12.95" customHeight="1">
      <c r="A11" s="27"/>
      <c r="B11" s="7" t="s">
        <v>352</v>
      </c>
      <c r="C11" s="42"/>
      <c r="D11" s="40"/>
      <c r="E11" s="79"/>
      <c r="F11" s="79"/>
      <c r="G11" s="79"/>
      <c r="H11" s="149"/>
      <c r="I11" s="6"/>
    </row>
    <row r="12" spans="1:9" ht="12.95" customHeight="1">
      <c r="A12" s="27"/>
      <c r="B12" s="11" t="s">
        <v>356</v>
      </c>
      <c r="C12" s="43"/>
      <c r="D12" s="40"/>
      <c r="E12" s="77" t="s">
        <v>195</v>
      </c>
      <c r="F12" s="77" t="s">
        <v>195</v>
      </c>
      <c r="G12" s="77" t="s">
        <v>195</v>
      </c>
      <c r="H12" s="78" t="s">
        <v>195</v>
      </c>
      <c r="I12" s="5" t="s">
        <v>195</v>
      </c>
    </row>
    <row r="13" spans="1:9" ht="12.95" customHeight="1">
      <c r="A13" s="27"/>
      <c r="B13" s="14" t="s">
        <v>354</v>
      </c>
      <c r="C13" s="46"/>
      <c r="D13" s="40"/>
      <c r="E13" s="77" t="s">
        <v>195</v>
      </c>
      <c r="F13" s="77" t="s">
        <v>195</v>
      </c>
      <c r="G13" s="77" t="s">
        <v>195</v>
      </c>
      <c r="H13" s="78" t="s">
        <v>195</v>
      </c>
      <c r="I13" s="5" t="s">
        <v>195</v>
      </c>
    </row>
    <row r="14" spans="1:9" ht="12.95" customHeight="1">
      <c r="A14" s="25"/>
      <c r="B14" s="14" t="s">
        <v>355</v>
      </c>
      <c r="C14" s="46"/>
      <c r="D14" s="40"/>
      <c r="E14" s="77" t="s">
        <v>195</v>
      </c>
      <c r="F14" s="77" t="s">
        <v>195</v>
      </c>
      <c r="G14" s="77" t="s">
        <v>195</v>
      </c>
      <c r="H14" s="78" t="s">
        <v>195</v>
      </c>
      <c r="I14" s="5" t="s">
        <v>195</v>
      </c>
    </row>
    <row r="15" spans="1:9" ht="12.95" customHeight="1">
      <c r="A15" s="25"/>
      <c r="B15" s="14"/>
      <c r="C15" s="46"/>
      <c r="D15" s="40"/>
      <c r="E15" s="77"/>
      <c r="F15" s="77"/>
      <c r="G15" s="77"/>
      <c r="H15" s="78"/>
      <c r="I15" s="150"/>
    </row>
    <row r="16" spans="1:9" ht="12.95" customHeight="1">
      <c r="A16" s="25"/>
      <c r="B16" s="60" t="s">
        <v>11</v>
      </c>
      <c r="C16" s="9" t="s">
        <v>1</v>
      </c>
      <c r="D16" s="9" t="s">
        <v>1</v>
      </c>
      <c r="E16" s="9" t="s">
        <v>1</v>
      </c>
      <c r="F16" s="47" t="s">
        <v>1</v>
      </c>
      <c r="G16" s="48"/>
      <c r="H16" s="61" t="s">
        <v>1</v>
      </c>
      <c r="I16" s="36" t="s">
        <v>1</v>
      </c>
    </row>
    <row r="17" spans="1:9" ht="12.95" customHeight="1">
      <c r="A17" s="25"/>
      <c r="B17" s="60"/>
      <c r="C17" s="9"/>
      <c r="D17" s="9"/>
      <c r="E17" s="9"/>
      <c r="F17" s="47"/>
      <c r="G17" s="48"/>
      <c r="H17" s="61"/>
      <c r="I17" s="36"/>
    </row>
    <row r="18" spans="1:9" ht="12.95" customHeight="1">
      <c r="A18" s="25"/>
      <c r="B18" s="60" t="s">
        <v>12</v>
      </c>
      <c r="C18" s="9" t="s">
        <v>1</v>
      </c>
      <c r="D18" s="9" t="s">
        <v>1</v>
      </c>
      <c r="E18" s="9" t="s">
        <v>1</v>
      </c>
      <c r="F18" s="47" t="s">
        <v>1</v>
      </c>
      <c r="G18" s="48"/>
      <c r="H18" s="61" t="s">
        <v>1</v>
      </c>
      <c r="I18" s="36" t="s">
        <v>1</v>
      </c>
    </row>
    <row r="19" spans="1:9" ht="12.95" customHeight="1">
      <c r="A19" s="27"/>
      <c r="B19" s="62" t="s">
        <v>347</v>
      </c>
      <c r="C19" s="9" t="s">
        <v>348</v>
      </c>
      <c r="D19" s="9" t="s">
        <v>18</v>
      </c>
      <c r="E19" s="49">
        <v>180000</v>
      </c>
      <c r="F19" s="50">
        <v>170.38079999999999</v>
      </c>
      <c r="G19" s="51">
        <v>170.38</v>
      </c>
      <c r="H19" s="63">
        <v>0.34386000178118969</v>
      </c>
      <c r="I19" s="2">
        <v>0.34389999999999998</v>
      </c>
    </row>
    <row r="20" spans="1:9" ht="12.95" customHeight="1">
      <c r="A20" s="27"/>
      <c r="B20" s="62" t="s">
        <v>345</v>
      </c>
      <c r="C20" s="9" t="s">
        <v>346</v>
      </c>
      <c r="D20" s="9" t="s">
        <v>18</v>
      </c>
      <c r="E20" s="49">
        <v>150000</v>
      </c>
      <c r="F20" s="50">
        <v>141.76320000000001</v>
      </c>
      <c r="G20" s="51">
        <v>141.76</v>
      </c>
      <c r="H20" s="63">
        <v>0.28610438620142148</v>
      </c>
      <c r="I20" s="2">
        <v>0.28610000000000002</v>
      </c>
    </row>
    <row r="21" spans="1:9" ht="12.95" customHeight="1">
      <c r="A21" s="27"/>
      <c r="B21" s="62" t="s">
        <v>35</v>
      </c>
      <c r="C21" s="9" t="s">
        <v>36</v>
      </c>
      <c r="D21" s="9" t="s">
        <v>18</v>
      </c>
      <c r="E21" s="49">
        <v>100000</v>
      </c>
      <c r="F21" s="50">
        <v>98.625200000000007</v>
      </c>
      <c r="G21" s="51">
        <v>98.63</v>
      </c>
      <c r="H21" s="63">
        <v>0.19904391485232015</v>
      </c>
      <c r="I21" s="2">
        <v>0.19900000000000001</v>
      </c>
    </row>
    <row r="22" spans="1:9" ht="12.95" customHeight="1">
      <c r="A22" s="27"/>
      <c r="B22" s="62" t="s">
        <v>37</v>
      </c>
      <c r="C22" s="9" t="s">
        <v>38</v>
      </c>
      <c r="D22" s="9" t="s">
        <v>18</v>
      </c>
      <c r="E22" s="49">
        <v>90000</v>
      </c>
      <c r="F22" s="50">
        <v>89.398098000000005</v>
      </c>
      <c r="G22" s="51">
        <v>89.4</v>
      </c>
      <c r="H22" s="63">
        <v>0.18042191454386275</v>
      </c>
      <c r="I22" s="2">
        <v>0.1804</v>
      </c>
    </row>
    <row r="23" spans="1:9" ht="12.95" customHeight="1">
      <c r="A23" s="25"/>
      <c r="B23" s="60" t="s">
        <v>39</v>
      </c>
      <c r="C23" s="9" t="s">
        <v>1</v>
      </c>
      <c r="D23" s="9" t="s">
        <v>1</v>
      </c>
      <c r="E23" s="9" t="s">
        <v>1</v>
      </c>
      <c r="F23" s="10">
        <v>500.16729800000002</v>
      </c>
      <c r="G23" s="52">
        <v>500.17</v>
      </c>
      <c r="H23" s="64">
        <v>1.0094302173787941</v>
      </c>
      <c r="I23" s="37">
        <v>1.0094000000000001</v>
      </c>
    </row>
    <row r="24" spans="1:9" ht="12.95" customHeight="1">
      <c r="A24" s="25"/>
      <c r="B24" s="60" t="s">
        <v>40</v>
      </c>
      <c r="C24" s="9" t="s">
        <v>1</v>
      </c>
      <c r="D24" s="9" t="s">
        <v>1</v>
      </c>
      <c r="E24" s="9" t="s">
        <v>1</v>
      </c>
      <c r="F24" s="10">
        <v>500.16729800000002</v>
      </c>
      <c r="G24" s="52">
        <v>500.17</v>
      </c>
      <c r="H24" s="64">
        <v>1.0094302173787941</v>
      </c>
      <c r="I24" s="37">
        <v>1.0094000000000001</v>
      </c>
    </row>
    <row r="25" spans="1:9" ht="12.95" customHeight="1">
      <c r="A25" s="25"/>
      <c r="B25" s="60"/>
      <c r="C25" s="9"/>
      <c r="D25" s="9"/>
      <c r="E25" s="9"/>
      <c r="F25" s="10"/>
      <c r="G25" s="52"/>
      <c r="H25" s="64"/>
      <c r="I25" s="70"/>
    </row>
    <row r="26" spans="1:9" ht="12.95" customHeight="1">
      <c r="A26" s="25"/>
      <c r="B26" s="60" t="s">
        <v>41</v>
      </c>
      <c r="C26" s="9" t="s">
        <v>1</v>
      </c>
      <c r="D26" s="9" t="s">
        <v>1</v>
      </c>
      <c r="E26" s="9" t="s">
        <v>1</v>
      </c>
      <c r="F26" s="47" t="s">
        <v>1</v>
      </c>
      <c r="G26" s="48"/>
      <c r="H26" s="61" t="s">
        <v>1</v>
      </c>
      <c r="I26" s="36" t="s">
        <v>1</v>
      </c>
    </row>
    <row r="27" spans="1:9" ht="12.95" customHeight="1">
      <c r="A27" s="27"/>
      <c r="B27" s="62" t="s">
        <v>42</v>
      </c>
      <c r="C27" s="9" t="s">
        <v>1</v>
      </c>
      <c r="D27" s="9" t="s">
        <v>43</v>
      </c>
      <c r="E27" s="49"/>
      <c r="F27" s="50">
        <v>4.1716927999999998</v>
      </c>
      <c r="G27" s="51">
        <v>4.17</v>
      </c>
      <c r="H27" s="63">
        <v>8.4192484930143315E-3</v>
      </c>
      <c r="I27" s="2">
        <v>8.3999999999999995E-3</v>
      </c>
    </row>
    <row r="28" spans="1:9" ht="12.95" customHeight="1">
      <c r="A28" s="25"/>
      <c r="B28" s="60" t="s">
        <v>39</v>
      </c>
      <c r="C28" s="9" t="s">
        <v>1</v>
      </c>
      <c r="D28" s="9" t="s">
        <v>1</v>
      </c>
      <c r="E28" s="9" t="s">
        <v>1</v>
      </c>
      <c r="F28" s="10">
        <v>4.1716927999999998</v>
      </c>
      <c r="G28" s="52">
        <v>4.17</v>
      </c>
      <c r="H28" s="64">
        <v>8.4192484930143315E-3</v>
      </c>
      <c r="I28" s="37">
        <v>8.3999999999999995E-3</v>
      </c>
    </row>
    <row r="29" spans="1:9" ht="12.95" customHeight="1">
      <c r="A29" s="25"/>
      <c r="B29" s="60"/>
      <c r="C29" s="9"/>
      <c r="D29" s="9"/>
      <c r="E29" s="9"/>
      <c r="F29" s="10"/>
      <c r="G29" s="52"/>
      <c r="H29" s="64"/>
      <c r="I29" s="37"/>
    </row>
    <row r="30" spans="1:9" ht="12.95" customHeight="1">
      <c r="A30" s="25"/>
      <c r="B30" s="60" t="s">
        <v>44</v>
      </c>
      <c r="C30" s="9" t="s">
        <v>1</v>
      </c>
      <c r="D30" s="9" t="s">
        <v>1</v>
      </c>
      <c r="E30" s="9" t="s">
        <v>1</v>
      </c>
      <c r="F30" s="12">
        <v>-8.8443152999999999</v>
      </c>
      <c r="G30" s="75">
        <v>-8.85</v>
      </c>
      <c r="H30" s="76">
        <v>-1.7849465871808405E-2</v>
      </c>
      <c r="I30" s="37">
        <v>-1.78E-2</v>
      </c>
    </row>
    <row r="31" spans="1:9" ht="12.95" customHeight="1">
      <c r="A31" s="25"/>
      <c r="B31" s="60" t="s">
        <v>39</v>
      </c>
      <c r="C31" s="15"/>
      <c r="D31" s="15"/>
      <c r="E31" s="15"/>
      <c r="F31" s="10">
        <v>-8.8443152999999999</v>
      </c>
      <c r="G31" s="52">
        <v>-8.85</v>
      </c>
      <c r="H31" s="64">
        <v>-1.7849465871808405E-2</v>
      </c>
      <c r="I31" s="74"/>
    </row>
    <row r="32" spans="1:9" ht="12.95" customHeight="1">
      <c r="A32" s="25"/>
      <c r="B32" s="60" t="s">
        <v>40</v>
      </c>
      <c r="C32" s="15"/>
      <c r="D32" s="15"/>
      <c r="E32" s="15"/>
      <c r="F32" s="16">
        <f>F28+F31</f>
        <v>-4.6726225000000001</v>
      </c>
      <c r="G32" s="16">
        <f t="shared" ref="G32:H32" si="0">G28+G31</f>
        <v>-4.68</v>
      </c>
      <c r="H32" s="64">
        <f t="shared" si="0"/>
        <v>-9.4302173787940737E-3</v>
      </c>
      <c r="I32" s="74"/>
    </row>
    <row r="33" spans="1:9" ht="12.95" customHeight="1">
      <c r="A33" s="25"/>
      <c r="B33" s="71"/>
      <c r="C33" s="15"/>
      <c r="D33" s="15"/>
      <c r="E33" s="15"/>
      <c r="F33" s="16"/>
      <c r="G33" s="72"/>
      <c r="H33" s="73"/>
      <c r="I33" s="74"/>
    </row>
    <row r="34" spans="1:9" ht="12.95" customHeight="1" thickBot="1">
      <c r="A34" s="25"/>
      <c r="B34" s="65" t="s">
        <v>45</v>
      </c>
      <c r="C34" s="66" t="s">
        <v>1</v>
      </c>
      <c r="D34" s="66" t="s">
        <v>1</v>
      </c>
      <c r="E34" s="66" t="s">
        <v>1</v>
      </c>
      <c r="F34" s="67">
        <v>495.49467550000003</v>
      </c>
      <c r="G34" s="68">
        <v>495.49</v>
      </c>
      <c r="H34" s="69">
        <v>1</v>
      </c>
      <c r="I34" s="38">
        <v>1</v>
      </c>
    </row>
    <row r="35" spans="1:9" s="28" customFormat="1" ht="12.95" customHeight="1">
      <c r="A35" s="25"/>
      <c r="B35" s="26" t="s">
        <v>1</v>
      </c>
      <c r="C35" s="25"/>
      <c r="D35" s="25"/>
      <c r="E35" s="25"/>
      <c r="F35" s="30"/>
      <c r="G35" s="25"/>
      <c r="H35" s="31"/>
      <c r="I35" s="25"/>
    </row>
    <row r="36" spans="1:9" s="28" customFormat="1" ht="12.95" customHeight="1">
      <c r="A36" s="25"/>
      <c r="B36" s="32" t="s">
        <v>43</v>
      </c>
      <c r="C36" s="25"/>
      <c r="D36" s="25"/>
      <c r="E36" s="25"/>
      <c r="F36" s="30"/>
      <c r="G36" s="25"/>
      <c r="H36" s="31"/>
      <c r="I36" s="25"/>
    </row>
    <row r="37" spans="1:9" s="28" customFormat="1" ht="12.95" customHeight="1">
      <c r="A37" s="25"/>
      <c r="B37" s="32" t="s">
        <v>46</v>
      </c>
      <c r="C37" s="25"/>
      <c r="D37" s="25"/>
      <c r="E37" s="25"/>
      <c r="F37" s="30"/>
      <c r="G37" s="25"/>
      <c r="H37" s="31"/>
      <c r="I37" s="25"/>
    </row>
    <row r="38" spans="1:9" s="28" customFormat="1" ht="12.95" customHeight="1">
      <c r="A38" s="25"/>
      <c r="B38" s="32" t="s">
        <v>47</v>
      </c>
      <c r="C38" s="25"/>
      <c r="D38" s="25"/>
      <c r="E38" s="25"/>
      <c r="F38" s="30"/>
      <c r="G38" s="25"/>
      <c r="H38" s="31"/>
      <c r="I38" s="25"/>
    </row>
    <row r="39" spans="1:9" s="28" customFormat="1" ht="12.95" customHeight="1" thickBot="1">
      <c r="A39" s="25"/>
      <c r="B39" s="32" t="s">
        <v>1</v>
      </c>
      <c r="C39" s="25"/>
      <c r="D39" s="25"/>
      <c r="E39" s="25"/>
      <c r="F39" s="30"/>
      <c r="G39" s="25"/>
      <c r="H39" s="31"/>
      <c r="I39" s="25"/>
    </row>
    <row r="40" spans="1:9" s="28" customFormat="1" ht="12.95" customHeight="1" thickBot="1">
      <c r="A40" s="25"/>
      <c r="B40" s="85" t="s">
        <v>366</v>
      </c>
      <c r="C40" s="86" t="s">
        <v>375</v>
      </c>
      <c r="D40" s="25"/>
      <c r="E40" s="25"/>
      <c r="F40" s="30"/>
      <c r="G40" s="25"/>
      <c r="H40" s="31"/>
      <c r="I40" s="25"/>
    </row>
    <row r="41" spans="1:9" s="28" customFormat="1">
      <c r="F41" s="33"/>
      <c r="H41" s="151" t="s">
        <v>373</v>
      </c>
    </row>
    <row r="42" spans="1:9" s="28" customFormat="1">
      <c r="F42" s="33"/>
      <c r="H42" s="34"/>
    </row>
    <row r="43" spans="1:9" s="28" customFormat="1">
      <c r="F43" s="33"/>
      <c r="H43" s="34"/>
    </row>
    <row r="44" spans="1:9" s="28" customFormat="1">
      <c r="F44" s="33"/>
      <c r="H44" s="34"/>
    </row>
    <row r="45" spans="1:9" s="28" customFormat="1">
      <c r="F45" s="33"/>
      <c r="H45" s="34"/>
    </row>
    <row r="46" spans="1:9" s="28" customFormat="1">
      <c r="F46" s="33"/>
      <c r="H46" s="34"/>
    </row>
    <row r="47" spans="1:9" s="28" customFormat="1">
      <c r="F47" s="33"/>
      <c r="H47" s="34"/>
    </row>
    <row r="48" spans="1:9" s="28" customFormat="1">
      <c r="F48" s="33"/>
      <c r="H48" s="34"/>
    </row>
    <row r="49" spans="6:8" s="28" customFormat="1">
      <c r="F49" s="33"/>
      <c r="H49" s="34"/>
    </row>
    <row r="50" spans="6:8" s="28" customFormat="1">
      <c r="F50" s="33"/>
      <c r="H50" s="34"/>
    </row>
    <row r="51" spans="6:8" s="28" customFormat="1">
      <c r="F51" s="33"/>
      <c r="H51" s="34"/>
    </row>
    <row r="52" spans="6:8" s="28" customFormat="1">
      <c r="F52" s="33"/>
      <c r="H52" s="34"/>
    </row>
    <row r="53" spans="6:8" s="28" customFormat="1">
      <c r="F53" s="33"/>
      <c r="H53" s="34"/>
    </row>
    <row r="54" spans="6:8" s="28" customFormat="1">
      <c r="F54" s="33"/>
      <c r="H54" s="34"/>
    </row>
    <row r="55" spans="6:8" s="28" customFormat="1">
      <c r="F55" s="33"/>
      <c r="H55" s="34"/>
    </row>
    <row r="56" spans="6:8" s="28" customFormat="1">
      <c r="F56" s="33"/>
      <c r="H56" s="34"/>
    </row>
    <row r="57" spans="6:8" s="28" customFormat="1">
      <c r="F57" s="33"/>
      <c r="H57" s="34"/>
    </row>
    <row r="58" spans="6:8" s="28" customFormat="1">
      <c r="F58" s="33"/>
      <c r="H58" s="34"/>
    </row>
    <row r="59" spans="6:8" s="28" customFormat="1">
      <c r="F59" s="33"/>
      <c r="H59" s="34"/>
    </row>
    <row r="60" spans="6:8" s="28" customFormat="1">
      <c r="F60" s="33"/>
      <c r="H60" s="34"/>
    </row>
    <row r="61" spans="6:8" s="28" customFormat="1">
      <c r="F61" s="33"/>
      <c r="H61" s="34"/>
    </row>
    <row r="62" spans="6:8" s="28" customFormat="1">
      <c r="F62" s="33"/>
      <c r="H62" s="34"/>
    </row>
    <row r="63" spans="6:8" s="28" customFormat="1">
      <c r="F63" s="33"/>
      <c r="H63" s="34"/>
    </row>
    <row r="64" spans="6:8" s="28" customFormat="1">
      <c r="F64" s="33"/>
      <c r="H64" s="34"/>
    </row>
    <row r="65" spans="6:8" s="28" customFormat="1">
      <c r="F65" s="33"/>
      <c r="H65" s="34"/>
    </row>
    <row r="66" spans="6:8" s="28" customFormat="1">
      <c r="F66" s="33"/>
      <c r="H66" s="34"/>
    </row>
    <row r="67" spans="6:8" s="28" customFormat="1">
      <c r="F67" s="33"/>
      <c r="H67" s="34"/>
    </row>
    <row r="68" spans="6:8" s="28" customFormat="1">
      <c r="F68" s="33"/>
      <c r="H68" s="34"/>
    </row>
    <row r="69" spans="6:8" s="28" customFormat="1">
      <c r="F69" s="33"/>
      <c r="H69" s="34"/>
    </row>
    <row r="70" spans="6:8" s="28" customFormat="1">
      <c r="F70" s="33"/>
      <c r="H70" s="34"/>
    </row>
    <row r="71" spans="6:8" s="28" customFormat="1">
      <c r="F71" s="33"/>
      <c r="H71" s="34"/>
    </row>
    <row r="72" spans="6:8" s="28" customFormat="1">
      <c r="F72" s="33"/>
      <c r="H72" s="34"/>
    </row>
    <row r="73" spans="6:8" s="28" customFormat="1">
      <c r="F73" s="33"/>
      <c r="H73" s="34"/>
    </row>
    <row r="74" spans="6:8" s="28" customFormat="1">
      <c r="F74" s="33"/>
      <c r="H74" s="34"/>
    </row>
    <row r="75" spans="6:8" s="28" customFormat="1">
      <c r="F75" s="33"/>
      <c r="H75" s="34"/>
    </row>
    <row r="76" spans="6:8" s="28" customFormat="1">
      <c r="F76" s="33"/>
      <c r="H76" s="34"/>
    </row>
    <row r="77" spans="6:8" s="28" customFormat="1">
      <c r="F77" s="33"/>
      <c r="H77" s="34"/>
    </row>
    <row r="78" spans="6:8" s="28" customFormat="1">
      <c r="F78" s="33"/>
      <c r="H78" s="34"/>
    </row>
    <row r="79" spans="6:8" s="28" customFormat="1">
      <c r="F79" s="33"/>
      <c r="H79" s="34"/>
    </row>
    <row r="80" spans="6:8" s="28" customFormat="1">
      <c r="F80" s="33"/>
      <c r="H80" s="34"/>
    </row>
    <row r="81" spans="6:8" s="28" customFormat="1">
      <c r="F81" s="33"/>
      <c r="H81" s="34"/>
    </row>
    <row r="82" spans="6:8" s="28" customFormat="1">
      <c r="F82" s="33"/>
      <c r="H82" s="34"/>
    </row>
    <row r="83" spans="6:8" s="28" customFormat="1">
      <c r="F83" s="33"/>
      <c r="H83" s="34"/>
    </row>
    <row r="84" spans="6:8" s="28" customFormat="1">
      <c r="F84" s="33"/>
      <c r="H84" s="34"/>
    </row>
    <row r="85" spans="6:8" s="28" customFormat="1">
      <c r="F85" s="33"/>
      <c r="H85" s="34"/>
    </row>
    <row r="86" spans="6:8" s="28" customFormat="1">
      <c r="F86" s="33"/>
      <c r="H86" s="34"/>
    </row>
    <row r="87" spans="6:8" s="28" customFormat="1">
      <c r="F87" s="33"/>
      <c r="H87" s="34"/>
    </row>
    <row r="88" spans="6:8" s="28" customFormat="1">
      <c r="F88" s="33"/>
      <c r="H88" s="34"/>
    </row>
    <row r="89" spans="6:8" s="28" customFormat="1">
      <c r="F89" s="33"/>
      <c r="H89" s="34"/>
    </row>
    <row r="90" spans="6:8" s="28" customFormat="1">
      <c r="F90" s="33"/>
      <c r="H90" s="34"/>
    </row>
    <row r="91" spans="6:8" s="28" customFormat="1">
      <c r="F91" s="33"/>
      <c r="H91" s="34"/>
    </row>
    <row r="92" spans="6:8" s="28" customFormat="1">
      <c r="F92" s="33"/>
      <c r="H92" s="34"/>
    </row>
    <row r="93" spans="6:8" s="28" customFormat="1">
      <c r="F93" s="33"/>
      <c r="H93" s="34"/>
    </row>
    <row r="94" spans="6:8" s="28" customFormat="1">
      <c r="F94" s="33"/>
      <c r="H94" s="34"/>
    </row>
    <row r="95" spans="6:8" s="28" customFormat="1">
      <c r="F95" s="33"/>
      <c r="H95" s="34"/>
    </row>
    <row r="96" spans="6:8" s="28" customFormat="1">
      <c r="F96" s="33"/>
      <c r="H96" s="34"/>
    </row>
    <row r="97" spans="6:8" s="28" customFormat="1">
      <c r="F97" s="33"/>
      <c r="H97" s="34"/>
    </row>
    <row r="98" spans="6:8" s="28" customFormat="1">
      <c r="F98" s="33"/>
      <c r="H98" s="34"/>
    </row>
    <row r="99" spans="6:8" s="28" customFormat="1">
      <c r="F99" s="33"/>
      <c r="H99" s="34"/>
    </row>
    <row r="100" spans="6:8" s="28" customFormat="1">
      <c r="F100" s="33"/>
      <c r="H100" s="34"/>
    </row>
    <row r="101" spans="6:8" s="28" customFormat="1">
      <c r="F101" s="33"/>
      <c r="H101" s="34"/>
    </row>
    <row r="102" spans="6:8" s="28" customFormat="1">
      <c r="F102" s="33"/>
      <c r="H102" s="34"/>
    </row>
    <row r="103" spans="6:8" s="28" customFormat="1">
      <c r="F103" s="33"/>
      <c r="H103" s="34"/>
    </row>
    <row r="104" spans="6:8" s="28" customFormat="1">
      <c r="F104" s="33"/>
      <c r="H104" s="34"/>
    </row>
    <row r="105" spans="6:8" s="28" customFormat="1">
      <c r="F105" s="33"/>
      <c r="H105" s="34"/>
    </row>
    <row r="106" spans="6:8" s="28" customFormat="1">
      <c r="F106" s="33"/>
      <c r="H106" s="34"/>
    </row>
    <row r="107" spans="6:8" s="28" customFormat="1">
      <c r="F107" s="33"/>
      <c r="H107" s="34"/>
    </row>
    <row r="108" spans="6:8" s="28" customFormat="1">
      <c r="F108" s="33"/>
      <c r="H108" s="34"/>
    </row>
    <row r="109" spans="6:8" s="28" customFormat="1">
      <c r="F109" s="33"/>
      <c r="H109" s="34"/>
    </row>
    <row r="110" spans="6:8" s="28" customFormat="1">
      <c r="F110" s="33"/>
      <c r="H110" s="34"/>
    </row>
    <row r="111" spans="6:8" s="28" customFormat="1">
      <c r="F111" s="33"/>
      <c r="H111" s="34"/>
    </row>
    <row r="112" spans="6:8" s="28" customFormat="1">
      <c r="F112" s="33"/>
      <c r="H112" s="34"/>
    </row>
    <row r="113" spans="6:8" s="28" customFormat="1">
      <c r="F113" s="33"/>
      <c r="H113" s="34"/>
    </row>
    <row r="114" spans="6:8" s="28" customFormat="1">
      <c r="F114" s="33"/>
      <c r="H114" s="34"/>
    </row>
    <row r="115" spans="6:8" s="28" customFormat="1">
      <c r="F115" s="33"/>
      <c r="H115" s="34"/>
    </row>
    <row r="116" spans="6:8" s="28" customFormat="1">
      <c r="F116" s="33"/>
      <c r="H116" s="34"/>
    </row>
    <row r="117" spans="6:8" s="28" customFormat="1">
      <c r="F117" s="33"/>
      <c r="H117" s="34"/>
    </row>
    <row r="118" spans="6:8" s="28" customFormat="1">
      <c r="F118" s="33"/>
      <c r="H118" s="34"/>
    </row>
    <row r="119" spans="6:8" s="28" customFormat="1">
      <c r="F119" s="33"/>
      <c r="H119" s="34"/>
    </row>
    <row r="120" spans="6:8" s="28" customFormat="1">
      <c r="F120" s="33"/>
      <c r="H120" s="34"/>
    </row>
    <row r="121" spans="6:8" s="28" customFormat="1">
      <c r="F121" s="33"/>
      <c r="H121" s="34"/>
    </row>
    <row r="122" spans="6:8" s="28" customFormat="1">
      <c r="F122" s="33"/>
      <c r="H122" s="34"/>
    </row>
    <row r="123" spans="6:8" s="28" customFormat="1">
      <c r="F123" s="33"/>
      <c r="H123" s="34"/>
    </row>
    <row r="124" spans="6:8" s="28" customFormat="1">
      <c r="F124" s="33"/>
      <c r="H124" s="34"/>
    </row>
    <row r="125" spans="6:8" s="28" customFormat="1">
      <c r="F125" s="33"/>
      <c r="H125" s="34"/>
    </row>
    <row r="126" spans="6:8" s="28" customFormat="1">
      <c r="F126" s="33"/>
      <c r="H126" s="34"/>
    </row>
    <row r="127" spans="6:8" s="28" customFormat="1">
      <c r="F127" s="33"/>
      <c r="H127" s="34"/>
    </row>
    <row r="128" spans="6:8" s="28" customFormat="1">
      <c r="F128" s="33"/>
      <c r="H128" s="34"/>
    </row>
    <row r="129" spans="6:8" s="28" customFormat="1">
      <c r="F129" s="33"/>
      <c r="H129" s="34"/>
    </row>
    <row r="130" spans="6:8" s="28" customFormat="1">
      <c r="F130" s="33"/>
      <c r="H130" s="34"/>
    </row>
    <row r="131" spans="6:8" s="28" customFormat="1">
      <c r="F131" s="33"/>
      <c r="H131" s="34"/>
    </row>
    <row r="132" spans="6:8" s="28" customFormat="1">
      <c r="F132" s="33"/>
      <c r="H132" s="34"/>
    </row>
    <row r="133" spans="6:8" s="28" customFormat="1">
      <c r="F133" s="33"/>
      <c r="H133" s="34"/>
    </row>
    <row r="134" spans="6:8" s="28" customFormat="1">
      <c r="F134" s="33"/>
      <c r="H134" s="34"/>
    </row>
    <row r="135" spans="6:8" s="28" customFormat="1">
      <c r="F135" s="33"/>
      <c r="H135" s="34"/>
    </row>
    <row r="136" spans="6:8" s="28" customFormat="1">
      <c r="F136" s="33"/>
      <c r="H136" s="34"/>
    </row>
    <row r="137" spans="6:8" s="28" customFormat="1">
      <c r="F137" s="33"/>
      <c r="H137" s="34"/>
    </row>
    <row r="138" spans="6:8" s="28" customFormat="1">
      <c r="F138" s="33"/>
      <c r="H138" s="34"/>
    </row>
    <row r="139" spans="6:8" s="28" customFormat="1">
      <c r="F139" s="33"/>
      <c r="H139" s="34"/>
    </row>
    <row r="140" spans="6:8" s="28" customFormat="1">
      <c r="F140" s="33"/>
      <c r="H140" s="34"/>
    </row>
    <row r="141" spans="6:8" s="28" customFormat="1">
      <c r="F141" s="33"/>
      <c r="H141" s="34"/>
    </row>
    <row r="142" spans="6:8" s="28" customFormat="1">
      <c r="F142" s="33"/>
      <c r="H142" s="34"/>
    </row>
    <row r="143" spans="6:8" s="28" customFormat="1">
      <c r="F143" s="33"/>
      <c r="H143" s="34"/>
    </row>
    <row r="144" spans="6:8" s="28" customFormat="1">
      <c r="F144" s="33"/>
      <c r="H144" s="34"/>
    </row>
    <row r="145" spans="6:8" s="28" customFormat="1">
      <c r="F145" s="33"/>
      <c r="H145" s="34"/>
    </row>
    <row r="146" spans="6:8" s="28" customFormat="1">
      <c r="F146" s="33"/>
      <c r="H146" s="34"/>
    </row>
    <row r="147" spans="6:8" s="28" customFormat="1">
      <c r="F147" s="33"/>
      <c r="H147" s="34"/>
    </row>
    <row r="148" spans="6:8" s="28" customFormat="1">
      <c r="F148" s="33"/>
      <c r="H148" s="34"/>
    </row>
    <row r="149" spans="6:8" s="28" customFormat="1">
      <c r="F149" s="33"/>
      <c r="H149" s="34"/>
    </row>
    <row r="150" spans="6:8" s="28" customFormat="1">
      <c r="F150" s="33"/>
      <c r="H150" s="34"/>
    </row>
    <row r="151" spans="6:8" s="28" customFormat="1">
      <c r="F151" s="33"/>
      <c r="H151" s="34"/>
    </row>
    <row r="152" spans="6:8" s="28" customFormat="1">
      <c r="F152" s="33"/>
      <c r="H152" s="34"/>
    </row>
    <row r="153" spans="6:8" s="28" customFormat="1">
      <c r="F153" s="33"/>
      <c r="H153" s="34"/>
    </row>
    <row r="154" spans="6:8" s="28" customFormat="1">
      <c r="F154" s="33"/>
      <c r="H154" s="34"/>
    </row>
    <row r="155" spans="6:8" s="28" customFormat="1">
      <c r="F155" s="33"/>
      <c r="H155" s="34"/>
    </row>
    <row r="156" spans="6:8" s="28" customFormat="1">
      <c r="F156" s="33"/>
      <c r="H156" s="34"/>
    </row>
    <row r="157" spans="6:8" s="28" customFormat="1">
      <c r="F157" s="33"/>
      <c r="H157" s="34"/>
    </row>
    <row r="158" spans="6:8" s="28" customFormat="1">
      <c r="F158" s="33"/>
      <c r="H158" s="34"/>
    </row>
    <row r="159" spans="6:8" s="28" customFormat="1">
      <c r="F159" s="33"/>
      <c r="H159" s="34"/>
    </row>
    <row r="160" spans="6:8" s="28" customFormat="1">
      <c r="F160" s="33"/>
      <c r="H160" s="34"/>
    </row>
    <row r="161" spans="6:8" s="28" customFormat="1">
      <c r="F161" s="33"/>
      <c r="H161" s="34"/>
    </row>
    <row r="162" spans="6:8" s="28" customFormat="1">
      <c r="F162" s="33"/>
      <c r="H162" s="34"/>
    </row>
    <row r="163" spans="6:8" s="28" customFormat="1">
      <c r="F163" s="33"/>
      <c r="H163" s="34"/>
    </row>
    <row r="164" spans="6:8" s="28" customFormat="1">
      <c r="F164" s="33"/>
      <c r="H164" s="34"/>
    </row>
    <row r="165" spans="6:8" s="28" customFormat="1">
      <c r="F165" s="33"/>
      <c r="H165" s="34"/>
    </row>
    <row r="166" spans="6:8" s="28" customFormat="1">
      <c r="F166" s="33"/>
      <c r="H166" s="34"/>
    </row>
    <row r="167" spans="6:8" s="28" customFormat="1">
      <c r="F167" s="33"/>
      <c r="H167" s="34"/>
    </row>
    <row r="168" spans="6:8" s="28" customFormat="1">
      <c r="F168" s="33"/>
      <c r="H168" s="34"/>
    </row>
    <row r="169" spans="6:8" s="28" customFormat="1">
      <c r="F169" s="33"/>
      <c r="H169" s="34"/>
    </row>
    <row r="170" spans="6:8" s="28" customFormat="1">
      <c r="F170" s="33"/>
      <c r="H170" s="34"/>
    </row>
    <row r="171" spans="6:8" s="28" customFormat="1">
      <c r="F171" s="33"/>
      <c r="H171" s="34"/>
    </row>
    <row r="172" spans="6:8" s="28" customFormat="1">
      <c r="F172" s="33"/>
      <c r="H172" s="34"/>
    </row>
    <row r="173" spans="6:8" s="28" customFormat="1">
      <c r="F173" s="33"/>
      <c r="H173" s="34"/>
    </row>
    <row r="174" spans="6:8" s="28" customFormat="1">
      <c r="F174" s="33"/>
      <c r="H174" s="34"/>
    </row>
    <row r="175" spans="6:8" s="28" customFormat="1">
      <c r="F175" s="33"/>
      <c r="H175" s="34"/>
    </row>
    <row r="176" spans="6:8" s="28" customFormat="1">
      <c r="F176" s="33"/>
      <c r="H176" s="34"/>
    </row>
    <row r="177" spans="6:8" s="28" customFormat="1">
      <c r="F177" s="33"/>
      <c r="H177" s="34"/>
    </row>
    <row r="178" spans="6:8" s="28" customFormat="1">
      <c r="F178" s="33"/>
      <c r="H178" s="34"/>
    </row>
    <row r="179" spans="6:8" s="28" customFormat="1">
      <c r="F179" s="33"/>
      <c r="H179" s="34"/>
    </row>
    <row r="180" spans="6:8" s="28" customFormat="1">
      <c r="F180" s="33"/>
      <c r="H180" s="34"/>
    </row>
    <row r="181" spans="6:8" s="28" customFormat="1">
      <c r="F181" s="33"/>
      <c r="H181" s="34"/>
    </row>
    <row r="182" spans="6:8" s="28" customFormat="1">
      <c r="F182" s="33"/>
      <c r="H182" s="34"/>
    </row>
    <row r="183" spans="6:8" s="28" customFormat="1">
      <c r="F183" s="33"/>
      <c r="H183" s="34"/>
    </row>
    <row r="184" spans="6:8" s="28" customFormat="1">
      <c r="F184" s="33"/>
      <c r="H184" s="34"/>
    </row>
    <row r="185" spans="6:8" s="28" customFormat="1">
      <c r="F185" s="33"/>
      <c r="H185" s="34"/>
    </row>
    <row r="186" spans="6:8" s="28" customFormat="1">
      <c r="F186" s="33"/>
      <c r="H186" s="34"/>
    </row>
    <row r="187" spans="6:8" s="28" customFormat="1">
      <c r="F187" s="33"/>
      <c r="H187" s="34"/>
    </row>
    <row r="188" spans="6:8" s="28" customFormat="1">
      <c r="F188" s="33"/>
      <c r="H188" s="34"/>
    </row>
    <row r="189" spans="6:8" s="28" customFormat="1">
      <c r="F189" s="33"/>
      <c r="H189" s="34"/>
    </row>
    <row r="190" spans="6:8" s="28" customFormat="1">
      <c r="F190" s="33"/>
      <c r="H190" s="34"/>
    </row>
    <row r="191" spans="6:8" s="28" customFormat="1">
      <c r="F191" s="33"/>
      <c r="H191" s="34"/>
    </row>
    <row r="192" spans="6:8" s="28" customFormat="1">
      <c r="F192" s="33"/>
      <c r="H192" s="34"/>
    </row>
    <row r="193" spans="6:8" s="28" customFormat="1">
      <c r="F193" s="33"/>
      <c r="H193" s="34"/>
    </row>
    <row r="194" spans="6:8" s="28" customFormat="1">
      <c r="F194" s="33"/>
      <c r="H194" s="34"/>
    </row>
    <row r="195" spans="6:8" s="28" customFormat="1">
      <c r="F195" s="33"/>
      <c r="H195" s="34"/>
    </row>
    <row r="196" spans="6:8" s="28" customFormat="1">
      <c r="F196" s="33"/>
      <c r="H196" s="34"/>
    </row>
    <row r="197" spans="6:8" s="28" customFormat="1">
      <c r="F197" s="33"/>
      <c r="H197" s="34"/>
    </row>
    <row r="198" spans="6:8" s="28" customFormat="1">
      <c r="F198" s="33"/>
      <c r="H198" s="34"/>
    </row>
    <row r="199" spans="6:8" s="28" customFormat="1">
      <c r="F199" s="33"/>
      <c r="H199" s="34"/>
    </row>
    <row r="200" spans="6:8" s="28" customFormat="1">
      <c r="F200" s="33"/>
      <c r="H200" s="34"/>
    </row>
    <row r="201" spans="6:8" s="28" customFormat="1">
      <c r="F201" s="33"/>
      <c r="H201" s="34"/>
    </row>
    <row r="202" spans="6:8" s="28" customFormat="1">
      <c r="F202" s="33"/>
      <c r="H202" s="34"/>
    </row>
    <row r="203" spans="6:8" s="28" customFormat="1">
      <c r="F203" s="33"/>
      <c r="H203" s="34"/>
    </row>
    <row r="204" spans="6:8" s="28" customFormat="1">
      <c r="F204" s="33"/>
      <c r="H204" s="34"/>
    </row>
    <row r="205" spans="6:8" s="28" customFormat="1">
      <c r="F205" s="33"/>
      <c r="H205" s="34"/>
    </row>
    <row r="206" spans="6:8" s="28" customFormat="1">
      <c r="F206" s="33"/>
      <c r="H206" s="34"/>
    </row>
    <row r="207" spans="6:8" s="28" customFormat="1">
      <c r="F207" s="33"/>
      <c r="H207" s="34"/>
    </row>
    <row r="208" spans="6:8" s="28" customFormat="1">
      <c r="F208" s="33"/>
      <c r="H208" s="34"/>
    </row>
    <row r="209" spans="6:8" s="28" customFormat="1">
      <c r="F209" s="33"/>
      <c r="H209" s="34"/>
    </row>
    <row r="210" spans="6:8" s="28" customFormat="1">
      <c r="F210" s="33"/>
      <c r="H210" s="34"/>
    </row>
    <row r="211" spans="6:8" s="28" customFormat="1">
      <c r="F211" s="33"/>
      <c r="H211" s="34"/>
    </row>
    <row r="212" spans="6:8" s="28" customFormat="1">
      <c r="F212" s="33"/>
      <c r="H212" s="34"/>
    </row>
    <row r="213" spans="6:8" s="28" customFormat="1">
      <c r="F213" s="33"/>
      <c r="H213" s="34"/>
    </row>
    <row r="214" spans="6:8" s="28" customFormat="1">
      <c r="F214" s="33"/>
      <c r="H214" s="34"/>
    </row>
    <row r="215" spans="6:8" s="28" customFormat="1">
      <c r="F215" s="33"/>
      <c r="H215" s="34"/>
    </row>
    <row r="216" spans="6:8" s="28" customFormat="1">
      <c r="F216" s="33"/>
      <c r="H216" s="34"/>
    </row>
    <row r="217" spans="6:8" s="28" customFormat="1">
      <c r="F217" s="33"/>
      <c r="H217" s="34"/>
    </row>
    <row r="218" spans="6:8" s="28" customFormat="1">
      <c r="F218" s="33"/>
      <c r="H218" s="34"/>
    </row>
    <row r="219" spans="6:8" s="28" customFormat="1">
      <c r="F219" s="33"/>
      <c r="H219" s="34"/>
    </row>
    <row r="220" spans="6:8" s="28" customFormat="1">
      <c r="F220" s="33"/>
      <c r="H220" s="34"/>
    </row>
    <row r="221" spans="6:8" s="28" customFormat="1">
      <c r="F221" s="33"/>
      <c r="H221" s="34"/>
    </row>
    <row r="222" spans="6:8" s="28" customFormat="1">
      <c r="F222" s="33"/>
      <c r="H222" s="34"/>
    </row>
    <row r="223" spans="6:8" s="28" customFormat="1">
      <c r="F223" s="33"/>
      <c r="H223" s="34"/>
    </row>
    <row r="224" spans="6:8" s="28" customFormat="1">
      <c r="F224" s="33"/>
      <c r="H224" s="34"/>
    </row>
    <row r="225" spans="6:8" s="28" customFormat="1">
      <c r="F225" s="33"/>
      <c r="H225" s="34"/>
    </row>
    <row r="226" spans="6:8" s="28" customFormat="1">
      <c r="F226" s="33"/>
      <c r="H226" s="34"/>
    </row>
    <row r="227" spans="6:8" s="28" customFormat="1">
      <c r="F227" s="33"/>
      <c r="H227" s="34"/>
    </row>
    <row r="228" spans="6:8" s="28" customFormat="1">
      <c r="F228" s="33"/>
      <c r="H228" s="34"/>
    </row>
    <row r="229" spans="6:8" s="28" customFormat="1">
      <c r="F229" s="33"/>
      <c r="H229" s="34"/>
    </row>
    <row r="230" spans="6:8" s="28" customFormat="1">
      <c r="F230" s="33"/>
      <c r="H230" s="34"/>
    </row>
    <row r="231" spans="6:8" s="28" customFormat="1">
      <c r="F231" s="33"/>
      <c r="H231" s="34"/>
    </row>
    <row r="232" spans="6:8" s="28" customFormat="1">
      <c r="F232" s="33"/>
      <c r="H232" s="34"/>
    </row>
    <row r="233" spans="6:8" s="28" customFormat="1">
      <c r="F233" s="33"/>
      <c r="H233" s="34"/>
    </row>
    <row r="234" spans="6:8" s="28" customFormat="1">
      <c r="F234" s="33"/>
      <c r="H234" s="34"/>
    </row>
    <row r="235" spans="6:8" s="28" customFormat="1">
      <c r="F235" s="33"/>
      <c r="H235" s="34"/>
    </row>
    <row r="236" spans="6:8" s="28" customFormat="1">
      <c r="F236" s="33"/>
      <c r="H236" s="34"/>
    </row>
    <row r="237" spans="6:8" s="28" customFormat="1">
      <c r="F237" s="33"/>
      <c r="H237" s="34"/>
    </row>
    <row r="238" spans="6:8" s="28" customFormat="1">
      <c r="F238" s="33"/>
      <c r="H238" s="34"/>
    </row>
    <row r="239" spans="6:8" s="28" customFormat="1">
      <c r="F239" s="33"/>
      <c r="H239" s="34"/>
    </row>
    <row r="240" spans="6:8" s="28" customFormat="1">
      <c r="F240" s="33"/>
      <c r="H240" s="34"/>
    </row>
    <row r="241" spans="6:8" s="28" customFormat="1">
      <c r="F241" s="33"/>
      <c r="H241" s="34"/>
    </row>
    <row r="242" spans="6:8" s="28" customFormat="1">
      <c r="F242" s="33"/>
      <c r="H242" s="34"/>
    </row>
    <row r="243" spans="6:8" s="28" customFormat="1">
      <c r="F243" s="33"/>
      <c r="H243" s="34"/>
    </row>
    <row r="244" spans="6:8" s="28" customFormat="1">
      <c r="F244" s="33"/>
      <c r="H244" s="34"/>
    </row>
    <row r="245" spans="6:8" s="28" customFormat="1">
      <c r="F245" s="33"/>
      <c r="H245" s="34"/>
    </row>
    <row r="246" spans="6:8" s="28" customFormat="1">
      <c r="F246" s="33"/>
      <c r="H246" s="34"/>
    </row>
    <row r="247" spans="6:8" s="28" customFormat="1">
      <c r="F247" s="33"/>
      <c r="H247" s="34"/>
    </row>
    <row r="248" spans="6:8" s="28" customFormat="1">
      <c r="F248" s="33"/>
      <c r="H248" s="34"/>
    </row>
    <row r="249" spans="6:8" s="28" customFormat="1">
      <c r="F249" s="33"/>
      <c r="H249" s="34"/>
    </row>
    <row r="250" spans="6:8" s="28" customFormat="1">
      <c r="F250" s="33"/>
      <c r="H250" s="34"/>
    </row>
    <row r="251" spans="6:8" s="28" customFormat="1">
      <c r="F251" s="33"/>
      <c r="H251" s="34"/>
    </row>
    <row r="252" spans="6:8" s="28" customFormat="1">
      <c r="F252" s="33"/>
      <c r="H252" s="34"/>
    </row>
    <row r="253" spans="6:8" s="28" customFormat="1">
      <c r="F253" s="33"/>
      <c r="H253" s="34"/>
    </row>
    <row r="254" spans="6:8" s="28" customFormat="1">
      <c r="F254" s="33"/>
      <c r="H254" s="34"/>
    </row>
    <row r="255" spans="6:8" s="28" customFormat="1">
      <c r="F255" s="33"/>
      <c r="H255" s="34"/>
    </row>
    <row r="256" spans="6:8" s="28" customFormat="1">
      <c r="F256" s="33"/>
      <c r="H256" s="34"/>
    </row>
    <row r="257" spans="6:8" s="28" customFormat="1">
      <c r="F257" s="33"/>
      <c r="H257" s="34"/>
    </row>
    <row r="258" spans="6:8" s="28" customFormat="1">
      <c r="F258" s="33"/>
      <c r="H258" s="34"/>
    </row>
    <row r="259" spans="6:8" s="28" customFormat="1">
      <c r="F259" s="33"/>
      <c r="H259" s="34"/>
    </row>
    <row r="260" spans="6:8" s="28" customFormat="1">
      <c r="F260" s="33"/>
      <c r="H260" s="34"/>
    </row>
    <row r="261" spans="6:8" s="28" customFormat="1">
      <c r="F261" s="33"/>
      <c r="H261" s="34"/>
    </row>
    <row r="262" spans="6:8" s="28" customFormat="1">
      <c r="F262" s="33"/>
      <c r="H262" s="34"/>
    </row>
    <row r="263" spans="6:8" s="28" customFormat="1">
      <c r="F263" s="33"/>
      <c r="H263" s="34"/>
    </row>
    <row r="264" spans="6:8" s="28" customFormat="1">
      <c r="F264" s="33"/>
      <c r="H264" s="34"/>
    </row>
    <row r="265" spans="6:8" s="28" customFormat="1">
      <c r="F265" s="33"/>
      <c r="H265" s="34"/>
    </row>
    <row r="266" spans="6:8" s="28" customFormat="1">
      <c r="F266" s="33"/>
      <c r="H266" s="34"/>
    </row>
    <row r="267" spans="6:8" s="28" customFormat="1">
      <c r="F267" s="33"/>
      <c r="H267" s="34"/>
    </row>
    <row r="268" spans="6:8" s="28" customFormat="1">
      <c r="F268" s="33"/>
      <c r="H268" s="34"/>
    </row>
    <row r="269" spans="6:8" s="28" customFormat="1">
      <c r="F269" s="33"/>
      <c r="H269" s="34"/>
    </row>
    <row r="270" spans="6:8" s="28" customFormat="1">
      <c r="F270" s="33"/>
      <c r="H270" s="34"/>
    </row>
    <row r="271" spans="6:8" s="28" customFormat="1">
      <c r="F271" s="33"/>
      <c r="H271" s="34"/>
    </row>
    <row r="272" spans="6:8" s="28" customFormat="1">
      <c r="F272" s="33"/>
      <c r="H272" s="34"/>
    </row>
    <row r="273" spans="6:8" s="28" customFormat="1">
      <c r="F273" s="33"/>
      <c r="H273" s="34"/>
    </row>
    <row r="274" spans="6:8" s="28" customFormat="1">
      <c r="F274" s="33"/>
      <c r="H274" s="34"/>
    </row>
    <row r="275" spans="6:8" s="28" customFormat="1">
      <c r="F275" s="33"/>
      <c r="H275" s="34"/>
    </row>
    <row r="276" spans="6:8" s="28" customFormat="1">
      <c r="F276" s="33"/>
      <c r="H276" s="34"/>
    </row>
    <row r="277" spans="6:8" s="28" customFormat="1">
      <c r="F277" s="33"/>
      <c r="H277" s="34"/>
    </row>
    <row r="278" spans="6:8" s="28" customFormat="1">
      <c r="F278" s="33"/>
      <c r="H278" s="34"/>
    </row>
    <row r="279" spans="6:8" s="28" customFormat="1">
      <c r="F279" s="33"/>
      <c r="H279" s="34"/>
    </row>
    <row r="280" spans="6:8" s="28" customFormat="1">
      <c r="F280" s="33"/>
      <c r="H280" s="34"/>
    </row>
    <row r="281" spans="6:8" s="28" customFormat="1">
      <c r="F281" s="33"/>
      <c r="H281" s="34"/>
    </row>
    <row r="282" spans="6:8" s="28" customFormat="1">
      <c r="F282" s="33"/>
      <c r="H282" s="34"/>
    </row>
    <row r="283" spans="6:8" s="28" customFormat="1">
      <c r="F283" s="33"/>
      <c r="H283" s="34"/>
    </row>
    <row r="284" spans="6:8" s="28" customFormat="1">
      <c r="F284" s="33"/>
      <c r="H284" s="34"/>
    </row>
    <row r="285" spans="6:8" s="28" customFormat="1">
      <c r="F285" s="33"/>
      <c r="H285" s="34"/>
    </row>
    <row r="286" spans="6:8" s="28" customFormat="1">
      <c r="F286" s="33"/>
      <c r="H286" s="34"/>
    </row>
    <row r="287" spans="6:8" s="28" customFormat="1">
      <c r="F287" s="33"/>
      <c r="H287" s="34"/>
    </row>
    <row r="288" spans="6:8" s="28" customFormat="1">
      <c r="F288" s="33"/>
      <c r="H288" s="34"/>
    </row>
    <row r="289" spans="6:8" s="28" customFormat="1">
      <c r="F289" s="33"/>
      <c r="H289" s="34"/>
    </row>
    <row r="290" spans="6:8" s="28" customFormat="1">
      <c r="F290" s="33"/>
      <c r="H290" s="34"/>
    </row>
    <row r="291" spans="6:8" s="28" customFormat="1">
      <c r="F291" s="33"/>
      <c r="H291" s="34"/>
    </row>
    <row r="292" spans="6:8" s="28" customFormat="1">
      <c r="F292" s="33"/>
      <c r="H292" s="34"/>
    </row>
    <row r="293" spans="6:8" s="28" customFormat="1">
      <c r="F293" s="33"/>
      <c r="H293" s="34"/>
    </row>
    <row r="294" spans="6:8" s="28" customFormat="1">
      <c r="F294" s="33"/>
      <c r="H294" s="34"/>
    </row>
    <row r="295" spans="6:8" s="28" customFormat="1">
      <c r="F295" s="33"/>
      <c r="H295" s="34"/>
    </row>
    <row r="296" spans="6:8" s="28" customFormat="1">
      <c r="F296" s="33"/>
      <c r="H296" s="34"/>
    </row>
    <row r="297" spans="6:8" s="28" customFormat="1">
      <c r="F297" s="33"/>
      <c r="H297" s="34"/>
    </row>
    <row r="298" spans="6:8" s="28" customFormat="1">
      <c r="F298" s="33"/>
      <c r="H298" s="34"/>
    </row>
    <row r="299" spans="6:8" s="28" customFormat="1">
      <c r="F299" s="33"/>
      <c r="H299" s="34"/>
    </row>
    <row r="300" spans="6:8" s="28" customFormat="1">
      <c r="F300" s="33"/>
      <c r="H300" s="34"/>
    </row>
    <row r="301" spans="6:8" s="28" customFormat="1">
      <c r="F301" s="33"/>
      <c r="H301" s="34"/>
    </row>
    <row r="302" spans="6:8" s="28" customFormat="1">
      <c r="F302" s="33"/>
      <c r="H302" s="34"/>
    </row>
    <row r="303" spans="6:8" s="28" customFormat="1">
      <c r="F303" s="33"/>
      <c r="H303" s="34"/>
    </row>
    <row r="304" spans="6:8" s="28" customFormat="1">
      <c r="F304" s="33"/>
      <c r="H304" s="34"/>
    </row>
    <row r="305" spans="6:8" s="28" customFormat="1">
      <c r="F305" s="33"/>
      <c r="H305" s="34"/>
    </row>
    <row r="306" spans="6:8" s="28" customFormat="1">
      <c r="F306" s="33"/>
      <c r="H306" s="34"/>
    </row>
    <row r="307" spans="6:8" s="28" customFormat="1">
      <c r="F307" s="33"/>
      <c r="H307" s="34"/>
    </row>
    <row r="308" spans="6:8" s="28" customFormat="1">
      <c r="F308" s="33"/>
      <c r="H308" s="34"/>
    </row>
    <row r="309" spans="6:8" s="28" customFormat="1">
      <c r="F309" s="33"/>
      <c r="H309" s="34"/>
    </row>
    <row r="310" spans="6:8" s="28" customFormat="1">
      <c r="F310" s="33"/>
      <c r="H310" s="34"/>
    </row>
    <row r="311" spans="6:8" s="28" customFormat="1">
      <c r="F311" s="33"/>
      <c r="H311" s="34"/>
    </row>
    <row r="312" spans="6:8" s="28" customFormat="1">
      <c r="F312" s="33"/>
      <c r="H312" s="34"/>
    </row>
    <row r="313" spans="6:8" s="28" customFormat="1">
      <c r="F313" s="33"/>
      <c r="H313" s="34"/>
    </row>
    <row r="314" spans="6:8" s="28" customFormat="1">
      <c r="F314" s="33"/>
      <c r="H314" s="34"/>
    </row>
    <row r="315" spans="6:8" s="28" customFormat="1">
      <c r="F315" s="33"/>
      <c r="H315" s="34"/>
    </row>
    <row r="316" spans="6:8" s="28" customFormat="1">
      <c r="F316" s="33"/>
      <c r="H316" s="34"/>
    </row>
    <row r="317" spans="6:8" s="28" customFormat="1">
      <c r="F317" s="33"/>
      <c r="H317" s="34"/>
    </row>
    <row r="318" spans="6:8" s="28" customFormat="1">
      <c r="F318" s="33"/>
      <c r="H318" s="34"/>
    </row>
    <row r="319" spans="6:8" s="28" customFormat="1">
      <c r="F319" s="33"/>
      <c r="H319" s="34"/>
    </row>
    <row r="320" spans="6:8" s="28" customFormat="1">
      <c r="F320" s="33"/>
      <c r="H320" s="34"/>
    </row>
    <row r="321" spans="6:8" s="28" customFormat="1">
      <c r="F321" s="33"/>
      <c r="H321" s="34"/>
    </row>
    <row r="322" spans="6:8" s="28" customFormat="1">
      <c r="F322" s="33"/>
      <c r="H322" s="34"/>
    </row>
    <row r="323" spans="6:8" s="28" customFormat="1">
      <c r="F323" s="33"/>
      <c r="H323" s="34"/>
    </row>
    <row r="324" spans="6:8" s="28" customFormat="1">
      <c r="F324" s="33"/>
      <c r="H324" s="34"/>
    </row>
    <row r="325" spans="6:8" s="28" customFormat="1">
      <c r="F325" s="33"/>
      <c r="H325" s="34"/>
    </row>
    <row r="326" spans="6:8" s="28" customFormat="1">
      <c r="F326" s="33"/>
      <c r="H326" s="34"/>
    </row>
    <row r="327" spans="6:8" s="28" customFormat="1">
      <c r="F327" s="33"/>
      <c r="H327" s="34"/>
    </row>
    <row r="328" spans="6:8" s="28" customFormat="1">
      <c r="F328" s="33"/>
      <c r="H328" s="34"/>
    </row>
    <row r="329" spans="6:8" s="28" customFormat="1">
      <c r="F329" s="33"/>
      <c r="H329" s="34"/>
    </row>
    <row r="330" spans="6:8" s="28" customFormat="1">
      <c r="F330" s="33"/>
      <c r="H330" s="34"/>
    </row>
    <row r="331" spans="6:8" s="28" customFormat="1">
      <c r="F331" s="33"/>
      <c r="H331" s="34"/>
    </row>
    <row r="332" spans="6:8" s="28" customFormat="1">
      <c r="F332" s="33"/>
      <c r="H332" s="34"/>
    </row>
    <row r="333" spans="6:8" s="28" customFormat="1">
      <c r="F333" s="33"/>
      <c r="H333" s="34"/>
    </row>
    <row r="334" spans="6:8" s="28" customFormat="1">
      <c r="F334" s="33"/>
      <c r="H334" s="34"/>
    </row>
    <row r="335" spans="6:8" s="28" customFormat="1">
      <c r="F335" s="33"/>
      <c r="H335" s="34"/>
    </row>
    <row r="336" spans="6:8" s="28" customFormat="1">
      <c r="F336" s="33"/>
      <c r="H336" s="34"/>
    </row>
    <row r="337" spans="6:8" s="28" customFormat="1">
      <c r="F337" s="33"/>
      <c r="H337" s="34"/>
    </row>
    <row r="338" spans="6:8" s="28" customFormat="1">
      <c r="F338" s="33"/>
      <c r="H338" s="34"/>
    </row>
    <row r="339" spans="6:8" s="28" customFormat="1">
      <c r="F339" s="33"/>
      <c r="H339" s="34"/>
    </row>
    <row r="340" spans="6:8" s="28" customFormat="1">
      <c r="F340" s="33"/>
      <c r="H340" s="34"/>
    </row>
    <row r="341" spans="6:8" s="28" customFormat="1">
      <c r="F341" s="33"/>
      <c r="H341" s="34"/>
    </row>
    <row r="342" spans="6:8" s="28" customFormat="1">
      <c r="F342" s="33"/>
      <c r="H342" s="34"/>
    </row>
    <row r="343" spans="6:8" s="28" customFormat="1">
      <c r="F343" s="33"/>
      <c r="H343" s="34"/>
    </row>
    <row r="344" spans="6:8" s="28" customFormat="1">
      <c r="F344" s="33"/>
      <c r="H344" s="34"/>
    </row>
    <row r="345" spans="6:8" s="28" customFormat="1">
      <c r="F345" s="33"/>
      <c r="H345" s="34"/>
    </row>
    <row r="346" spans="6:8" s="28" customFormat="1">
      <c r="F346" s="33"/>
      <c r="H346" s="34"/>
    </row>
    <row r="347" spans="6:8" s="28" customFormat="1">
      <c r="F347" s="33"/>
      <c r="H347" s="34"/>
    </row>
    <row r="348" spans="6:8" s="28" customFormat="1">
      <c r="F348" s="33"/>
      <c r="H348" s="34"/>
    </row>
    <row r="349" spans="6:8" s="28" customFormat="1">
      <c r="F349" s="33"/>
      <c r="H349" s="34"/>
    </row>
    <row r="350" spans="6:8" s="28" customFormat="1">
      <c r="F350" s="33"/>
      <c r="H350" s="34"/>
    </row>
    <row r="351" spans="6:8" s="28" customFormat="1">
      <c r="F351" s="33"/>
      <c r="H351" s="34"/>
    </row>
    <row r="352" spans="6:8" s="28" customFormat="1">
      <c r="F352" s="33"/>
      <c r="H352" s="34"/>
    </row>
    <row r="353" spans="6:8" s="28" customFormat="1">
      <c r="F353" s="33"/>
      <c r="H353" s="34"/>
    </row>
    <row r="354" spans="6:8" s="28" customFormat="1">
      <c r="F354" s="33"/>
      <c r="H354" s="34"/>
    </row>
    <row r="355" spans="6:8" s="28" customFormat="1">
      <c r="F355" s="33"/>
      <c r="H355" s="34"/>
    </row>
    <row r="356" spans="6:8" s="28" customFormat="1">
      <c r="F356" s="33"/>
      <c r="H356" s="34"/>
    </row>
    <row r="357" spans="6:8" s="28" customFormat="1">
      <c r="F357" s="33"/>
      <c r="H357" s="34"/>
    </row>
    <row r="358" spans="6:8" s="28" customFormat="1">
      <c r="F358" s="33"/>
      <c r="H358" s="34"/>
    </row>
    <row r="359" spans="6:8" s="28" customFormat="1">
      <c r="F359" s="33"/>
      <c r="H359" s="34"/>
    </row>
    <row r="360" spans="6:8" s="28" customFormat="1">
      <c r="F360" s="33"/>
      <c r="H360" s="34"/>
    </row>
    <row r="361" spans="6:8" s="28" customFormat="1">
      <c r="F361" s="33"/>
      <c r="H361" s="34"/>
    </row>
    <row r="362" spans="6:8" s="28" customFormat="1">
      <c r="F362" s="33"/>
      <c r="H362" s="34"/>
    </row>
    <row r="363" spans="6:8" s="28" customFormat="1">
      <c r="F363" s="33"/>
      <c r="H363" s="34"/>
    </row>
    <row r="364" spans="6:8" s="28" customFormat="1">
      <c r="F364" s="33"/>
      <c r="H364" s="34"/>
    </row>
    <row r="365" spans="6:8" s="28" customFormat="1">
      <c r="F365" s="33"/>
      <c r="H365" s="34"/>
    </row>
    <row r="366" spans="6:8" s="28" customFormat="1">
      <c r="F366" s="33"/>
      <c r="H366" s="34"/>
    </row>
    <row r="367" spans="6:8" s="28" customFormat="1">
      <c r="F367" s="33"/>
      <c r="H367" s="34"/>
    </row>
    <row r="368" spans="6:8" s="28" customFormat="1">
      <c r="F368" s="33"/>
      <c r="H368" s="34"/>
    </row>
    <row r="369" spans="6:8" s="28" customFormat="1">
      <c r="F369" s="33"/>
      <c r="H369" s="34"/>
    </row>
    <row r="370" spans="6:8" s="28" customFormat="1">
      <c r="F370" s="33"/>
      <c r="H370" s="34"/>
    </row>
    <row r="371" spans="6:8" s="28" customFormat="1">
      <c r="F371" s="33"/>
      <c r="H371" s="34"/>
    </row>
    <row r="372" spans="6:8" s="28" customFormat="1">
      <c r="F372" s="33"/>
      <c r="H372" s="34"/>
    </row>
    <row r="373" spans="6:8" s="28" customFormat="1">
      <c r="F373" s="33"/>
      <c r="H373" s="34"/>
    </row>
    <row r="374" spans="6:8" s="28" customFormat="1">
      <c r="F374" s="33"/>
      <c r="H374" s="34"/>
    </row>
    <row r="375" spans="6:8" s="28" customFormat="1">
      <c r="F375" s="33"/>
      <c r="H375" s="34"/>
    </row>
    <row r="376" spans="6:8" s="28" customFormat="1">
      <c r="F376" s="33"/>
      <c r="H376" s="34"/>
    </row>
    <row r="377" spans="6:8" s="28" customFormat="1">
      <c r="F377" s="33"/>
      <c r="H377" s="34"/>
    </row>
    <row r="378" spans="6:8" s="28" customFormat="1">
      <c r="F378" s="33"/>
      <c r="H378" s="34"/>
    </row>
    <row r="379" spans="6:8" s="28" customFormat="1">
      <c r="F379" s="33"/>
      <c r="H379" s="34"/>
    </row>
    <row r="380" spans="6:8" s="28" customFormat="1">
      <c r="F380" s="33"/>
      <c r="H380" s="34"/>
    </row>
    <row r="381" spans="6:8" s="28" customFormat="1">
      <c r="F381" s="33"/>
      <c r="H381" s="34"/>
    </row>
    <row r="382" spans="6:8" s="28" customFormat="1">
      <c r="F382" s="33"/>
      <c r="H382" s="34"/>
    </row>
    <row r="383" spans="6:8" s="28" customFormat="1">
      <c r="F383" s="33"/>
      <c r="H383" s="34"/>
    </row>
    <row r="384" spans="6:8" s="28" customFormat="1">
      <c r="F384" s="33"/>
      <c r="H384" s="34"/>
    </row>
    <row r="385" spans="6:8" s="28" customFormat="1">
      <c r="F385" s="33"/>
      <c r="H385" s="34"/>
    </row>
    <row r="386" spans="6:8" s="28" customFormat="1">
      <c r="F386" s="33"/>
      <c r="H386" s="34"/>
    </row>
    <row r="387" spans="6:8" s="28" customFormat="1">
      <c r="F387" s="33"/>
      <c r="H387" s="34"/>
    </row>
    <row r="388" spans="6:8" s="28" customFormat="1">
      <c r="F388" s="33"/>
      <c r="H388" s="34"/>
    </row>
    <row r="389" spans="6:8" s="28" customFormat="1">
      <c r="F389" s="33"/>
      <c r="H389" s="34"/>
    </row>
    <row r="390" spans="6:8" s="28" customFormat="1">
      <c r="F390" s="33"/>
      <c r="H390" s="34"/>
    </row>
    <row r="391" spans="6:8" s="28" customFormat="1">
      <c r="F391" s="33"/>
      <c r="H391" s="34"/>
    </row>
    <row r="392" spans="6:8" s="28" customFormat="1">
      <c r="F392" s="33"/>
      <c r="H392" s="34"/>
    </row>
    <row r="393" spans="6:8" s="28" customFormat="1">
      <c r="F393" s="33"/>
      <c r="H393" s="34"/>
    </row>
    <row r="394" spans="6:8" s="28" customFormat="1">
      <c r="F394" s="33"/>
      <c r="H394" s="34"/>
    </row>
    <row r="395" spans="6:8" s="28" customFormat="1">
      <c r="F395" s="33"/>
      <c r="H395" s="34"/>
    </row>
    <row r="396" spans="6:8" s="28" customFormat="1">
      <c r="F396" s="33"/>
      <c r="H396" s="34"/>
    </row>
    <row r="397" spans="6:8" s="28" customFormat="1">
      <c r="F397" s="33"/>
      <c r="H397" s="34"/>
    </row>
    <row r="398" spans="6:8" s="28" customFormat="1">
      <c r="F398" s="33"/>
      <c r="H398" s="34"/>
    </row>
    <row r="399" spans="6:8" s="28" customFormat="1">
      <c r="F399" s="33"/>
      <c r="H399" s="34"/>
    </row>
    <row r="400" spans="6:8" s="28" customFormat="1">
      <c r="F400" s="33"/>
      <c r="H400" s="34"/>
    </row>
    <row r="401" spans="6:8" s="28" customFormat="1">
      <c r="F401" s="33"/>
      <c r="H401" s="34"/>
    </row>
    <row r="402" spans="6:8" s="28" customFormat="1">
      <c r="F402" s="33"/>
      <c r="H402" s="34"/>
    </row>
    <row r="403" spans="6:8" s="28" customFormat="1">
      <c r="F403" s="33"/>
      <c r="H403" s="34"/>
    </row>
    <row r="404" spans="6:8" s="28" customFormat="1">
      <c r="F404" s="33"/>
      <c r="H404" s="34"/>
    </row>
    <row r="405" spans="6:8" s="28" customFormat="1">
      <c r="F405" s="33"/>
      <c r="H405" s="34"/>
    </row>
    <row r="406" spans="6:8" s="28" customFormat="1">
      <c r="F406" s="33"/>
      <c r="H406" s="34"/>
    </row>
    <row r="407" spans="6:8" s="28" customFormat="1">
      <c r="F407" s="33"/>
      <c r="H407" s="34"/>
    </row>
    <row r="408" spans="6:8" s="28" customFormat="1">
      <c r="F408" s="33"/>
      <c r="H408" s="34"/>
    </row>
    <row r="409" spans="6:8" s="28" customFormat="1">
      <c r="F409" s="33"/>
      <c r="H409" s="34"/>
    </row>
    <row r="410" spans="6:8" s="28" customFormat="1">
      <c r="F410" s="33"/>
      <c r="H410" s="34"/>
    </row>
    <row r="411" spans="6:8" s="28" customFormat="1">
      <c r="F411" s="33"/>
      <c r="H411" s="34"/>
    </row>
    <row r="412" spans="6:8" s="28" customFormat="1">
      <c r="F412" s="33"/>
      <c r="H412" s="34"/>
    </row>
    <row r="413" spans="6:8" s="28" customFormat="1">
      <c r="F413" s="33"/>
      <c r="H413" s="34"/>
    </row>
    <row r="414" spans="6:8" s="28" customFormat="1">
      <c r="F414" s="33"/>
      <c r="H414" s="34"/>
    </row>
    <row r="415" spans="6:8" s="28" customFormat="1">
      <c r="F415" s="33"/>
      <c r="H415" s="34"/>
    </row>
    <row r="416" spans="6:8" s="28" customFormat="1">
      <c r="F416" s="33"/>
      <c r="H416" s="34"/>
    </row>
    <row r="417" spans="6:8" s="28" customFormat="1">
      <c r="F417" s="33"/>
      <c r="H417" s="34"/>
    </row>
    <row r="418" spans="6:8" s="28" customFormat="1">
      <c r="F418" s="33"/>
      <c r="H418" s="34"/>
    </row>
    <row r="419" spans="6:8" s="28" customFormat="1">
      <c r="F419" s="33"/>
      <c r="H419" s="34"/>
    </row>
    <row r="420" spans="6:8" s="28" customFormat="1">
      <c r="F420" s="33"/>
      <c r="H420" s="34"/>
    </row>
    <row r="421" spans="6:8" s="28" customFormat="1">
      <c r="F421" s="33"/>
      <c r="H421" s="34"/>
    </row>
    <row r="422" spans="6:8" s="28" customFormat="1">
      <c r="F422" s="33"/>
      <c r="H422" s="34"/>
    </row>
    <row r="423" spans="6:8" s="28" customFormat="1">
      <c r="F423" s="33"/>
      <c r="H423" s="34"/>
    </row>
    <row r="424" spans="6:8" s="28" customFormat="1">
      <c r="F424" s="33"/>
      <c r="H424" s="34"/>
    </row>
    <row r="425" spans="6:8" s="28" customFormat="1">
      <c r="F425" s="33"/>
      <c r="H425" s="34"/>
    </row>
    <row r="426" spans="6:8" s="28" customFormat="1">
      <c r="F426" s="33"/>
      <c r="H426" s="34"/>
    </row>
    <row r="427" spans="6:8" s="28" customFormat="1">
      <c r="F427" s="33"/>
      <c r="H427" s="34"/>
    </row>
    <row r="428" spans="6:8" s="28" customFormat="1">
      <c r="F428" s="33"/>
      <c r="H428" s="34"/>
    </row>
    <row r="429" spans="6:8" s="28" customFormat="1">
      <c r="F429" s="33"/>
      <c r="H429" s="34"/>
    </row>
    <row r="430" spans="6:8" s="28" customFormat="1">
      <c r="F430" s="33"/>
      <c r="H430" s="34"/>
    </row>
    <row r="431" spans="6:8" s="28" customFormat="1">
      <c r="F431" s="33"/>
      <c r="H431" s="34"/>
    </row>
    <row r="432" spans="6:8" s="28" customFormat="1">
      <c r="F432" s="33"/>
      <c r="H432" s="34"/>
    </row>
    <row r="433" spans="6:8" s="28" customFormat="1">
      <c r="F433" s="33"/>
      <c r="H433" s="34"/>
    </row>
    <row r="434" spans="6:8" s="28" customFormat="1">
      <c r="F434" s="33"/>
      <c r="H434" s="34"/>
    </row>
    <row r="435" spans="6:8" s="28" customFormat="1">
      <c r="F435" s="33"/>
      <c r="H435" s="34"/>
    </row>
    <row r="436" spans="6:8" s="28" customFormat="1">
      <c r="F436" s="33"/>
      <c r="H436" s="34"/>
    </row>
    <row r="437" spans="6:8" s="28" customFormat="1">
      <c r="F437" s="33"/>
      <c r="H437" s="34"/>
    </row>
    <row r="438" spans="6:8" s="28" customFormat="1">
      <c r="F438" s="33"/>
      <c r="H438" s="34"/>
    </row>
    <row r="439" spans="6:8" s="28" customFormat="1">
      <c r="F439" s="33"/>
      <c r="H439" s="34"/>
    </row>
    <row r="440" spans="6:8" s="28" customFormat="1">
      <c r="F440" s="33"/>
      <c r="H440" s="34"/>
    </row>
    <row r="441" spans="6:8" s="28" customFormat="1">
      <c r="F441" s="33"/>
      <c r="H441" s="34"/>
    </row>
    <row r="442" spans="6:8" s="28" customFormat="1">
      <c r="F442" s="33"/>
      <c r="H442" s="34"/>
    </row>
    <row r="443" spans="6:8" s="28" customFormat="1">
      <c r="F443" s="33"/>
      <c r="H443" s="34"/>
    </row>
    <row r="444" spans="6:8" s="28" customFormat="1">
      <c r="F444" s="33"/>
      <c r="H444" s="34"/>
    </row>
    <row r="445" spans="6:8" s="28" customFormat="1">
      <c r="F445" s="33"/>
      <c r="H445" s="34"/>
    </row>
    <row r="446" spans="6:8" s="28" customFormat="1">
      <c r="F446" s="33"/>
      <c r="H446" s="34"/>
    </row>
    <row r="447" spans="6:8" s="28" customFormat="1">
      <c r="F447" s="33"/>
      <c r="H447" s="34"/>
    </row>
    <row r="448" spans="6:8" s="28" customFormat="1">
      <c r="F448" s="33"/>
      <c r="H448" s="34"/>
    </row>
    <row r="449" spans="6:8" s="28" customFormat="1">
      <c r="F449" s="33"/>
      <c r="H449" s="34"/>
    </row>
    <row r="450" spans="6:8" s="28" customFormat="1">
      <c r="F450" s="33"/>
      <c r="H450" s="34"/>
    </row>
    <row r="451" spans="6:8" s="28" customFormat="1">
      <c r="F451" s="33"/>
      <c r="H451" s="34"/>
    </row>
    <row r="452" spans="6:8" s="28" customFormat="1">
      <c r="F452" s="33"/>
      <c r="H452" s="34"/>
    </row>
    <row r="453" spans="6:8" s="28" customFormat="1">
      <c r="F453" s="33"/>
      <c r="H453" s="34"/>
    </row>
    <row r="454" spans="6:8" s="28" customFormat="1">
      <c r="F454" s="33"/>
      <c r="H454" s="34"/>
    </row>
    <row r="455" spans="6:8" s="28" customFormat="1">
      <c r="F455" s="33"/>
      <c r="H455" s="34"/>
    </row>
    <row r="456" spans="6:8" s="28" customFormat="1">
      <c r="F456" s="33"/>
      <c r="H456" s="34"/>
    </row>
    <row r="457" spans="6:8" s="28" customFormat="1">
      <c r="F457" s="33"/>
      <c r="H457" s="34"/>
    </row>
    <row r="458" spans="6:8" s="28" customFormat="1">
      <c r="F458" s="33"/>
      <c r="H458" s="34"/>
    </row>
    <row r="459" spans="6:8" s="28" customFormat="1">
      <c r="F459" s="33"/>
      <c r="H459" s="34"/>
    </row>
    <row r="460" spans="6:8" s="28" customFormat="1">
      <c r="F460" s="33"/>
      <c r="H460" s="34"/>
    </row>
    <row r="461" spans="6:8" s="28" customFormat="1">
      <c r="F461" s="33"/>
      <c r="H461" s="34"/>
    </row>
    <row r="462" spans="6:8" s="28" customFormat="1">
      <c r="F462" s="33"/>
      <c r="H462" s="34"/>
    </row>
    <row r="463" spans="6:8" s="28" customFormat="1">
      <c r="F463" s="33"/>
      <c r="H463" s="34"/>
    </row>
    <row r="464" spans="6:8" s="28" customFormat="1">
      <c r="F464" s="33"/>
      <c r="H464" s="34"/>
    </row>
    <row r="465" spans="6:8" s="28" customFormat="1">
      <c r="F465" s="33"/>
      <c r="H465" s="34"/>
    </row>
    <row r="466" spans="6:8" s="28" customFormat="1">
      <c r="F466" s="33"/>
      <c r="H466" s="34"/>
    </row>
    <row r="467" spans="6:8" s="28" customFormat="1">
      <c r="F467" s="33"/>
      <c r="H467" s="34"/>
    </row>
    <row r="468" spans="6:8" s="28" customFormat="1">
      <c r="F468" s="33"/>
      <c r="H468" s="34"/>
    </row>
    <row r="469" spans="6:8" s="28" customFormat="1">
      <c r="F469" s="33"/>
      <c r="H469" s="34"/>
    </row>
    <row r="470" spans="6:8" s="28" customFormat="1">
      <c r="F470" s="33"/>
      <c r="H470" s="34"/>
    </row>
    <row r="471" spans="6:8" s="28" customFormat="1">
      <c r="F471" s="33"/>
      <c r="H471" s="34"/>
    </row>
    <row r="472" spans="6:8" s="28" customFormat="1">
      <c r="F472" s="33"/>
      <c r="H472" s="34"/>
    </row>
    <row r="473" spans="6:8" s="28" customFormat="1">
      <c r="F473" s="33"/>
      <c r="H473" s="34"/>
    </row>
    <row r="474" spans="6:8" s="28" customFormat="1">
      <c r="F474" s="33"/>
      <c r="H474" s="34"/>
    </row>
    <row r="475" spans="6:8" s="28" customFormat="1">
      <c r="F475" s="33"/>
      <c r="H475" s="34"/>
    </row>
    <row r="476" spans="6:8" s="28" customFormat="1">
      <c r="F476" s="33"/>
      <c r="H476" s="34"/>
    </row>
    <row r="477" spans="6:8" s="28" customFormat="1">
      <c r="F477" s="33"/>
      <c r="H477" s="34"/>
    </row>
    <row r="478" spans="6:8" s="28" customFormat="1">
      <c r="F478" s="33"/>
      <c r="H478" s="34"/>
    </row>
    <row r="479" spans="6:8" s="28" customFormat="1">
      <c r="F479" s="33"/>
      <c r="H479" s="34"/>
    </row>
    <row r="480" spans="6:8" s="28" customFormat="1">
      <c r="F480" s="33"/>
      <c r="H480" s="34"/>
    </row>
    <row r="481" spans="6:8" s="28" customFormat="1">
      <c r="F481" s="33"/>
      <c r="H481" s="34"/>
    </row>
    <row r="482" spans="6:8" s="28" customFormat="1">
      <c r="F482" s="33"/>
      <c r="H482" s="34"/>
    </row>
    <row r="483" spans="6:8" s="28" customFormat="1">
      <c r="F483" s="33"/>
      <c r="H483" s="34"/>
    </row>
    <row r="484" spans="6:8" s="28" customFormat="1">
      <c r="F484" s="33"/>
      <c r="H484" s="34"/>
    </row>
    <row r="485" spans="6:8" s="28" customFormat="1">
      <c r="F485" s="33"/>
      <c r="H485" s="34"/>
    </row>
    <row r="486" spans="6:8" s="28" customFormat="1">
      <c r="F486" s="33"/>
      <c r="H486" s="34"/>
    </row>
    <row r="487" spans="6:8" s="28" customFormat="1">
      <c r="F487" s="33"/>
      <c r="H487" s="34"/>
    </row>
    <row r="488" spans="6:8" s="28" customFormat="1">
      <c r="F488" s="33"/>
      <c r="H488" s="34"/>
    </row>
    <row r="489" spans="6:8" s="28" customFormat="1">
      <c r="F489" s="33"/>
      <c r="H489" s="34"/>
    </row>
    <row r="490" spans="6:8" s="28" customFormat="1">
      <c r="F490" s="33"/>
      <c r="H490" s="34"/>
    </row>
    <row r="491" spans="6:8" s="28" customFormat="1">
      <c r="F491" s="33"/>
      <c r="H491" s="34"/>
    </row>
    <row r="492" spans="6:8" s="28" customFormat="1">
      <c r="F492" s="33"/>
      <c r="H492" s="34"/>
    </row>
    <row r="493" spans="6:8" s="28" customFormat="1">
      <c r="F493" s="33"/>
      <c r="H493" s="34"/>
    </row>
    <row r="494" spans="6:8" s="28" customFormat="1">
      <c r="F494" s="33"/>
      <c r="H494" s="34"/>
    </row>
    <row r="495" spans="6:8" s="28" customFormat="1">
      <c r="F495" s="33"/>
      <c r="H495" s="34"/>
    </row>
    <row r="496" spans="6:8" s="28" customFormat="1">
      <c r="F496" s="33"/>
      <c r="H496" s="34"/>
    </row>
    <row r="497" spans="6:8" s="28" customFormat="1">
      <c r="F497" s="33"/>
      <c r="H497" s="34"/>
    </row>
    <row r="498" spans="6:8" s="28" customFormat="1">
      <c r="F498" s="33"/>
      <c r="H498" s="34"/>
    </row>
    <row r="499" spans="6:8" s="28" customFormat="1">
      <c r="F499" s="33"/>
      <c r="H499" s="34"/>
    </row>
    <row r="500" spans="6:8" s="28" customFormat="1">
      <c r="F500" s="33"/>
      <c r="H500" s="34"/>
    </row>
    <row r="501" spans="6:8" s="28" customFormat="1">
      <c r="F501" s="33"/>
      <c r="H501" s="34"/>
    </row>
    <row r="502" spans="6:8" s="28" customFormat="1">
      <c r="F502" s="33"/>
      <c r="H502" s="34"/>
    </row>
    <row r="503" spans="6:8" s="28" customFormat="1">
      <c r="F503" s="33"/>
      <c r="H503" s="34"/>
    </row>
    <row r="504" spans="6:8" s="28" customFormat="1">
      <c r="F504" s="33"/>
      <c r="H504" s="34"/>
    </row>
    <row r="505" spans="6:8" s="28" customFormat="1">
      <c r="F505" s="33"/>
      <c r="H505" s="34"/>
    </row>
    <row r="506" spans="6:8" s="28" customFormat="1">
      <c r="F506" s="33"/>
      <c r="H506" s="34"/>
    </row>
    <row r="507" spans="6:8" s="28" customFormat="1">
      <c r="F507" s="33"/>
      <c r="H507" s="34"/>
    </row>
    <row r="508" spans="6:8" s="28" customFormat="1">
      <c r="F508" s="33"/>
      <c r="H508" s="34"/>
    </row>
    <row r="509" spans="6:8" s="28" customFormat="1">
      <c r="F509" s="33"/>
      <c r="H509" s="34"/>
    </row>
    <row r="510" spans="6:8" s="28" customFormat="1">
      <c r="F510" s="33"/>
      <c r="H510" s="34"/>
    </row>
    <row r="511" spans="6:8" s="28" customFormat="1">
      <c r="F511" s="33"/>
      <c r="H511" s="34"/>
    </row>
    <row r="512" spans="6:8" s="28" customFormat="1">
      <c r="F512" s="33"/>
      <c r="H512" s="34"/>
    </row>
    <row r="513" spans="6:8" s="28" customFormat="1">
      <c r="F513" s="33"/>
      <c r="H513" s="34"/>
    </row>
    <row r="514" spans="6:8" s="28" customFormat="1">
      <c r="F514" s="33"/>
      <c r="H514" s="34"/>
    </row>
    <row r="515" spans="6:8" s="28" customFormat="1">
      <c r="F515" s="33"/>
      <c r="H515" s="34"/>
    </row>
    <row r="516" spans="6:8" s="28" customFormat="1">
      <c r="F516" s="33"/>
      <c r="H516" s="34"/>
    </row>
    <row r="517" spans="6:8" s="28" customFormat="1">
      <c r="F517" s="33"/>
      <c r="H517" s="34"/>
    </row>
    <row r="518" spans="6:8" s="28" customFormat="1">
      <c r="F518" s="33"/>
      <c r="H518" s="34"/>
    </row>
    <row r="519" spans="6:8" s="28" customFormat="1">
      <c r="F519" s="33"/>
      <c r="H519" s="34"/>
    </row>
    <row r="520" spans="6:8" s="28" customFormat="1">
      <c r="F520" s="33"/>
      <c r="H520" s="34"/>
    </row>
    <row r="521" spans="6:8" s="28" customFormat="1">
      <c r="F521" s="33"/>
      <c r="H521" s="34"/>
    </row>
    <row r="522" spans="6:8" s="28" customFormat="1">
      <c r="F522" s="33"/>
      <c r="H522" s="34"/>
    </row>
    <row r="523" spans="6:8" s="28" customFormat="1">
      <c r="F523" s="33"/>
      <c r="H523" s="34"/>
    </row>
    <row r="524" spans="6:8" s="28" customFormat="1">
      <c r="F524" s="33"/>
      <c r="H524" s="34"/>
    </row>
    <row r="525" spans="6:8" s="28" customFormat="1">
      <c r="F525" s="33"/>
      <c r="H525" s="34"/>
    </row>
    <row r="526" spans="6:8" s="28" customFormat="1">
      <c r="F526" s="33"/>
      <c r="H526" s="34"/>
    </row>
    <row r="527" spans="6:8" s="28" customFormat="1">
      <c r="F527" s="33"/>
      <c r="H527" s="34"/>
    </row>
    <row r="528" spans="6:8" s="28" customFormat="1">
      <c r="F528" s="33"/>
      <c r="H528" s="34"/>
    </row>
    <row r="529" spans="6:8" s="28" customFormat="1">
      <c r="F529" s="33"/>
      <c r="H529" s="34"/>
    </row>
  </sheetData>
  <mergeCells count="2">
    <mergeCell ref="B1:H1"/>
    <mergeCell ref="B2:H2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MACMF</vt:lpstr>
      <vt:lpstr>MAEBF</vt:lpstr>
      <vt:lpstr>MICCF</vt:lpstr>
      <vt:lpstr>MICHF</vt:lpstr>
      <vt:lpstr>MIGCS</vt:lpstr>
      <vt:lpstr>MIIOF</vt:lpstr>
      <vt:lpstr>MILPF</vt:lpstr>
      <vt:lpstr>MISTB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Anshul-a Jain</dc:creator>
  <cp:lastModifiedBy>Vratika Trivedi</cp:lastModifiedBy>
  <dcterms:created xsi:type="dcterms:W3CDTF">2015-04-06T10:33:44Z</dcterms:created>
  <dcterms:modified xsi:type="dcterms:W3CDTF">2015-04-09T06:44:59Z</dcterms:modified>
</cp:coreProperties>
</file>