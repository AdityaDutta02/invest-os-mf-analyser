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2\2024\February\Monthly Work\MIRAE Portfolio\Monthly\New folder\"/>
    </mc:Choice>
  </mc:AlternateContent>
  <bookViews>
    <workbookView xWindow="0" yWindow="0" windowWidth="28800" windowHeight="10935"/>
  </bookViews>
  <sheets>
    <sheet name="MAUSF" sheetId="1" r:id="rId1"/>
  </sheets>
  <definedNames>
    <definedName name="_xlnm._FilterDatabase" localSheetId="0" hidden="1">MAUSF!$D$1:$D$96</definedName>
    <definedName name="JR_PAGE_ANCHOR_0_1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19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8">#REF!</definedName>
    <definedName name="JR_PAGE_ANCHOR_0_3">#REF!</definedName>
    <definedName name="JR_PAGE_ANCHOR_0_30">#REF!</definedName>
    <definedName name="JR_PAGE_ANCHOR_0_31">#REF!</definedName>
    <definedName name="JR_PAGE_ANCHOR_0_34">#REF!</definedName>
    <definedName name="JR_PAGE_ANCHOR_0_35">#REF!</definedName>
    <definedName name="JR_PAGE_ANCHOR_0_38">#REF!</definedName>
    <definedName name="JR_PAGE_ANCHOR_0_39">#REF!</definedName>
    <definedName name="JR_PAGE_ANCHOR_0_4">#REF!</definedName>
    <definedName name="JR_PAGE_ANCHOR_0_41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MAUSF!$A$5</definedName>
    <definedName name="JR_PAGE_ANCHOR_0_49">#REF!</definedName>
    <definedName name="JR_PAGE_ANCHOR_0_5">#REF!</definedName>
    <definedName name="JR_PAGE_ANCHOR_0_50">#REF!</definedName>
    <definedName name="JR_PAGE_ANCHOR_0_52">#REF!</definedName>
    <definedName name="JR_PAGE_ANCHOR_0_53">#REF!</definedName>
    <definedName name="JR_PAGE_ANCHOR_0_6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4" i="1" l="1"/>
  <c r="G77" i="1" s="1"/>
  <c r="F74" i="1"/>
  <c r="F77" i="1" s="1"/>
  <c r="G70" i="1"/>
  <c r="G71" i="1" s="1"/>
  <c r="F70" i="1"/>
  <c r="F71" i="1" s="1"/>
  <c r="G65" i="1"/>
  <c r="F65" i="1"/>
  <c r="G61" i="1"/>
  <c r="F61" i="1"/>
  <c r="G49" i="1"/>
  <c r="F49" i="1"/>
  <c r="G26" i="1"/>
  <c r="G29" i="1" s="1"/>
  <c r="F26" i="1"/>
  <c r="F29" i="1" s="1"/>
  <c r="G79" i="1" l="1"/>
  <c r="G66" i="1"/>
  <c r="F66" i="1"/>
  <c r="F79" i="1"/>
</calcChain>
</file>

<file path=xl/sharedStrings.xml><?xml version="1.0" encoding="utf-8"?>
<sst xmlns="http://schemas.openxmlformats.org/spreadsheetml/2006/main" count="231" uniqueCount="177">
  <si>
    <t>Home</t>
  </si>
  <si>
    <t>Mirae Asset Ultra Short Duration Fund</t>
  </si>
  <si>
    <t>An Open ended ultra-short term debt scheme investing in instruments such that the Macaulay duration* of the portfolio is between 3 months to 6 months (*please refer to page no.38 of the SID). A relatively low interest rate risk and moderate credit risk.</t>
  </si>
  <si>
    <t>EOPR24</t>
  </si>
  <si>
    <t>SIDB445</t>
  </si>
  <si>
    <t>BHFL84</t>
  </si>
  <si>
    <t>LICH585</t>
  </si>
  <si>
    <t>OPAL34</t>
  </si>
  <si>
    <t>NBAR646</t>
  </si>
  <si>
    <t>CANB939</t>
  </si>
  <si>
    <t>HDFB924</t>
  </si>
  <si>
    <t>SIDB496</t>
  </si>
  <si>
    <t>INBK397</t>
  </si>
  <si>
    <t>HDFB927</t>
  </si>
  <si>
    <t>UTIB1291</t>
  </si>
  <si>
    <t>UTIB1293</t>
  </si>
  <si>
    <t>HDFB923</t>
  </si>
  <si>
    <t>HDFB833</t>
  </si>
  <si>
    <t>SBAI222</t>
  </si>
  <si>
    <t>UTIB1281</t>
  </si>
  <si>
    <t>IBCL1152</t>
  </si>
  <si>
    <t>KMBK834</t>
  </si>
  <si>
    <t>KMBK837</t>
  </si>
  <si>
    <t>AFPL136</t>
  </si>
  <si>
    <t>EXIM741</t>
  </si>
  <si>
    <t>UNBI354</t>
  </si>
  <si>
    <t>RECL441</t>
  </si>
  <si>
    <t>MOFS156</t>
  </si>
  <si>
    <t>IIFW277</t>
  </si>
  <si>
    <t>MOFV59</t>
  </si>
  <si>
    <t>GODP217</t>
  </si>
  <si>
    <t>SIDB526</t>
  </si>
  <si>
    <t>EDEL330</t>
  </si>
  <si>
    <t>BGHP113</t>
  </si>
  <si>
    <t>IGHL23</t>
  </si>
  <si>
    <t>ISLI20</t>
  </si>
  <si>
    <t>TBIL2239</t>
  </si>
  <si>
    <t>TBIL2175</t>
  </si>
  <si>
    <t>CDMD50ME</t>
  </si>
  <si>
    <t>TRP_011123</t>
  </si>
  <si>
    <t>* in case of semi annual YTM,  it will be annualised </t>
  </si>
  <si>
    <t>Monthly Portfolio Statement as on January 31,2024</t>
  </si>
  <si>
    <t>Name of the Instrument</t>
  </si>
  <si>
    <t>ISIN</t>
  </si>
  <si>
    <t>Rating</t>
  </si>
  <si>
    <t>Quantity</t>
  </si>
  <si>
    <t>Market/Fair Value(Rs. in Lacs)**#</t>
  </si>
  <si>
    <t>% to Net Assets</t>
  </si>
  <si>
    <t>YTM</t>
  </si>
  <si>
    <t>Debt Instruments</t>
  </si>
  <si>
    <t>(a) Listed / awaiting listing on Stock Exchange</t>
  </si>
  <si>
    <t>INE261F08DD2</t>
  </si>
  <si>
    <t>ICRA AAA</t>
  </si>
  <si>
    <t>INE020B08BV7</t>
  </si>
  <si>
    <t>CRISIL AAA</t>
  </si>
  <si>
    <t>INE261F08DI1</t>
  </si>
  <si>
    <t>INE121A07PN4</t>
  </si>
  <si>
    <t>ICRA AA+</t>
  </si>
  <si>
    <t>INE041007076</t>
  </si>
  <si>
    <t>INE115A07PS5</t>
  </si>
  <si>
    <t>CARE AAA</t>
  </si>
  <si>
    <t>INE163N08230</t>
  </si>
  <si>
    <t>CRISIL AA</t>
  </si>
  <si>
    <t>INE020B08CK8</t>
  </si>
  <si>
    <t>INE403D08132</t>
  </si>
  <si>
    <t>CRISIL AA+</t>
  </si>
  <si>
    <t>INE134E08KP3</t>
  </si>
  <si>
    <t>INE115A07LS4</t>
  </si>
  <si>
    <t>8.16% Jharkhand SDL (MD 14/01/2025)</t>
  </si>
  <si>
    <t>IN3720140026</t>
  </si>
  <si>
    <t>SOVEREIGN</t>
  </si>
  <si>
    <t>8.14% Kerala SDL (MD 14/01/2025)</t>
  </si>
  <si>
    <t>IN2020140132</t>
  </si>
  <si>
    <t>8.17% West Bangal SDL (MD 10/12/2024)</t>
  </si>
  <si>
    <t>IN3420140110</t>
  </si>
  <si>
    <t>INE403D08181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</si>
  <si>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</si>
  <si>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</si>
  <si>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</si>
  <si>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</si>
  <si>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</si>
  <si>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</si>
  <si>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Punjab National Bank (MD 02/04/2024)  #</t>
  </si>
  <si>
    <t>INE160A16OD7</t>
  </si>
  <si>
    <t>CRISIL A1+</t>
  </si>
  <si>
    <t>Canara Bank (MD 15/05/2024)  #</t>
  </si>
  <si>
    <t>INE476A16XH9</t>
  </si>
  <si>
    <t>State Bank of India (MD 17/05/2024) ** #</t>
  </si>
  <si>
    <t>INE062A16499</t>
  </si>
  <si>
    <t>CARE A1+</t>
  </si>
  <si>
    <t>Axis Bank Limited (MD 17/05/2024)  #</t>
  </si>
  <si>
    <t>INE238AD6413</t>
  </si>
  <si>
    <t>Kotak Mahindra Bank Limited (MD 07/06/2024) ** #</t>
  </si>
  <si>
    <t>INE237A163U1</t>
  </si>
  <si>
    <t>Bank of Baroda (MD 13/06/2024)  #</t>
  </si>
  <si>
    <t>INE028A16EN6</t>
  </si>
  <si>
    <t>FITCH A1+</t>
  </si>
  <si>
    <t>ICICI Bank Limited (MD 12/06/2024) ** #</t>
  </si>
  <si>
    <t>INE090AD6089</t>
  </si>
  <si>
    <t>ICRA A1+</t>
  </si>
  <si>
    <t>Bank of Baroda (MD 27/05/2024) ** #</t>
  </si>
  <si>
    <t>INE028A16EI6</t>
  </si>
  <si>
    <t>HDFC Bank Limited (MD 13/09/2024) ** #</t>
  </si>
  <si>
    <t>INE040A16DX2</t>
  </si>
  <si>
    <t>ICICI Bank Limited (MD 13/06/2024) ** #</t>
  </si>
  <si>
    <t>INE090A169Z3</t>
  </si>
  <si>
    <t>Kotak Mahindra Bank Limited (MD 26/06/2024) ** #</t>
  </si>
  <si>
    <t>INE237A164U9</t>
  </si>
  <si>
    <t>Small Industries Dev Bank of India (MD 21/06/2024) ** #</t>
  </si>
  <si>
    <t>INE556F16AL7</t>
  </si>
  <si>
    <t>Axis Bank Limited (MD 20/06/2024) ** #</t>
  </si>
  <si>
    <t>INE238AD6447</t>
  </si>
  <si>
    <t>Axis Bank Limited (MD 21/06/2024) ** #</t>
  </si>
  <si>
    <t>INE238AD6561</t>
  </si>
  <si>
    <t>Kotak Mahindra Bank Limited (MD 06/09/2024) ** #</t>
  </si>
  <si>
    <t>INE237A166U4</t>
  </si>
  <si>
    <t>AU Small Finance Bank Limited (MD 04/09/2024) ** #</t>
  </si>
  <si>
    <t>INE949L16BX5</t>
  </si>
  <si>
    <t>Export Import Bank of India (MD 14/03/2024)  #</t>
  </si>
  <si>
    <t>INE514E16CE0</t>
  </si>
  <si>
    <t>Commercial Paper</t>
  </si>
  <si>
    <t xml:space="preserve">Motilal Oswal Finvest Limited (MD 07/03/2024) ** </t>
  </si>
  <si>
    <t>INE01WN14892</t>
  </si>
  <si>
    <t xml:space="preserve">Nuvama Wealth Management Limited (MD 13/02/2024) ** </t>
  </si>
  <si>
    <t>INE531F14DL9</t>
  </si>
  <si>
    <t xml:space="preserve">Motilal Oswal Financial Services Limited (MD 06/03/2024) ** </t>
  </si>
  <si>
    <t>INE338I14GE1</t>
  </si>
  <si>
    <t xml:space="preserve">Birla Group Holdings Private Limited (MD 13/03/2024) ** </t>
  </si>
  <si>
    <t>INE09OL14CR1</t>
  </si>
  <si>
    <t xml:space="preserve">IGH Holdings Private Limited (MD 19/03/2024) ** </t>
  </si>
  <si>
    <t>INE02FN14176</t>
  </si>
  <si>
    <t xml:space="preserve">IIFL Samasta Finance Limited (MD 24/04/2024) ** </t>
  </si>
  <si>
    <t>INE413U14224</t>
  </si>
  <si>
    <t xml:space="preserve">Motilal Oswal Financial Services Limited (MD 23/08/2024) ** </t>
  </si>
  <si>
    <t>INE338I14FH6</t>
  </si>
  <si>
    <t xml:space="preserve">Shriram Housing Finance Limited (MD 28/08/2024) ** </t>
  </si>
  <si>
    <t>INE432R14253</t>
  </si>
  <si>
    <t xml:space="preserve">Angel One Limited (MD 15/02/2024) ** </t>
  </si>
  <si>
    <t>INE732I14693</t>
  </si>
  <si>
    <t xml:space="preserve">Muthoot Finance Limited (MD 15/05/2024) ** </t>
  </si>
  <si>
    <t>INE414G14SW1</t>
  </si>
  <si>
    <t>Treasury Bill</t>
  </si>
  <si>
    <t>182 Days Tbill (MD 13/06/2024)</t>
  </si>
  <si>
    <t>IN002023Y383</t>
  </si>
  <si>
    <t>182 Days Tbill (MD 20/06/2024)</t>
  </si>
  <si>
    <t>IN002023Y391</t>
  </si>
  <si>
    <t>Others</t>
  </si>
  <si>
    <t>Corporate Debt Market Development Fund</t>
  </si>
  <si>
    <t>Class A2 units of Corporate Debt Market Development Fund #</t>
  </si>
  <si>
    <t>INF0RQ622028</t>
  </si>
  <si>
    <t>TREPS / Reverse Repo</t>
  </si>
  <si>
    <t>TREPS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</si>
  <si>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</si>
  <si>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</si>
  <si>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</si>
  <si>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</si>
  <si>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</si>
  <si>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>Modified duration</t>
  </si>
  <si>
    <t>Portfolio Information</t>
  </si>
  <si>
    <t>Scheme Name :</t>
  </si>
  <si>
    <t>Description (if any)</t>
  </si>
  <si>
    <t>Annualised Portfolio YTM* :</t>
  </si>
  <si>
    <t>Macaulay Duration</t>
  </si>
  <si>
    <t>Residual Maturity (Average Maturity) (in days)</t>
  </si>
  <si>
    <t xml:space="preserve">As on (Date) </t>
  </si>
  <si>
    <t xml:space="preserve">5.27% National Bank For Agriculture and Rural Development (MD 29/04/2024)  </t>
  </si>
  <si>
    <t xml:space="preserve">8.1% REC Limited (MD 25/06/2024) ** </t>
  </si>
  <si>
    <t xml:space="preserve">5.23% National Bank For Agriculture and Rural Development (MD 31/01/2025)  </t>
  </si>
  <si>
    <t xml:space="preserve">7.38% Cholamandalam Investment and Finance Company Ltd (MD 31/07/2024) ** </t>
  </si>
  <si>
    <t xml:space="preserve">6.25% Embassy Office Parks REIT (MD 18/10/2024) ** </t>
  </si>
  <si>
    <t xml:space="preserve">5.75% LIC Housing Finance Limited (MD 14/06/2024) ** </t>
  </si>
  <si>
    <t xml:space="preserve">8.57% ONGC Petro Additions Limited (MD 11/09/2024)  </t>
  </si>
  <si>
    <t xml:space="preserve">6.88% REC Limited (MD 20/03/2025) ** </t>
  </si>
  <si>
    <t xml:space="preserve">8.8% Bharti Telecom Limited (MD 21/11/2025) ** </t>
  </si>
  <si>
    <t xml:space="preserve">7.16% Power Finance Corporation Limited (MD 24/04/2025)  </t>
  </si>
  <si>
    <t xml:space="preserve">7.9% LIC Housing Finance Limited (MD 08/05/2024) ** </t>
  </si>
  <si>
    <t xml:space="preserve">8.9% Bharti Telecom Limited (MD 04/12/2025) **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</si>
</sst>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%;\(#,##0.00\)%"/>
    <numFmt numFmtId="165" formatCode="#,##0.00%"/>
    <numFmt numFmtId="166" formatCode="#,##0.000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Book Antiqua"/>
      <family val="1"/>
    </font>
    <font>
      <b/>
      <sz val="9"/>
      <color rgb="FF000000"/>
      <name val="Book Antiqua"/>
      <family val="1"/>
    </font>
    <font>
      <sz val="11"/>
      <color rgb="FF000000"/>
      <name val="Book Antiqua"/>
      <family val="1"/>
    </font>
    <font>
      <sz val="10"/>
      <color theme="1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7">
    <xf numFmtId="0" fontId="0" fillId="0" borderId="0" xfId="0"/>
    <xf numFmtId="0" fontId="2" fillId="2" borderId="0" xfId="2" applyNumberFormat="1" applyFill="1" applyBorder="1" applyAlignment="1" applyProtection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9" fontId="0" fillId="0" borderId="0" xfId="0" applyNumberFormat="1"/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3" fontId="6" fillId="0" borderId="13" xfId="0" applyNumberFormat="1" applyFont="1" applyBorder="1" applyAlignment="1">
      <alignment horizontal="right" vertical="top" wrapText="1"/>
    </xf>
    <xf numFmtId="2" fontId="6" fillId="0" borderId="13" xfId="0" applyNumberFormat="1" applyFont="1" applyBorder="1" applyAlignment="1">
      <alignment horizontal="right" vertical="top" wrapText="1"/>
    </xf>
    <xf numFmtId="164" fontId="6" fillId="0" borderId="13" xfId="0" applyNumberFormat="1" applyFont="1" applyBorder="1" applyAlignment="1">
      <alignment horizontal="right" vertical="top" wrapText="1"/>
    </xf>
    <xf numFmtId="165" fontId="8" fillId="0" borderId="15" xfId="0" applyNumberFormat="1" applyFont="1" applyBorder="1" applyAlignment="1">
      <alignment horizontal="right" vertical="top" wrapText="1"/>
    </xf>
    <xf numFmtId="2" fontId="5" fillId="0" borderId="16" xfId="0" applyNumberFormat="1" applyFont="1" applyBorder="1" applyAlignment="1">
      <alignment horizontal="right" vertical="top" wrapText="1"/>
    </xf>
    <xf numFmtId="164" fontId="5" fillId="0" borderId="17" xfId="0" applyNumberFormat="1" applyFont="1" applyBorder="1" applyAlignment="1">
      <alignment horizontal="right" vertical="top" wrapText="1"/>
    </xf>
    <xf numFmtId="0" fontId="5" fillId="0" borderId="18" xfId="0" applyFont="1" applyBorder="1" applyAlignment="1">
      <alignment horizontal="right" vertical="top" wrapText="1"/>
    </xf>
    <xf numFmtId="0" fontId="5" fillId="0" borderId="19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2" fontId="5" fillId="0" borderId="17" xfId="0" applyNumberFormat="1" applyFont="1" applyBorder="1" applyAlignment="1">
      <alignment horizontal="right" vertical="top" wrapText="1"/>
    </xf>
    <xf numFmtId="0" fontId="6" fillId="0" borderId="16" xfId="0" applyFont="1" applyBorder="1" applyAlignment="1">
      <alignment horizontal="left" vertical="top" wrapText="1"/>
    </xf>
    <xf numFmtId="2" fontId="6" fillId="0" borderId="13" xfId="0" applyNumberFormat="1" applyFont="1" applyBorder="1" applyAlignment="1">
      <alignment horizontal="left" vertical="top" wrapText="1"/>
    </xf>
    <xf numFmtId="164" fontId="6" fillId="0" borderId="14" xfId="0" applyNumberFormat="1" applyFont="1" applyBorder="1" applyAlignment="1">
      <alignment horizontal="left" vertical="top" wrapText="1"/>
    </xf>
    <xf numFmtId="166" fontId="6" fillId="0" borderId="13" xfId="0" applyNumberFormat="1" applyFont="1" applyBorder="1" applyAlignment="1">
      <alignment horizontal="right" vertical="top" wrapText="1"/>
    </xf>
    <xf numFmtId="0" fontId="5" fillId="0" borderId="20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2" fontId="5" fillId="0" borderId="21" xfId="0" applyNumberFormat="1" applyFont="1" applyBorder="1" applyAlignment="1">
      <alignment horizontal="right" vertical="top" wrapText="1"/>
    </xf>
    <xf numFmtId="0" fontId="5" fillId="0" borderId="22" xfId="0" applyFont="1" applyBorder="1" applyAlignment="1">
      <alignment horizontal="right" vertical="top" wrapText="1"/>
    </xf>
    <xf numFmtId="14" fontId="10" fillId="0" borderId="27" xfId="0" applyNumberFormat="1" applyFont="1" applyBorder="1" applyAlignment="1">
      <alignment horizontal="right" vertical="center" wrapText="1"/>
    </xf>
    <xf numFmtId="0" fontId="10" fillId="0" borderId="0" xfId="0" applyFont="1"/>
    <xf numFmtId="14" fontId="10" fillId="0" borderId="0" xfId="0" applyNumberFormat="1" applyFont="1" applyAlignment="1">
      <alignment horizontal="justify" vertical="center" wrapText="1"/>
    </xf>
    <xf numFmtId="10" fontId="5" fillId="0" borderId="16" xfId="1" applyNumberFormat="1" applyFont="1" applyBorder="1" applyAlignment="1">
      <alignment horizontal="right" vertical="top" wrapText="1"/>
    </xf>
    <xf numFmtId="10" fontId="5" fillId="0" borderId="21" xfId="1" applyNumberFormat="1" applyFont="1" applyBorder="1" applyAlignment="1">
      <alignment horizontal="right" vertical="top" wrapText="1"/>
    </xf>
    <xf numFmtId="3" fontId="6" fillId="0" borderId="13" xfId="0" applyNumberFormat="1" applyFont="1" applyBorder="1" applyAlignment="1">
      <alignment horizontal="left" vertical="top" wrapText="1"/>
    </xf>
    <xf numFmtId="2" fontId="10" fillId="0" borderId="24" xfId="0" applyNumberFormat="1" applyFont="1" applyBorder="1" applyAlignment="1">
      <alignment horizontal="justify" vertical="center" wrapText="1"/>
    </xf>
    <xf numFmtId="2" fontId="10" fillId="0" borderId="25" xfId="0" applyNumberFormat="1" applyFont="1" applyBorder="1" applyAlignment="1">
      <alignment horizontal="justify" vertical="center" wrapText="1"/>
    </xf>
    <xf numFmtId="2" fontId="10" fillId="0" borderId="26" xfId="0" applyNumberFormat="1" applyFont="1" applyBorder="1" applyAlignment="1">
      <alignment horizontal="justify" vertical="center" wrapText="1"/>
    </xf>
    <xf numFmtId="2" fontId="10" fillId="0" borderId="27" xfId="0" applyNumberFormat="1" applyFont="1" applyBorder="1" applyAlignment="1">
      <alignment horizontal="left" vertical="center" wrapText="1"/>
    </xf>
    <xf numFmtId="2" fontId="10" fillId="0" borderId="27" xfId="0" applyNumberFormat="1" applyFont="1" applyBorder="1" applyAlignment="1">
      <alignment horizontal="justify" vertical="center" wrapText="1"/>
    </xf>
    <xf numFmtId="2" fontId="11" fillId="0" borderId="23" xfId="0" applyNumberFormat="1" applyFont="1" applyBorder="1" applyAlignment="1">
      <alignment horizontal="left" vertical="top" wrapText="1"/>
    </xf>
    <xf numFmtId="2" fontId="12" fillId="0" borderId="23" xfId="0" applyNumberFormat="1" applyFont="1" applyBorder="1" applyAlignment="1">
      <alignment horizontal="right" vertical="center"/>
    </xf>
    <xf numFmtId="2" fontId="10" fillId="0" borderId="0" xfId="0" applyNumberFormat="1" applyFont="1"/>
    <xf numFmtId="2" fontId="13" fillId="0" borderId="27" xfId="0" applyNumberFormat="1" applyFont="1" applyBorder="1" applyAlignment="1">
      <alignment wrapText="1"/>
    </xf>
    <xf numFmtId="2" fontId="13" fillId="0" borderId="26" xfId="0" applyNumberFormat="1" applyFont="1" applyBorder="1" applyAlignment="1">
      <alignment wrapText="1"/>
    </xf>
    <xf numFmtId="10" fontId="12" fillId="0" borderId="23" xfId="1" applyNumberFormat="1" applyFont="1" applyBorder="1" applyAlignment="1">
      <alignment horizontal="right" vertical="center"/>
    </xf>
    <xf numFmtId="2" fontId="12" fillId="0" borderId="23" xfId="1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top" wrapText="1"/>
    </xf>
    <xf numFmtId="0" fontId="4" fillId="2" borderId="0" xfId="0" applyFont="1" applyFill="1" applyAlignment="1">
      <alignment horizontal="center" vertical="top" wrapText="1"/>
    </xf>
    <xf numFmtId="0" fontId="4" fillId="2" borderId="5" xfId="0" applyFont="1" applyFill="1" applyBorder="1" applyAlignment="1">
      <alignment horizontal="center" vertical="top" wrapText="1"/>
    </xf>
    <xf numFmtId="0" fontId="4" fillId="2" borderId="6" xfId="0" applyFont="1" applyFill="1" applyBorder="1" applyAlignment="1">
      <alignment horizontal="center" vertical="top" wrapText="1"/>
    </xf>
    <xf numFmtId="0" fontId="4" fillId="2" borderId="7" xfId="0" applyFont="1" applyFill="1" applyBorder="1" applyAlignment="1">
      <alignment horizontal="center" vertical="top" wrapText="1"/>
    </xf>
    <xf numFmtId="0" fontId="4" fillId="2" borderId="8" xfId="0" applyFont="1" applyFill="1" applyBorder="1" applyAlignment="1">
      <alignment horizontal="center" vertical="top" wrapText="1"/>
    </xf>
    <xf numFmtId="2" fontId="0" fillId="0" borderId="0" xfId="1" applyNumberFormat="1" applyFont="1"/>
  </cellXfs>
  <cellStyles count="3">
    <cellStyle name="Hyperlink" xfId="2" builtinId="8"/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0</xdr:row>
      <xdr:rowOff>0</xdr:rowOff>
    </xdr:from>
    <xdr:to>
      <xdr:col>1</xdr:col>
      <xdr:colOff>1181100</xdr:colOff>
      <xdr:row>2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7782D59F-C118-45B1-80C8-0971DE6B2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0"/>
          <a:ext cx="9810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981075</xdr:colOff>
      <xdr:row>96</xdr:row>
      <xdr:rowOff>66675</xdr:rowOff>
    </xdr:from>
    <xdr:to>
      <xdr:col>7</xdr:col>
      <xdr:colOff>1009650</xdr:colOff>
      <xdr:row>104</xdr:row>
      <xdr:rowOff>104775</xdr:rowOff>
    </xdr:to>
    <xdr:pic>
      <xdr:nvPicPr>
        <xdr:cNvPr id="3" name="Picture 5">
          <a:extLst>
            <a:ext uri="{FF2B5EF4-FFF2-40B4-BE49-F238E27FC236}">
              <a16:creationId xmlns:a16="http://schemas.microsoft.com/office/drawing/2014/main" xmlns="" id="{3D3530B0-AFC8-413D-A8F7-230D87E0C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7650" y="17287875"/>
          <a:ext cx="3371850" cy="156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97</xdr:row>
      <xdr:rowOff>19050</xdr:rowOff>
    </xdr:from>
    <xdr:to>
      <xdr:col>3</xdr:col>
      <xdr:colOff>1457325</xdr:colOff>
      <xdr:row>104</xdr:row>
      <xdr:rowOff>19050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xmlns="" id="{E195DE22-DF40-4494-8CF3-5B5BB240B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7430750"/>
          <a:ext cx="7038975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outlinePr summaryBelow="0"/>
  </sheetPr>
  <dimension ref="A1:J96"/>
  <sheetViews>
    <sheetView tabSelected="1" topLeftCell="A46" workbookViewId="0">
      <selection activeCell="J68" sqref="J68"/>
    </sheetView>
  </sheetViews>
  <sheetFormatPr defaultRowHeight="15"/>
  <cols>
    <col min="1" max="1" width="3.28515625" customWidth="1"/>
    <col min="2" max="2" width="67" bestFit="1" customWidth="1"/>
    <col min="3" max="3" width="16.7109375" customWidth="1"/>
    <col min="4" max="4" width="33.28515625" customWidth="1"/>
    <col min="5" max="8" width="16.7109375" customWidth="1"/>
    <col min="9" max="9" width="9.28515625" style="4" customWidth="1"/>
    <col min="257" max="257" width="3.28515625" customWidth="1"/>
    <col min="258" max="258" width="50" customWidth="1"/>
    <col min="259" max="259" width="16.7109375" customWidth="1"/>
    <col min="260" max="260" width="33.28515625" customWidth="1"/>
    <col min="261" max="264" width="16.7109375" customWidth="1"/>
    <col min="265" max="265" width="9.28515625" customWidth="1"/>
    <col min="513" max="513" width="3.28515625" customWidth="1"/>
    <col min="514" max="514" width="50" customWidth="1"/>
    <col min="515" max="515" width="16.7109375" customWidth="1"/>
    <col min="516" max="516" width="33.28515625" customWidth="1"/>
    <col min="517" max="520" width="16.7109375" customWidth="1"/>
    <col min="521" max="521" width="9.28515625" customWidth="1"/>
    <col min="769" max="769" width="3.28515625" customWidth="1"/>
    <col min="770" max="770" width="50" customWidth="1"/>
    <col min="771" max="771" width="16.7109375" customWidth="1"/>
    <col min="772" max="772" width="33.28515625" customWidth="1"/>
    <col min="773" max="776" width="16.7109375" customWidth="1"/>
    <col min="777" max="777" width="9.28515625" customWidth="1"/>
    <col min="1025" max="1025" width="3.28515625" customWidth="1"/>
    <col min="1026" max="1026" width="50" customWidth="1"/>
    <col min="1027" max="1027" width="16.7109375" customWidth="1"/>
    <col min="1028" max="1028" width="33.28515625" customWidth="1"/>
    <col min="1029" max="1032" width="16.7109375" customWidth="1"/>
    <col min="1033" max="1033" width="9.28515625" customWidth="1"/>
    <col min="1281" max="1281" width="3.28515625" customWidth="1"/>
    <col min="1282" max="1282" width="50" customWidth="1"/>
    <col min="1283" max="1283" width="16.7109375" customWidth="1"/>
    <col min="1284" max="1284" width="33.28515625" customWidth="1"/>
    <col min="1285" max="1288" width="16.7109375" customWidth="1"/>
    <col min="1289" max="1289" width="9.28515625" customWidth="1"/>
    <col min="1537" max="1537" width="3.28515625" customWidth="1"/>
    <col min="1538" max="1538" width="50" customWidth="1"/>
    <col min="1539" max="1539" width="16.7109375" customWidth="1"/>
    <col min="1540" max="1540" width="33.28515625" customWidth="1"/>
    <col min="1541" max="1544" width="16.7109375" customWidth="1"/>
    <col min="1545" max="1545" width="9.28515625" customWidth="1"/>
    <col min="1793" max="1793" width="3.28515625" customWidth="1"/>
    <col min="1794" max="1794" width="50" customWidth="1"/>
    <col min="1795" max="1795" width="16.7109375" customWidth="1"/>
    <col min="1796" max="1796" width="33.28515625" customWidth="1"/>
    <col min="1797" max="1800" width="16.7109375" customWidth="1"/>
    <col min="1801" max="1801" width="9.28515625" customWidth="1"/>
    <col min="2049" max="2049" width="3.28515625" customWidth="1"/>
    <col min="2050" max="2050" width="50" customWidth="1"/>
    <col min="2051" max="2051" width="16.7109375" customWidth="1"/>
    <col min="2052" max="2052" width="33.28515625" customWidth="1"/>
    <col min="2053" max="2056" width="16.7109375" customWidth="1"/>
    <col min="2057" max="2057" width="9.28515625" customWidth="1"/>
    <col min="2305" max="2305" width="3.28515625" customWidth="1"/>
    <col min="2306" max="2306" width="50" customWidth="1"/>
    <col min="2307" max="2307" width="16.7109375" customWidth="1"/>
    <col min="2308" max="2308" width="33.28515625" customWidth="1"/>
    <col min="2309" max="2312" width="16.7109375" customWidth="1"/>
    <col min="2313" max="2313" width="9.28515625" customWidth="1"/>
    <col min="2561" max="2561" width="3.28515625" customWidth="1"/>
    <col min="2562" max="2562" width="50" customWidth="1"/>
    <col min="2563" max="2563" width="16.7109375" customWidth="1"/>
    <col min="2564" max="2564" width="33.28515625" customWidth="1"/>
    <col min="2565" max="2568" width="16.7109375" customWidth="1"/>
    <col min="2569" max="2569" width="9.28515625" customWidth="1"/>
    <col min="2817" max="2817" width="3.28515625" customWidth="1"/>
    <col min="2818" max="2818" width="50" customWidth="1"/>
    <col min="2819" max="2819" width="16.7109375" customWidth="1"/>
    <col min="2820" max="2820" width="33.28515625" customWidth="1"/>
    <col min="2821" max="2824" width="16.7109375" customWidth="1"/>
    <col min="2825" max="2825" width="9.28515625" customWidth="1"/>
    <col min="3073" max="3073" width="3.28515625" customWidth="1"/>
    <col min="3074" max="3074" width="50" customWidth="1"/>
    <col min="3075" max="3075" width="16.7109375" customWidth="1"/>
    <col min="3076" max="3076" width="33.28515625" customWidth="1"/>
    <col min="3077" max="3080" width="16.7109375" customWidth="1"/>
    <col min="3081" max="3081" width="9.28515625" customWidth="1"/>
    <col min="3329" max="3329" width="3.28515625" customWidth="1"/>
    <col min="3330" max="3330" width="50" customWidth="1"/>
    <col min="3331" max="3331" width="16.7109375" customWidth="1"/>
    <col min="3332" max="3332" width="33.28515625" customWidth="1"/>
    <col min="3333" max="3336" width="16.7109375" customWidth="1"/>
    <col min="3337" max="3337" width="9.28515625" customWidth="1"/>
    <col min="3585" max="3585" width="3.28515625" customWidth="1"/>
    <col min="3586" max="3586" width="50" customWidth="1"/>
    <col min="3587" max="3587" width="16.7109375" customWidth="1"/>
    <col min="3588" max="3588" width="33.28515625" customWidth="1"/>
    <col min="3589" max="3592" width="16.7109375" customWidth="1"/>
    <col min="3593" max="3593" width="9.28515625" customWidth="1"/>
    <col min="3841" max="3841" width="3.28515625" customWidth="1"/>
    <col min="3842" max="3842" width="50" customWidth="1"/>
    <col min="3843" max="3843" width="16.7109375" customWidth="1"/>
    <col min="3844" max="3844" width="33.28515625" customWidth="1"/>
    <col min="3845" max="3848" width="16.7109375" customWidth="1"/>
    <col min="3849" max="3849" width="9.28515625" customWidth="1"/>
    <col min="4097" max="4097" width="3.28515625" customWidth="1"/>
    <col min="4098" max="4098" width="50" customWidth="1"/>
    <col min="4099" max="4099" width="16.7109375" customWidth="1"/>
    <col min="4100" max="4100" width="33.28515625" customWidth="1"/>
    <col min="4101" max="4104" width="16.7109375" customWidth="1"/>
    <col min="4105" max="4105" width="9.28515625" customWidth="1"/>
    <col min="4353" max="4353" width="3.28515625" customWidth="1"/>
    <col min="4354" max="4354" width="50" customWidth="1"/>
    <col min="4355" max="4355" width="16.7109375" customWidth="1"/>
    <col min="4356" max="4356" width="33.28515625" customWidth="1"/>
    <col min="4357" max="4360" width="16.7109375" customWidth="1"/>
    <col min="4361" max="4361" width="9.28515625" customWidth="1"/>
    <col min="4609" max="4609" width="3.28515625" customWidth="1"/>
    <col min="4610" max="4610" width="50" customWidth="1"/>
    <col min="4611" max="4611" width="16.7109375" customWidth="1"/>
    <col min="4612" max="4612" width="33.28515625" customWidth="1"/>
    <col min="4613" max="4616" width="16.7109375" customWidth="1"/>
    <col min="4617" max="4617" width="9.28515625" customWidth="1"/>
    <col min="4865" max="4865" width="3.28515625" customWidth="1"/>
    <col min="4866" max="4866" width="50" customWidth="1"/>
    <col min="4867" max="4867" width="16.7109375" customWidth="1"/>
    <col min="4868" max="4868" width="33.28515625" customWidth="1"/>
    <col min="4869" max="4872" width="16.7109375" customWidth="1"/>
    <col min="4873" max="4873" width="9.28515625" customWidth="1"/>
    <col min="5121" max="5121" width="3.28515625" customWidth="1"/>
    <col min="5122" max="5122" width="50" customWidth="1"/>
    <col min="5123" max="5123" width="16.7109375" customWidth="1"/>
    <col min="5124" max="5124" width="33.28515625" customWidth="1"/>
    <col min="5125" max="5128" width="16.7109375" customWidth="1"/>
    <col min="5129" max="5129" width="9.28515625" customWidth="1"/>
    <col min="5377" max="5377" width="3.28515625" customWidth="1"/>
    <col min="5378" max="5378" width="50" customWidth="1"/>
    <col min="5379" max="5379" width="16.7109375" customWidth="1"/>
    <col min="5380" max="5380" width="33.28515625" customWidth="1"/>
    <col min="5381" max="5384" width="16.7109375" customWidth="1"/>
    <col min="5385" max="5385" width="9.28515625" customWidth="1"/>
    <col min="5633" max="5633" width="3.28515625" customWidth="1"/>
    <col min="5634" max="5634" width="50" customWidth="1"/>
    <col min="5635" max="5635" width="16.7109375" customWidth="1"/>
    <col min="5636" max="5636" width="33.28515625" customWidth="1"/>
    <col min="5637" max="5640" width="16.7109375" customWidth="1"/>
    <col min="5641" max="5641" width="9.28515625" customWidth="1"/>
    <col min="5889" max="5889" width="3.28515625" customWidth="1"/>
    <col min="5890" max="5890" width="50" customWidth="1"/>
    <col min="5891" max="5891" width="16.7109375" customWidth="1"/>
    <col min="5892" max="5892" width="33.28515625" customWidth="1"/>
    <col min="5893" max="5896" width="16.7109375" customWidth="1"/>
    <col min="5897" max="5897" width="9.28515625" customWidth="1"/>
    <col min="6145" max="6145" width="3.28515625" customWidth="1"/>
    <col min="6146" max="6146" width="50" customWidth="1"/>
    <col min="6147" max="6147" width="16.7109375" customWidth="1"/>
    <col min="6148" max="6148" width="33.28515625" customWidth="1"/>
    <col min="6149" max="6152" width="16.7109375" customWidth="1"/>
    <col min="6153" max="6153" width="9.28515625" customWidth="1"/>
    <col min="6401" max="6401" width="3.28515625" customWidth="1"/>
    <col min="6402" max="6402" width="50" customWidth="1"/>
    <col min="6403" max="6403" width="16.7109375" customWidth="1"/>
    <col min="6404" max="6404" width="33.28515625" customWidth="1"/>
    <col min="6405" max="6408" width="16.7109375" customWidth="1"/>
    <col min="6409" max="6409" width="9.28515625" customWidth="1"/>
    <col min="6657" max="6657" width="3.28515625" customWidth="1"/>
    <col min="6658" max="6658" width="50" customWidth="1"/>
    <col min="6659" max="6659" width="16.7109375" customWidth="1"/>
    <col min="6660" max="6660" width="33.28515625" customWidth="1"/>
    <col min="6661" max="6664" width="16.7109375" customWidth="1"/>
    <col min="6665" max="6665" width="9.28515625" customWidth="1"/>
    <col min="6913" max="6913" width="3.28515625" customWidth="1"/>
    <col min="6914" max="6914" width="50" customWidth="1"/>
    <col min="6915" max="6915" width="16.7109375" customWidth="1"/>
    <col min="6916" max="6916" width="33.28515625" customWidth="1"/>
    <col min="6917" max="6920" width="16.7109375" customWidth="1"/>
    <col min="6921" max="6921" width="9.28515625" customWidth="1"/>
    <col min="7169" max="7169" width="3.28515625" customWidth="1"/>
    <col min="7170" max="7170" width="50" customWidth="1"/>
    <col min="7171" max="7171" width="16.7109375" customWidth="1"/>
    <col min="7172" max="7172" width="33.28515625" customWidth="1"/>
    <col min="7173" max="7176" width="16.7109375" customWidth="1"/>
    <col min="7177" max="7177" width="9.28515625" customWidth="1"/>
    <col min="7425" max="7425" width="3.28515625" customWidth="1"/>
    <col min="7426" max="7426" width="50" customWidth="1"/>
    <col min="7427" max="7427" width="16.7109375" customWidth="1"/>
    <col min="7428" max="7428" width="33.28515625" customWidth="1"/>
    <col min="7429" max="7432" width="16.7109375" customWidth="1"/>
    <col min="7433" max="7433" width="9.28515625" customWidth="1"/>
    <col min="7681" max="7681" width="3.28515625" customWidth="1"/>
    <col min="7682" max="7682" width="50" customWidth="1"/>
    <col min="7683" max="7683" width="16.7109375" customWidth="1"/>
    <col min="7684" max="7684" width="33.28515625" customWidth="1"/>
    <col min="7685" max="7688" width="16.7109375" customWidth="1"/>
    <col min="7689" max="7689" width="9.28515625" customWidth="1"/>
    <col min="7937" max="7937" width="3.28515625" customWidth="1"/>
    <col min="7938" max="7938" width="50" customWidth="1"/>
    <col min="7939" max="7939" width="16.7109375" customWidth="1"/>
    <col min="7940" max="7940" width="33.28515625" customWidth="1"/>
    <col min="7941" max="7944" width="16.7109375" customWidth="1"/>
    <col min="7945" max="7945" width="9.28515625" customWidth="1"/>
    <col min="8193" max="8193" width="3.28515625" customWidth="1"/>
    <col min="8194" max="8194" width="50" customWidth="1"/>
    <col min="8195" max="8195" width="16.7109375" customWidth="1"/>
    <col min="8196" max="8196" width="33.28515625" customWidth="1"/>
    <col min="8197" max="8200" width="16.7109375" customWidth="1"/>
    <col min="8201" max="8201" width="9.28515625" customWidth="1"/>
    <col min="8449" max="8449" width="3.28515625" customWidth="1"/>
    <col min="8450" max="8450" width="50" customWidth="1"/>
    <col min="8451" max="8451" width="16.7109375" customWidth="1"/>
    <col min="8452" max="8452" width="33.28515625" customWidth="1"/>
    <col min="8453" max="8456" width="16.7109375" customWidth="1"/>
    <col min="8457" max="8457" width="9.28515625" customWidth="1"/>
    <col min="8705" max="8705" width="3.28515625" customWidth="1"/>
    <col min="8706" max="8706" width="50" customWidth="1"/>
    <col min="8707" max="8707" width="16.7109375" customWidth="1"/>
    <col min="8708" max="8708" width="33.28515625" customWidth="1"/>
    <col min="8709" max="8712" width="16.7109375" customWidth="1"/>
    <col min="8713" max="8713" width="9.28515625" customWidth="1"/>
    <col min="8961" max="8961" width="3.28515625" customWidth="1"/>
    <col min="8962" max="8962" width="50" customWidth="1"/>
    <col min="8963" max="8963" width="16.7109375" customWidth="1"/>
    <col min="8964" max="8964" width="33.28515625" customWidth="1"/>
    <col min="8965" max="8968" width="16.7109375" customWidth="1"/>
    <col min="8969" max="8969" width="9.28515625" customWidth="1"/>
    <col min="9217" max="9217" width="3.28515625" customWidth="1"/>
    <col min="9218" max="9218" width="50" customWidth="1"/>
    <col min="9219" max="9219" width="16.7109375" customWidth="1"/>
    <col min="9220" max="9220" width="33.28515625" customWidth="1"/>
    <col min="9221" max="9224" width="16.7109375" customWidth="1"/>
    <col min="9225" max="9225" width="9.28515625" customWidth="1"/>
    <col min="9473" max="9473" width="3.28515625" customWidth="1"/>
    <col min="9474" max="9474" width="50" customWidth="1"/>
    <col min="9475" max="9475" width="16.7109375" customWidth="1"/>
    <col min="9476" max="9476" width="33.28515625" customWidth="1"/>
    <col min="9477" max="9480" width="16.7109375" customWidth="1"/>
    <col min="9481" max="9481" width="9.28515625" customWidth="1"/>
    <col min="9729" max="9729" width="3.28515625" customWidth="1"/>
    <col min="9730" max="9730" width="50" customWidth="1"/>
    <col min="9731" max="9731" width="16.7109375" customWidth="1"/>
    <col min="9732" max="9732" width="33.28515625" customWidth="1"/>
    <col min="9733" max="9736" width="16.7109375" customWidth="1"/>
    <col min="9737" max="9737" width="9.28515625" customWidth="1"/>
    <col min="9985" max="9985" width="3.28515625" customWidth="1"/>
    <col min="9986" max="9986" width="50" customWidth="1"/>
    <col min="9987" max="9987" width="16.7109375" customWidth="1"/>
    <col min="9988" max="9988" width="33.28515625" customWidth="1"/>
    <col min="9989" max="9992" width="16.7109375" customWidth="1"/>
    <col min="9993" max="9993" width="9.28515625" customWidth="1"/>
    <col min="10241" max="10241" width="3.28515625" customWidth="1"/>
    <col min="10242" max="10242" width="50" customWidth="1"/>
    <col min="10243" max="10243" width="16.7109375" customWidth="1"/>
    <col min="10244" max="10244" width="33.28515625" customWidth="1"/>
    <col min="10245" max="10248" width="16.7109375" customWidth="1"/>
    <col min="10249" max="10249" width="9.28515625" customWidth="1"/>
    <col min="10497" max="10497" width="3.28515625" customWidth="1"/>
    <col min="10498" max="10498" width="50" customWidth="1"/>
    <col min="10499" max="10499" width="16.7109375" customWidth="1"/>
    <col min="10500" max="10500" width="33.28515625" customWidth="1"/>
    <col min="10501" max="10504" width="16.7109375" customWidth="1"/>
    <col min="10505" max="10505" width="9.28515625" customWidth="1"/>
    <col min="10753" max="10753" width="3.28515625" customWidth="1"/>
    <col min="10754" max="10754" width="50" customWidth="1"/>
    <col min="10755" max="10755" width="16.7109375" customWidth="1"/>
    <col min="10756" max="10756" width="33.28515625" customWidth="1"/>
    <col min="10757" max="10760" width="16.7109375" customWidth="1"/>
    <col min="10761" max="10761" width="9.28515625" customWidth="1"/>
    <col min="11009" max="11009" width="3.28515625" customWidth="1"/>
    <col min="11010" max="11010" width="50" customWidth="1"/>
    <col min="11011" max="11011" width="16.7109375" customWidth="1"/>
    <col min="11012" max="11012" width="33.28515625" customWidth="1"/>
    <col min="11013" max="11016" width="16.7109375" customWidth="1"/>
    <col min="11017" max="11017" width="9.28515625" customWidth="1"/>
    <col min="11265" max="11265" width="3.28515625" customWidth="1"/>
    <col min="11266" max="11266" width="50" customWidth="1"/>
    <col min="11267" max="11267" width="16.7109375" customWidth="1"/>
    <col min="11268" max="11268" width="33.28515625" customWidth="1"/>
    <col min="11269" max="11272" width="16.7109375" customWidth="1"/>
    <col min="11273" max="11273" width="9.28515625" customWidth="1"/>
    <col min="11521" max="11521" width="3.28515625" customWidth="1"/>
    <col min="11522" max="11522" width="50" customWidth="1"/>
    <col min="11523" max="11523" width="16.7109375" customWidth="1"/>
    <col min="11524" max="11524" width="33.28515625" customWidth="1"/>
    <col min="11525" max="11528" width="16.7109375" customWidth="1"/>
    <col min="11529" max="11529" width="9.28515625" customWidth="1"/>
    <col min="11777" max="11777" width="3.28515625" customWidth="1"/>
    <col min="11778" max="11778" width="50" customWidth="1"/>
    <col min="11779" max="11779" width="16.7109375" customWidth="1"/>
    <col min="11780" max="11780" width="33.28515625" customWidth="1"/>
    <col min="11781" max="11784" width="16.7109375" customWidth="1"/>
    <col min="11785" max="11785" width="9.28515625" customWidth="1"/>
    <col min="12033" max="12033" width="3.28515625" customWidth="1"/>
    <col min="12034" max="12034" width="50" customWidth="1"/>
    <col min="12035" max="12035" width="16.7109375" customWidth="1"/>
    <col min="12036" max="12036" width="33.28515625" customWidth="1"/>
    <col min="12037" max="12040" width="16.7109375" customWidth="1"/>
    <col min="12041" max="12041" width="9.28515625" customWidth="1"/>
    <col min="12289" max="12289" width="3.28515625" customWidth="1"/>
    <col min="12290" max="12290" width="50" customWidth="1"/>
    <col min="12291" max="12291" width="16.7109375" customWidth="1"/>
    <col min="12292" max="12292" width="33.28515625" customWidth="1"/>
    <col min="12293" max="12296" width="16.7109375" customWidth="1"/>
    <col min="12297" max="12297" width="9.28515625" customWidth="1"/>
    <col min="12545" max="12545" width="3.28515625" customWidth="1"/>
    <col min="12546" max="12546" width="50" customWidth="1"/>
    <col min="12547" max="12547" width="16.7109375" customWidth="1"/>
    <col min="12548" max="12548" width="33.28515625" customWidth="1"/>
    <col min="12549" max="12552" width="16.7109375" customWidth="1"/>
    <col min="12553" max="12553" width="9.28515625" customWidth="1"/>
    <col min="12801" max="12801" width="3.28515625" customWidth="1"/>
    <col min="12802" max="12802" width="50" customWidth="1"/>
    <col min="12803" max="12803" width="16.7109375" customWidth="1"/>
    <col min="12804" max="12804" width="33.28515625" customWidth="1"/>
    <col min="12805" max="12808" width="16.7109375" customWidth="1"/>
    <col min="12809" max="12809" width="9.28515625" customWidth="1"/>
    <col min="13057" max="13057" width="3.28515625" customWidth="1"/>
    <col min="13058" max="13058" width="50" customWidth="1"/>
    <col min="13059" max="13059" width="16.7109375" customWidth="1"/>
    <col min="13060" max="13060" width="33.28515625" customWidth="1"/>
    <col min="13061" max="13064" width="16.7109375" customWidth="1"/>
    <col min="13065" max="13065" width="9.28515625" customWidth="1"/>
    <col min="13313" max="13313" width="3.28515625" customWidth="1"/>
    <col min="13314" max="13314" width="50" customWidth="1"/>
    <col min="13315" max="13315" width="16.7109375" customWidth="1"/>
    <col min="13316" max="13316" width="33.28515625" customWidth="1"/>
    <col min="13317" max="13320" width="16.7109375" customWidth="1"/>
    <col min="13321" max="13321" width="9.28515625" customWidth="1"/>
    <col min="13569" max="13569" width="3.28515625" customWidth="1"/>
    <col min="13570" max="13570" width="50" customWidth="1"/>
    <col min="13571" max="13571" width="16.7109375" customWidth="1"/>
    <col min="13572" max="13572" width="33.28515625" customWidth="1"/>
    <col min="13573" max="13576" width="16.7109375" customWidth="1"/>
    <col min="13577" max="13577" width="9.28515625" customWidth="1"/>
    <col min="13825" max="13825" width="3.28515625" customWidth="1"/>
    <col min="13826" max="13826" width="50" customWidth="1"/>
    <col min="13827" max="13827" width="16.7109375" customWidth="1"/>
    <col min="13828" max="13828" width="33.28515625" customWidth="1"/>
    <col min="13829" max="13832" width="16.7109375" customWidth="1"/>
    <col min="13833" max="13833" width="9.28515625" customWidth="1"/>
    <col min="14081" max="14081" width="3.28515625" customWidth="1"/>
    <col min="14082" max="14082" width="50" customWidth="1"/>
    <col min="14083" max="14083" width="16.7109375" customWidth="1"/>
    <col min="14084" max="14084" width="33.28515625" customWidth="1"/>
    <col min="14085" max="14088" width="16.7109375" customWidth="1"/>
    <col min="14089" max="14089" width="9.28515625" customWidth="1"/>
    <col min="14337" max="14337" width="3.28515625" customWidth="1"/>
    <col min="14338" max="14338" width="50" customWidth="1"/>
    <col min="14339" max="14339" width="16.7109375" customWidth="1"/>
    <col min="14340" max="14340" width="33.28515625" customWidth="1"/>
    <col min="14341" max="14344" width="16.7109375" customWidth="1"/>
    <col min="14345" max="14345" width="9.28515625" customWidth="1"/>
    <col min="14593" max="14593" width="3.28515625" customWidth="1"/>
    <col min="14594" max="14594" width="50" customWidth="1"/>
    <col min="14595" max="14595" width="16.7109375" customWidth="1"/>
    <col min="14596" max="14596" width="33.28515625" customWidth="1"/>
    <col min="14597" max="14600" width="16.7109375" customWidth="1"/>
    <col min="14601" max="14601" width="9.28515625" customWidth="1"/>
    <col min="14849" max="14849" width="3.28515625" customWidth="1"/>
    <col min="14850" max="14850" width="50" customWidth="1"/>
    <col min="14851" max="14851" width="16.7109375" customWidth="1"/>
    <col min="14852" max="14852" width="33.28515625" customWidth="1"/>
    <col min="14853" max="14856" width="16.7109375" customWidth="1"/>
    <col min="14857" max="14857" width="9.28515625" customWidth="1"/>
    <col min="15105" max="15105" width="3.28515625" customWidth="1"/>
    <col min="15106" max="15106" width="50" customWidth="1"/>
    <col min="15107" max="15107" width="16.7109375" customWidth="1"/>
    <col min="15108" max="15108" width="33.28515625" customWidth="1"/>
    <col min="15109" max="15112" width="16.7109375" customWidth="1"/>
    <col min="15113" max="15113" width="9.28515625" customWidth="1"/>
    <col min="15361" max="15361" width="3.28515625" customWidth="1"/>
    <col min="15362" max="15362" width="50" customWidth="1"/>
    <col min="15363" max="15363" width="16.7109375" customWidth="1"/>
    <col min="15364" max="15364" width="33.28515625" customWidth="1"/>
    <col min="15365" max="15368" width="16.7109375" customWidth="1"/>
    <col min="15369" max="15369" width="9.28515625" customWidth="1"/>
    <col min="15617" max="15617" width="3.28515625" customWidth="1"/>
    <col min="15618" max="15618" width="50" customWidth="1"/>
    <col min="15619" max="15619" width="16.7109375" customWidth="1"/>
    <col min="15620" max="15620" width="33.28515625" customWidth="1"/>
    <col min="15621" max="15624" width="16.7109375" customWidth="1"/>
    <col min="15625" max="15625" width="9.28515625" customWidth="1"/>
    <col min="15873" max="15873" width="3.28515625" customWidth="1"/>
    <col min="15874" max="15874" width="50" customWidth="1"/>
    <col min="15875" max="15875" width="16.7109375" customWidth="1"/>
    <col min="15876" max="15876" width="33.28515625" customWidth="1"/>
    <col min="15877" max="15880" width="16.7109375" customWidth="1"/>
    <col min="15881" max="15881" width="9.28515625" customWidth="1"/>
    <col min="16129" max="16129" width="3.28515625" customWidth="1"/>
    <col min="16130" max="16130" width="50" customWidth="1"/>
    <col min="16131" max="16131" width="16.7109375" customWidth="1"/>
    <col min="16132" max="16132" width="33.28515625" customWidth="1"/>
    <col min="16133" max="16136" width="16.7109375" customWidth="1"/>
    <col min="16137" max="16137" width="9.28515625" customWidth="1"/>
  </cols>
  <sheetData>
    <row r="1" spans="1:10" ht="15.95" customHeight="1">
      <c r="A1" s="1" t="s">
        <v>0</v>
      </c>
      <c r="B1" s="54" t="s">
        <v>1</v>
      </c>
      <c r="C1" s="55"/>
      <c r="D1" s="55"/>
      <c r="E1" s="55"/>
      <c r="F1" s="55"/>
      <c r="G1" s="55"/>
      <c r="H1" s="56"/>
      <c r="I1"/>
    </row>
    <row r="2" spans="1:10" ht="20.25" customHeight="1">
      <c r="A2" s="2"/>
      <c r="B2" s="57"/>
      <c r="C2" s="58"/>
      <c r="D2" s="58"/>
      <c r="E2" s="58"/>
      <c r="F2" s="58"/>
      <c r="G2" s="58"/>
      <c r="H2" s="59"/>
      <c r="I2"/>
    </row>
    <row r="3" spans="1:10">
      <c r="A3" s="2"/>
      <c r="B3" s="60" t="s">
        <v>2</v>
      </c>
      <c r="C3" s="61"/>
      <c r="D3" s="61"/>
      <c r="E3" s="61"/>
      <c r="F3" s="61"/>
      <c r="G3" s="61"/>
      <c r="H3" s="62"/>
      <c r="I3"/>
    </row>
    <row r="4" spans="1:10" ht="12.95" customHeight="1" thickBot="1">
      <c r="A4" s="2"/>
      <c r="B4" s="63"/>
      <c r="C4" s="64"/>
      <c r="D4" s="64"/>
      <c r="E4" s="64"/>
      <c r="F4" s="64"/>
      <c r="G4" s="64"/>
      <c r="H4" s="65"/>
      <c r="I4"/>
    </row>
    <row r="5" spans="1:10" ht="15.95" customHeight="1">
      <c r="A5" s="2"/>
      <c r="B5" s="3" t="s">
        <v>1</v>
      </c>
      <c r="C5" s="2"/>
      <c r="D5" s="2"/>
      <c r="E5" s="2"/>
      <c r="F5" s="2"/>
      <c r="G5" s="2"/>
      <c r="H5" s="2"/>
    </row>
    <row r="6" spans="1:10" ht="12.95" customHeight="1">
      <c r="A6" s="2"/>
      <c r="B6" s="5"/>
      <c r="C6" s="2"/>
      <c r="D6" s="2"/>
      <c r="E6" s="2"/>
      <c r="F6" s="2"/>
      <c r="G6" s="2"/>
      <c r="H6" s="2"/>
    </row>
    <row r="7" spans="1:10" ht="12.95" customHeight="1" thickBot="1">
      <c r="A7" s="6"/>
      <c r="B7" s="7" t="s">
        <v>41</v>
      </c>
      <c r="C7" s="2"/>
      <c r="D7" s="2"/>
      <c r="E7" s="2"/>
      <c r="F7" s="2"/>
      <c r="G7" s="2"/>
      <c r="H7" s="2"/>
    </row>
    <row r="8" spans="1:10" ht="27.95" customHeight="1">
      <c r="A8" s="2"/>
      <c r="B8" s="8" t="s">
        <v>42</v>
      </c>
      <c r="C8" s="9" t="s">
        <v>43</v>
      </c>
      <c r="D8" s="10" t="s">
        <v>44</v>
      </c>
      <c r="E8" s="10" t="s">
        <v>45</v>
      </c>
      <c r="F8" s="10" t="s">
        <v>46</v>
      </c>
      <c r="G8" s="10" t="s">
        <v>47</v>
      </c>
      <c r="H8" s="11" t="s">
        <v>48</v>
      </c>
    </row>
    <row r="9" spans="1:10" ht="12.95" customHeight="1">
      <c r="A9" s="2"/>
      <c r="B9" s="12" t="s">
        <v>49</v>
      </c>
      <c r="C9" s="13"/>
      <c r="D9" s="13"/>
      <c r="E9" s="13"/>
      <c r="F9" s="13"/>
      <c r="G9" s="14"/>
      <c r="H9" s="15"/>
    </row>
    <row r="10" spans="1:10" ht="12.95" customHeight="1">
      <c r="A10" s="2"/>
      <c r="B10" s="12" t="s">
        <v>50</v>
      </c>
      <c r="C10" s="13"/>
      <c r="D10" s="13"/>
      <c r="E10" s="13"/>
      <c r="F10" s="13"/>
      <c r="G10" s="14"/>
      <c r="H10" s="15"/>
    </row>
    <row r="11" spans="1:10" ht="12.95" customHeight="1">
      <c r="A11" s="16"/>
      <c r="B11" s="17" t="s">
        <v>165</v>
      </c>
      <c r="C11" s="13" t="s">
        <v>51</v>
      </c>
      <c r="D11" s="13" t="s">
        <v>52</v>
      </c>
      <c r="E11" s="18">
        <v>2600000</v>
      </c>
      <c r="F11" s="19">
        <v>2581.2903999999999</v>
      </c>
      <c r="G11" s="20">
        <v>4.2299999999999997E-2</v>
      </c>
      <c r="H11" s="21">
        <v>7.9991000000000007E-2</v>
      </c>
      <c r="J11" s="66"/>
    </row>
    <row r="12" spans="1:10" ht="12.95" customHeight="1">
      <c r="A12" s="16"/>
      <c r="B12" s="17" t="s">
        <v>166</v>
      </c>
      <c r="C12" s="13" t="s">
        <v>53</v>
      </c>
      <c r="D12" s="13" t="s">
        <v>54</v>
      </c>
      <c r="E12" s="18">
        <v>2500000</v>
      </c>
      <c r="F12" s="19">
        <v>2499.1675</v>
      </c>
      <c r="G12" s="20">
        <v>4.1000000000000002E-2</v>
      </c>
      <c r="H12" s="21">
        <v>7.8049999999999994E-2</v>
      </c>
      <c r="J12" s="66"/>
    </row>
    <row r="13" spans="1:10" ht="12.95" customHeight="1">
      <c r="A13" s="16"/>
      <c r="B13" s="17" t="s">
        <v>167</v>
      </c>
      <c r="C13" s="13" t="s">
        <v>55</v>
      </c>
      <c r="D13" s="13" t="s">
        <v>54</v>
      </c>
      <c r="E13" s="18">
        <v>2500000</v>
      </c>
      <c r="F13" s="19">
        <v>2437.8274999999999</v>
      </c>
      <c r="G13" s="20">
        <v>3.9899999999999998E-2</v>
      </c>
      <c r="H13" s="21">
        <v>7.9196000000000003E-2</v>
      </c>
      <c r="J13" s="66"/>
    </row>
    <row r="14" spans="1:10" ht="12.95" customHeight="1">
      <c r="A14" s="16"/>
      <c r="B14" s="17" t="s">
        <v>168</v>
      </c>
      <c r="C14" s="13" t="s">
        <v>56</v>
      </c>
      <c r="D14" s="13" t="s">
        <v>57</v>
      </c>
      <c r="E14" s="18">
        <v>2000000</v>
      </c>
      <c r="F14" s="19">
        <v>1983.808</v>
      </c>
      <c r="G14" s="20">
        <v>3.2500000000000001E-2</v>
      </c>
      <c r="H14" s="21">
        <v>8.7612000000000009E-2</v>
      </c>
      <c r="J14" s="66"/>
    </row>
    <row r="15" spans="1:10" ht="12.95" customHeight="1">
      <c r="A15" s="16" t="s">
        <v>3</v>
      </c>
      <c r="B15" s="17" t="s">
        <v>169</v>
      </c>
      <c r="C15" s="13" t="s">
        <v>58</v>
      </c>
      <c r="D15" s="13" t="s">
        <v>54</v>
      </c>
      <c r="E15" s="18">
        <v>1500000</v>
      </c>
      <c r="F15" s="19">
        <v>1480.683</v>
      </c>
      <c r="G15" s="20">
        <v>2.4299999999999999E-2</v>
      </c>
      <c r="H15" s="21">
        <v>8.383800000000001E-2</v>
      </c>
      <c r="J15" s="66"/>
    </row>
    <row r="16" spans="1:10" ht="12.95" customHeight="1">
      <c r="A16" s="16" t="s">
        <v>4</v>
      </c>
      <c r="B16" s="17" t="s">
        <v>170</v>
      </c>
      <c r="C16" s="13" t="s">
        <v>59</v>
      </c>
      <c r="D16" s="13" t="s">
        <v>60</v>
      </c>
      <c r="E16" s="18">
        <v>1300000</v>
      </c>
      <c r="F16" s="19">
        <v>1288.4143999999999</v>
      </c>
      <c r="G16" s="20">
        <v>2.1100000000000001E-2</v>
      </c>
      <c r="H16" s="21">
        <v>7.9649999999999999E-2</v>
      </c>
      <c r="J16" s="66"/>
    </row>
    <row r="17" spans="1:10" ht="12.95" customHeight="1">
      <c r="A17" s="16" t="s">
        <v>5</v>
      </c>
      <c r="B17" s="17" t="s">
        <v>171</v>
      </c>
      <c r="C17" s="13" t="s">
        <v>61</v>
      </c>
      <c r="D17" s="13" t="s">
        <v>62</v>
      </c>
      <c r="E17" s="18">
        <v>1000000</v>
      </c>
      <c r="F17" s="19">
        <v>1003.155</v>
      </c>
      <c r="G17" s="20">
        <v>1.6400000000000001E-2</v>
      </c>
      <c r="H17" s="21">
        <v>8.100099999999999E-2</v>
      </c>
      <c r="J17" s="66"/>
    </row>
    <row r="18" spans="1:10" ht="12.95" customHeight="1">
      <c r="A18" s="16" t="s">
        <v>6</v>
      </c>
      <c r="B18" s="17" t="s">
        <v>172</v>
      </c>
      <c r="C18" s="13" t="s">
        <v>63</v>
      </c>
      <c r="D18" s="13" t="s">
        <v>54</v>
      </c>
      <c r="E18" s="18">
        <v>1000000</v>
      </c>
      <c r="F18" s="19">
        <v>989.375</v>
      </c>
      <c r="G18" s="20">
        <v>1.6199999999999999E-2</v>
      </c>
      <c r="H18" s="21">
        <v>7.8949999999999992E-2</v>
      </c>
      <c r="J18" s="66"/>
    </row>
    <row r="19" spans="1:10" ht="12.95" customHeight="1">
      <c r="A19" s="16" t="s">
        <v>7</v>
      </c>
      <c r="B19" s="17" t="s">
        <v>173</v>
      </c>
      <c r="C19" s="13" t="s">
        <v>64</v>
      </c>
      <c r="D19" s="13" t="s">
        <v>65</v>
      </c>
      <c r="E19" s="18">
        <v>800000</v>
      </c>
      <c r="F19" s="19">
        <v>799.1</v>
      </c>
      <c r="G19" s="20">
        <v>1.3100000000000001E-2</v>
      </c>
      <c r="H19" s="21">
        <v>8.8338E-2</v>
      </c>
      <c r="J19" s="66"/>
    </row>
    <row r="20" spans="1:10" ht="12.95" customHeight="1">
      <c r="A20" s="16" t="s">
        <v>8</v>
      </c>
      <c r="B20" s="17" t="s">
        <v>174</v>
      </c>
      <c r="C20" s="13" t="s">
        <v>66</v>
      </c>
      <c r="D20" s="13" t="s">
        <v>54</v>
      </c>
      <c r="E20" s="18">
        <v>750000</v>
      </c>
      <c r="F20" s="19">
        <v>743.72024999999996</v>
      </c>
      <c r="G20" s="20">
        <v>1.2200000000000001E-2</v>
      </c>
      <c r="H20" s="21">
        <v>7.8600000000000003E-2</v>
      </c>
      <c r="J20" s="66"/>
    </row>
    <row r="21" spans="1:10" ht="12.95" customHeight="1">
      <c r="A21" s="16"/>
      <c r="B21" s="17" t="s">
        <v>73</v>
      </c>
      <c r="C21" s="13" t="s">
        <v>67</v>
      </c>
      <c r="D21" s="13" t="s">
        <v>54</v>
      </c>
      <c r="E21" s="18">
        <v>500000</v>
      </c>
      <c r="F21" s="19">
        <v>499.31549999999999</v>
      </c>
      <c r="G21" s="20">
        <v>8.2000000000000007E-3</v>
      </c>
      <c r="H21" s="21">
        <v>7.9649999999999999E-2</v>
      </c>
      <c r="J21" s="66"/>
    </row>
    <row r="22" spans="1:10" ht="12.95" customHeight="1">
      <c r="A22" s="16"/>
      <c r="B22" s="17" t="s">
        <v>71</v>
      </c>
      <c r="C22" s="13" t="s">
        <v>69</v>
      </c>
      <c r="D22" s="13" t="s">
        <v>70</v>
      </c>
      <c r="E22" s="18">
        <v>500000</v>
      </c>
      <c r="F22" s="19">
        <v>503.34500000000003</v>
      </c>
      <c r="G22" s="20">
        <v>8.2000000000000007E-3</v>
      </c>
      <c r="H22" s="21">
        <v>7.5502204731125025E-2</v>
      </c>
      <c r="J22" s="66"/>
    </row>
    <row r="23" spans="1:10" ht="12.95" customHeight="1">
      <c r="A23" s="16"/>
      <c r="B23" s="17" t="s">
        <v>68</v>
      </c>
      <c r="C23" s="13" t="s">
        <v>72</v>
      </c>
      <c r="D23" s="13" t="s">
        <v>70</v>
      </c>
      <c r="E23" s="18">
        <v>500000</v>
      </c>
      <c r="F23" s="19">
        <v>503.26350000000002</v>
      </c>
      <c r="G23" s="20">
        <v>8.2000000000000007E-3</v>
      </c>
      <c r="H23" s="21">
        <v>7.5482038940500096E-2</v>
      </c>
      <c r="J23" s="66"/>
    </row>
    <row r="24" spans="1:10" ht="12.95" customHeight="1">
      <c r="A24" s="16"/>
      <c r="B24" s="17" t="s">
        <v>175</v>
      </c>
      <c r="C24" s="13" t="s">
        <v>74</v>
      </c>
      <c r="D24" s="13" t="s">
        <v>70</v>
      </c>
      <c r="E24" s="18">
        <v>500000</v>
      </c>
      <c r="F24" s="19">
        <v>503.1995</v>
      </c>
      <c r="G24" s="20">
        <v>8.2000000000000007E-3</v>
      </c>
      <c r="H24" s="21">
        <v>7.5044986328124952E-2</v>
      </c>
      <c r="J24" s="66"/>
    </row>
    <row r="25" spans="1:10" ht="12.95" customHeight="1">
      <c r="A25" s="16"/>
      <c r="B25" s="17" t="s">
        <v>176</v>
      </c>
      <c r="C25" s="13" t="s">
        <v>75</v>
      </c>
      <c r="D25" s="13" t="s">
        <v>65</v>
      </c>
      <c r="E25" s="18">
        <v>400000</v>
      </c>
      <c r="F25" s="19">
        <v>400.23039999999997</v>
      </c>
      <c r="G25" s="20">
        <v>6.6E-3</v>
      </c>
      <c r="H25" s="21">
        <v>8.8338E-2</v>
      </c>
      <c r="J25" s="66"/>
    </row>
    <row r="26" spans="1:10" ht="12.95" customHeight="1">
      <c r="A26" s="2"/>
      <c r="B26" s="12" t="s">
        <v>76</v>
      </c>
      <c r="C26" s="13"/>
      <c r="D26" s="13"/>
      <c r="E26" s="13"/>
      <c r="F26" s="22">
        <f>SUM(F11:F25)</f>
        <v>18215.894950000002</v>
      </c>
      <c r="G26" s="39">
        <f>SUM(G11:G25)</f>
        <v>0.29839999999999994</v>
      </c>
      <c r="H26" s="24"/>
    </row>
    <row r="27" spans="1:10" ht="12.95" customHeight="1">
      <c r="A27" s="2"/>
      <c r="B27" s="25" t="s">
        <v>77</v>
      </c>
      <c r="C27" s="26"/>
      <c r="D27" s="26"/>
      <c r="E27" s="26"/>
      <c r="F27" s="27" t="s">
        <v>78</v>
      </c>
      <c r="G27" s="23" t="s">
        <v>78</v>
      </c>
      <c r="H27" s="24"/>
    </row>
    <row r="28" spans="1:10" ht="12.95" customHeight="1">
      <c r="A28" s="2"/>
      <c r="B28" s="25" t="s">
        <v>76</v>
      </c>
      <c r="C28" s="26"/>
      <c r="D28" s="26"/>
      <c r="E28" s="26"/>
      <c r="F28" s="27" t="s">
        <v>78</v>
      </c>
      <c r="G28" s="23" t="s">
        <v>78</v>
      </c>
      <c r="H28" s="24"/>
    </row>
    <row r="29" spans="1:10" ht="12.95" customHeight="1">
      <c r="A29" s="2"/>
      <c r="B29" s="25" t="s">
        <v>79</v>
      </c>
      <c r="C29" s="28"/>
      <c r="D29" s="26"/>
      <c r="E29" s="28"/>
      <c r="F29" s="22">
        <f t="shared" ref="F29:G29" si="0">F26</f>
        <v>18215.894950000002</v>
      </c>
      <c r="G29" s="23">
        <f t="shared" si="0"/>
        <v>0.29839999999999994</v>
      </c>
      <c r="H29" s="24"/>
    </row>
    <row r="30" spans="1:10" ht="12.95" customHeight="1">
      <c r="A30" s="2"/>
      <c r="B30" s="12" t="s">
        <v>80</v>
      </c>
      <c r="C30" s="13"/>
      <c r="D30" s="13"/>
      <c r="E30" s="13"/>
      <c r="F30" s="29"/>
      <c r="G30" s="30"/>
      <c r="H30" s="15"/>
    </row>
    <row r="31" spans="1:10" ht="12.95" customHeight="1">
      <c r="A31" s="2"/>
      <c r="B31" s="12" t="s">
        <v>81</v>
      </c>
      <c r="C31" s="13"/>
      <c r="D31" s="13"/>
      <c r="E31" s="13"/>
      <c r="F31" s="29"/>
      <c r="G31" s="30"/>
      <c r="H31" s="15"/>
    </row>
    <row r="32" spans="1:10" ht="12.95" customHeight="1">
      <c r="A32" s="2"/>
      <c r="B32" s="17" t="s">
        <v>82</v>
      </c>
      <c r="C32" s="13" t="s">
        <v>83</v>
      </c>
      <c r="D32" s="13" t="s">
        <v>84</v>
      </c>
      <c r="E32" s="18">
        <v>2500000</v>
      </c>
      <c r="F32" s="19">
        <v>2467.75</v>
      </c>
      <c r="G32" s="20">
        <v>4.0399999999999998E-2</v>
      </c>
      <c r="H32" s="21">
        <v>7.8198000000000004E-2</v>
      </c>
    </row>
    <row r="33" spans="1:8" ht="12.95" customHeight="1">
      <c r="A33" s="16" t="s">
        <v>9</v>
      </c>
      <c r="B33" s="17" t="s">
        <v>85</v>
      </c>
      <c r="C33" s="13" t="s">
        <v>86</v>
      </c>
      <c r="D33" s="13" t="s">
        <v>84</v>
      </c>
      <c r="E33" s="18">
        <v>2500000</v>
      </c>
      <c r="F33" s="19">
        <v>2445.6624999999999</v>
      </c>
      <c r="G33" s="20">
        <v>4.0099999999999997E-2</v>
      </c>
      <c r="H33" s="21">
        <v>7.7976000000000004E-2</v>
      </c>
    </row>
    <row r="34" spans="1:8" ht="12.95" customHeight="1">
      <c r="A34" s="16" t="s">
        <v>10</v>
      </c>
      <c r="B34" s="17" t="s">
        <v>87</v>
      </c>
      <c r="C34" s="13" t="s">
        <v>88</v>
      </c>
      <c r="D34" s="13" t="s">
        <v>89</v>
      </c>
      <c r="E34" s="18">
        <v>2500000</v>
      </c>
      <c r="F34" s="19">
        <v>2445.25</v>
      </c>
      <c r="G34" s="20">
        <v>4.0099999999999997E-2</v>
      </c>
      <c r="H34" s="21">
        <v>7.7101000000000003E-2</v>
      </c>
    </row>
    <row r="35" spans="1:8" ht="12.95" customHeight="1">
      <c r="A35" s="16" t="s">
        <v>11</v>
      </c>
      <c r="B35" s="17" t="s">
        <v>90</v>
      </c>
      <c r="C35" s="13" t="s">
        <v>91</v>
      </c>
      <c r="D35" s="13" t="s">
        <v>84</v>
      </c>
      <c r="E35" s="18">
        <v>2500000</v>
      </c>
      <c r="F35" s="19">
        <v>2444.3825000000002</v>
      </c>
      <c r="G35" s="20">
        <v>4.0099999999999997E-2</v>
      </c>
      <c r="H35" s="21">
        <v>7.8350000000000003E-2</v>
      </c>
    </row>
    <row r="36" spans="1:8" ht="12.95" customHeight="1">
      <c r="A36" s="16" t="s">
        <v>12</v>
      </c>
      <c r="B36" s="17" t="s">
        <v>92</v>
      </c>
      <c r="C36" s="13" t="s">
        <v>93</v>
      </c>
      <c r="D36" s="13" t="s">
        <v>84</v>
      </c>
      <c r="E36" s="18">
        <v>2500000</v>
      </c>
      <c r="F36" s="19">
        <v>2434.0275000000001</v>
      </c>
      <c r="G36" s="20">
        <v>3.9899999999999998E-2</v>
      </c>
      <c r="H36" s="21">
        <v>7.7899999999999997E-2</v>
      </c>
    </row>
    <row r="37" spans="1:8" ht="12.95" customHeight="1">
      <c r="A37" s="16" t="s">
        <v>13</v>
      </c>
      <c r="B37" s="17" t="s">
        <v>94</v>
      </c>
      <c r="C37" s="13" t="s">
        <v>95</v>
      </c>
      <c r="D37" s="13" t="s">
        <v>96</v>
      </c>
      <c r="E37" s="18">
        <v>2500000</v>
      </c>
      <c r="F37" s="19">
        <v>2431.08</v>
      </c>
      <c r="G37" s="20">
        <v>3.9800000000000002E-2</v>
      </c>
      <c r="H37" s="21">
        <v>7.7800000000000008E-2</v>
      </c>
    </row>
    <row r="38" spans="1:8" ht="12.95" customHeight="1">
      <c r="A38" s="16" t="s">
        <v>14</v>
      </c>
      <c r="B38" s="17" t="s">
        <v>97</v>
      </c>
      <c r="C38" s="13" t="s">
        <v>98</v>
      </c>
      <c r="D38" s="13" t="s">
        <v>99</v>
      </c>
      <c r="E38" s="18">
        <v>1600000</v>
      </c>
      <c r="F38" s="19">
        <v>1556.2976000000001</v>
      </c>
      <c r="G38" s="20">
        <v>2.5499999999999998E-2</v>
      </c>
      <c r="H38" s="21">
        <v>7.7649999999999997E-2</v>
      </c>
    </row>
    <row r="39" spans="1:8" ht="12.95" customHeight="1">
      <c r="A39" s="16" t="s">
        <v>15</v>
      </c>
      <c r="B39" s="17" t="s">
        <v>100</v>
      </c>
      <c r="C39" s="13" t="s">
        <v>101</v>
      </c>
      <c r="D39" s="13" t="s">
        <v>96</v>
      </c>
      <c r="E39" s="18">
        <v>1200000</v>
      </c>
      <c r="F39" s="19">
        <v>1171.1184000000001</v>
      </c>
      <c r="G39" s="20">
        <v>1.9199999999999998E-2</v>
      </c>
      <c r="H39" s="21">
        <v>7.7600000000000002E-2</v>
      </c>
    </row>
    <row r="40" spans="1:8" ht="12.95" customHeight="1">
      <c r="A40" s="16" t="s">
        <v>16</v>
      </c>
      <c r="B40" s="17" t="s">
        <v>102</v>
      </c>
      <c r="C40" s="13" t="s">
        <v>103</v>
      </c>
      <c r="D40" s="13" t="s">
        <v>89</v>
      </c>
      <c r="E40" s="18">
        <v>1100000</v>
      </c>
      <c r="F40" s="19">
        <v>1049.2581</v>
      </c>
      <c r="G40" s="20">
        <v>1.72E-2</v>
      </c>
      <c r="H40" s="21">
        <v>7.8449999999999992E-2</v>
      </c>
    </row>
    <row r="41" spans="1:8" ht="12.95" customHeight="1">
      <c r="A41" s="16" t="s">
        <v>17</v>
      </c>
      <c r="B41" s="17" t="s">
        <v>104</v>
      </c>
      <c r="C41" s="13" t="s">
        <v>105</v>
      </c>
      <c r="D41" s="13" t="s">
        <v>99</v>
      </c>
      <c r="E41" s="18">
        <v>1000000</v>
      </c>
      <c r="F41" s="19">
        <v>972.48500000000001</v>
      </c>
      <c r="G41" s="20">
        <v>1.5900000000000001E-2</v>
      </c>
      <c r="H41" s="21">
        <v>7.7648999999999996E-2</v>
      </c>
    </row>
    <row r="42" spans="1:8" ht="12.95" customHeight="1">
      <c r="A42" s="16" t="s">
        <v>18</v>
      </c>
      <c r="B42" s="17" t="s">
        <v>106</v>
      </c>
      <c r="C42" s="13" t="s">
        <v>107</v>
      </c>
      <c r="D42" s="13" t="s">
        <v>84</v>
      </c>
      <c r="E42" s="18">
        <v>1000000</v>
      </c>
      <c r="F42" s="19">
        <v>969.78200000000004</v>
      </c>
      <c r="G42" s="20">
        <v>1.5900000000000001E-2</v>
      </c>
      <c r="H42" s="21">
        <v>7.7898999999999996E-2</v>
      </c>
    </row>
    <row r="43" spans="1:8" ht="12.95" customHeight="1">
      <c r="A43" s="16" t="s">
        <v>19</v>
      </c>
      <c r="B43" s="17" t="s">
        <v>108</v>
      </c>
      <c r="C43" s="13" t="s">
        <v>109</v>
      </c>
      <c r="D43" s="13" t="s">
        <v>89</v>
      </c>
      <c r="E43" s="18">
        <v>1000000</v>
      </c>
      <c r="F43" s="19">
        <v>970.38599999999997</v>
      </c>
      <c r="G43" s="20">
        <v>1.5900000000000001E-2</v>
      </c>
      <c r="H43" s="21">
        <v>7.9000000000000001E-2</v>
      </c>
    </row>
    <row r="44" spans="1:8" ht="12.95" customHeight="1">
      <c r="A44" s="16" t="s">
        <v>21</v>
      </c>
      <c r="B44" s="17" t="s">
        <v>110</v>
      </c>
      <c r="C44" s="13" t="s">
        <v>111</v>
      </c>
      <c r="D44" s="13" t="s">
        <v>84</v>
      </c>
      <c r="E44" s="18">
        <v>1000000</v>
      </c>
      <c r="F44" s="19">
        <v>970.77</v>
      </c>
      <c r="G44" s="20">
        <v>1.5900000000000001E-2</v>
      </c>
      <c r="H44" s="21">
        <v>7.8501000000000001E-2</v>
      </c>
    </row>
    <row r="45" spans="1:8" ht="12.95" customHeight="1">
      <c r="A45" s="16" t="s">
        <v>20</v>
      </c>
      <c r="B45" s="17" t="s">
        <v>112</v>
      </c>
      <c r="C45" s="13" t="s">
        <v>113</v>
      </c>
      <c r="D45" s="13" t="s">
        <v>84</v>
      </c>
      <c r="E45" s="18">
        <v>1000000</v>
      </c>
      <c r="F45" s="19">
        <v>970.56799999999998</v>
      </c>
      <c r="G45" s="20">
        <v>1.5900000000000001E-2</v>
      </c>
      <c r="H45" s="21">
        <v>7.8501000000000001E-2</v>
      </c>
    </row>
    <row r="46" spans="1:8" ht="12.95" customHeight="1">
      <c r="A46" s="16" t="s">
        <v>23</v>
      </c>
      <c r="B46" s="17" t="s">
        <v>114</v>
      </c>
      <c r="C46" s="13" t="s">
        <v>115</v>
      </c>
      <c r="D46" s="13" t="s">
        <v>84</v>
      </c>
      <c r="E46" s="18">
        <v>1000000</v>
      </c>
      <c r="F46" s="19">
        <v>955.48699999999997</v>
      </c>
      <c r="G46" s="20">
        <v>1.5699999999999999E-2</v>
      </c>
      <c r="H46" s="21">
        <v>7.8E-2</v>
      </c>
    </row>
    <row r="47" spans="1:8" ht="12.95" customHeight="1">
      <c r="A47" s="16" t="s">
        <v>22</v>
      </c>
      <c r="B47" s="17" t="s">
        <v>116</v>
      </c>
      <c r="C47" s="13" t="s">
        <v>117</v>
      </c>
      <c r="D47" s="13" t="s">
        <v>84</v>
      </c>
      <c r="E47" s="18">
        <v>1000000</v>
      </c>
      <c r="F47" s="19">
        <v>953.20899999999995</v>
      </c>
      <c r="G47" s="20">
        <v>1.5599999999999999E-2</v>
      </c>
      <c r="H47" s="21">
        <v>8.2948999999999995E-2</v>
      </c>
    </row>
    <row r="48" spans="1:8" ht="12.95" customHeight="1">
      <c r="A48" s="16" t="s">
        <v>24</v>
      </c>
      <c r="B48" s="17" t="s">
        <v>118</v>
      </c>
      <c r="C48" s="13" t="s">
        <v>119</v>
      </c>
      <c r="D48" s="13" t="s">
        <v>84</v>
      </c>
      <c r="E48" s="18">
        <v>800000</v>
      </c>
      <c r="F48" s="19">
        <v>793.33600000000001</v>
      </c>
      <c r="G48" s="20">
        <v>1.2999999999999999E-2</v>
      </c>
      <c r="H48" s="21">
        <v>7.3002999999999998E-2</v>
      </c>
    </row>
    <row r="49" spans="1:8" ht="12.95" customHeight="1">
      <c r="A49" s="16" t="s">
        <v>25</v>
      </c>
      <c r="B49" s="12" t="s">
        <v>76</v>
      </c>
      <c r="C49" s="13"/>
      <c r="D49" s="13"/>
      <c r="E49" s="13"/>
      <c r="F49" s="22">
        <f>SUM(F32:F48)</f>
        <v>26000.849599999998</v>
      </c>
      <c r="G49" s="39">
        <f>SUM(G32:G48)</f>
        <v>0.42610000000000009</v>
      </c>
      <c r="H49" s="24"/>
    </row>
    <row r="50" spans="1:8" ht="12.95" customHeight="1">
      <c r="A50" s="2"/>
      <c r="B50" s="12" t="s">
        <v>120</v>
      </c>
      <c r="C50" s="13"/>
      <c r="D50" s="13"/>
      <c r="E50" s="13"/>
      <c r="F50" s="29"/>
      <c r="G50" s="30"/>
      <c r="H50" s="15"/>
    </row>
    <row r="51" spans="1:8" ht="12.95" customHeight="1">
      <c r="A51" s="2"/>
      <c r="B51" s="17" t="s">
        <v>121</v>
      </c>
      <c r="C51" s="13" t="s">
        <v>122</v>
      </c>
      <c r="D51" s="13" t="s">
        <v>84</v>
      </c>
      <c r="E51" s="18">
        <v>1500000</v>
      </c>
      <c r="F51" s="19">
        <v>1487.3924999999999</v>
      </c>
      <c r="G51" s="20">
        <v>2.4400000000000002E-2</v>
      </c>
      <c r="H51" s="21">
        <v>8.8399999999999992E-2</v>
      </c>
    </row>
    <row r="52" spans="1:8" ht="12.95" customHeight="1">
      <c r="A52" s="2"/>
      <c r="B52" s="17" t="s">
        <v>123</v>
      </c>
      <c r="C52" s="13" t="s">
        <v>124</v>
      </c>
      <c r="D52" s="13" t="s">
        <v>84</v>
      </c>
      <c r="E52" s="18">
        <v>1000000</v>
      </c>
      <c r="F52" s="19">
        <v>997.09100000000001</v>
      </c>
      <c r="G52" s="20">
        <v>1.6299999999999999E-2</v>
      </c>
      <c r="H52" s="21">
        <v>8.8756000000000002E-2</v>
      </c>
    </row>
    <row r="53" spans="1:8" ht="12.95" customHeight="1">
      <c r="A53" s="16" t="s">
        <v>26</v>
      </c>
      <c r="B53" s="17" t="s">
        <v>125</v>
      </c>
      <c r="C53" s="13" t="s">
        <v>126</v>
      </c>
      <c r="D53" s="13" t="s">
        <v>84</v>
      </c>
      <c r="E53" s="18">
        <v>1000000</v>
      </c>
      <c r="F53" s="19">
        <v>991.89200000000005</v>
      </c>
      <c r="G53" s="20">
        <v>1.6299999999999999E-2</v>
      </c>
      <c r="H53" s="21">
        <v>8.7752999999999998E-2</v>
      </c>
    </row>
    <row r="54" spans="1:8" ht="12.95" customHeight="1">
      <c r="A54" s="16" t="s">
        <v>27</v>
      </c>
      <c r="B54" s="17" t="s">
        <v>127</v>
      </c>
      <c r="C54" s="13" t="s">
        <v>128</v>
      </c>
      <c r="D54" s="13" t="s">
        <v>84</v>
      </c>
      <c r="E54" s="18">
        <v>1000000</v>
      </c>
      <c r="F54" s="19">
        <v>990.95600000000002</v>
      </c>
      <c r="G54" s="20">
        <v>1.6199999999999999E-2</v>
      </c>
      <c r="H54" s="21">
        <v>8.1248000000000001E-2</v>
      </c>
    </row>
    <row r="55" spans="1:8" ht="12.95" customHeight="1">
      <c r="A55" s="16" t="s">
        <v>28</v>
      </c>
      <c r="B55" s="17" t="s">
        <v>129</v>
      </c>
      <c r="C55" s="13" t="s">
        <v>130</v>
      </c>
      <c r="D55" s="13" t="s">
        <v>84</v>
      </c>
      <c r="E55" s="18">
        <v>1000000</v>
      </c>
      <c r="F55" s="19">
        <v>988.97799999999995</v>
      </c>
      <c r="G55" s="20">
        <v>1.6199999999999999E-2</v>
      </c>
      <c r="H55" s="21">
        <v>8.6549999999999988E-2</v>
      </c>
    </row>
    <row r="56" spans="1:8" ht="12.95" customHeight="1">
      <c r="A56" s="16" t="s">
        <v>29</v>
      </c>
      <c r="B56" s="17" t="s">
        <v>131</v>
      </c>
      <c r="C56" s="13" t="s">
        <v>132</v>
      </c>
      <c r="D56" s="13" t="s">
        <v>84</v>
      </c>
      <c r="E56" s="18">
        <v>1000000</v>
      </c>
      <c r="F56" s="19">
        <v>977.90800000000002</v>
      </c>
      <c r="G56" s="20">
        <v>1.6E-2</v>
      </c>
      <c r="H56" s="21">
        <v>9.9349000000000007E-2</v>
      </c>
    </row>
    <row r="57" spans="1:8" ht="12.95" customHeight="1">
      <c r="A57" s="16" t="s">
        <v>30</v>
      </c>
      <c r="B57" s="17" t="s">
        <v>133</v>
      </c>
      <c r="C57" s="13" t="s">
        <v>134</v>
      </c>
      <c r="D57" s="13" t="s">
        <v>84</v>
      </c>
      <c r="E57" s="18">
        <v>1000000</v>
      </c>
      <c r="F57" s="19">
        <v>949.22900000000004</v>
      </c>
      <c r="G57" s="20">
        <v>1.5599999999999999E-2</v>
      </c>
      <c r="H57" s="21">
        <v>9.5700000000000007E-2</v>
      </c>
    </row>
    <row r="58" spans="1:8" ht="12.95" customHeight="1">
      <c r="A58" s="16" t="s">
        <v>31</v>
      </c>
      <c r="B58" s="17" t="s">
        <v>135</v>
      </c>
      <c r="C58" s="13" t="s">
        <v>136</v>
      </c>
      <c r="D58" s="13" t="s">
        <v>89</v>
      </c>
      <c r="E58" s="18">
        <v>1000000</v>
      </c>
      <c r="F58" s="19">
        <v>951.95100000000002</v>
      </c>
      <c r="G58" s="20">
        <v>1.5599999999999999E-2</v>
      </c>
      <c r="H58" s="21">
        <v>8.8149999999999992E-2</v>
      </c>
    </row>
    <row r="59" spans="1:8" ht="12.95" customHeight="1">
      <c r="A59" s="16" t="s">
        <v>32</v>
      </c>
      <c r="B59" s="17" t="s">
        <v>137</v>
      </c>
      <c r="C59" s="13" t="s">
        <v>138</v>
      </c>
      <c r="D59" s="13" t="s">
        <v>84</v>
      </c>
      <c r="E59" s="18">
        <v>900000</v>
      </c>
      <c r="F59" s="19">
        <v>897.13170000000002</v>
      </c>
      <c r="G59" s="20">
        <v>1.47E-2</v>
      </c>
      <c r="H59" s="21">
        <v>8.3367999999999998E-2</v>
      </c>
    </row>
    <row r="60" spans="1:8" ht="12.95" customHeight="1">
      <c r="A60" s="16" t="s">
        <v>33</v>
      </c>
      <c r="B60" s="17" t="s">
        <v>139</v>
      </c>
      <c r="C60" s="13" t="s">
        <v>140</v>
      </c>
      <c r="D60" s="13" t="s">
        <v>99</v>
      </c>
      <c r="E60" s="18">
        <v>900000</v>
      </c>
      <c r="F60" s="19">
        <v>877.48559999999998</v>
      </c>
      <c r="G60" s="20">
        <v>1.44E-2</v>
      </c>
      <c r="H60" s="21">
        <v>9.004899999999999E-2</v>
      </c>
    </row>
    <row r="61" spans="1:8" ht="12.95" customHeight="1">
      <c r="A61" s="16" t="s">
        <v>34</v>
      </c>
      <c r="B61" s="12" t="s">
        <v>76</v>
      </c>
      <c r="C61" s="13"/>
      <c r="D61" s="13"/>
      <c r="E61" s="13"/>
      <c r="F61" s="22">
        <f>SUM(F51:F60)</f>
        <v>10110.014800000001</v>
      </c>
      <c r="G61" s="39">
        <f>SUM(G51:G60)</f>
        <v>0.16569999999999996</v>
      </c>
      <c r="H61" s="24"/>
    </row>
    <row r="62" spans="1:8" ht="12.95" customHeight="1">
      <c r="A62" s="16" t="s">
        <v>35</v>
      </c>
      <c r="B62" s="12" t="s">
        <v>141</v>
      </c>
      <c r="C62" s="13"/>
      <c r="D62" s="13"/>
      <c r="E62" s="13"/>
      <c r="F62" s="29"/>
      <c r="G62" s="30"/>
      <c r="H62" s="15"/>
    </row>
    <row r="63" spans="1:8" ht="12.95" customHeight="1">
      <c r="A63" s="2"/>
      <c r="B63" s="17" t="s">
        <v>142</v>
      </c>
      <c r="C63" s="41" t="s">
        <v>143</v>
      </c>
      <c r="D63" s="41" t="s">
        <v>70</v>
      </c>
      <c r="E63" s="18">
        <v>3500000</v>
      </c>
      <c r="F63" s="19">
        <v>3411.6145000000001</v>
      </c>
      <c r="G63" s="20">
        <v>5.5899999999999998E-2</v>
      </c>
      <c r="H63" s="21">
        <v>7.1098999999999996E-2</v>
      </c>
    </row>
    <row r="64" spans="1:8" ht="12.95" customHeight="1">
      <c r="A64" s="2"/>
      <c r="B64" s="17" t="s">
        <v>144</v>
      </c>
      <c r="C64" s="41" t="s">
        <v>145</v>
      </c>
      <c r="D64" s="41" t="s">
        <v>70</v>
      </c>
      <c r="E64" s="18">
        <v>1500000</v>
      </c>
      <c r="F64" s="19">
        <v>1460.0895</v>
      </c>
      <c r="G64" s="20">
        <v>2.3900000000000001E-2</v>
      </c>
      <c r="H64" s="21">
        <v>7.1265999999999996E-2</v>
      </c>
    </row>
    <row r="65" spans="1:8" ht="12.95" customHeight="1">
      <c r="A65" s="2"/>
      <c r="B65" s="12" t="s">
        <v>76</v>
      </c>
      <c r="C65" s="13"/>
      <c r="D65" s="13"/>
      <c r="E65" s="13"/>
      <c r="F65" s="22">
        <f>SUM(F63:F64)</f>
        <v>4871.7039999999997</v>
      </c>
      <c r="G65" s="39">
        <f>SUM(G63:G64)</f>
        <v>7.9799999999999996E-2</v>
      </c>
      <c r="H65" s="24"/>
    </row>
    <row r="66" spans="1:8" ht="12.95" customHeight="1">
      <c r="A66" s="16" t="s">
        <v>36</v>
      </c>
      <c r="B66" s="25" t="s">
        <v>79</v>
      </c>
      <c r="C66" s="28"/>
      <c r="D66" s="26"/>
      <c r="E66" s="28"/>
      <c r="F66" s="22">
        <f>F65+F61+F49+F29</f>
        <v>59198.463349999998</v>
      </c>
      <c r="G66" s="39">
        <f>G65+G61+G49+G29</f>
        <v>0.97</v>
      </c>
      <c r="H66" s="24"/>
    </row>
    <row r="67" spans="1:8" ht="12.95" customHeight="1">
      <c r="A67" s="16" t="s">
        <v>37</v>
      </c>
      <c r="B67" s="12" t="s">
        <v>146</v>
      </c>
      <c r="C67" s="13"/>
      <c r="D67" s="13"/>
      <c r="E67" s="13"/>
      <c r="F67" s="29"/>
      <c r="G67" s="30"/>
      <c r="H67" s="15"/>
    </row>
    <row r="68" spans="1:8" ht="12.95" customHeight="1">
      <c r="A68" s="2"/>
      <c r="B68" s="12" t="s">
        <v>147</v>
      </c>
      <c r="C68" s="13"/>
      <c r="D68" s="13"/>
      <c r="E68" s="13"/>
      <c r="F68" s="29"/>
      <c r="G68" s="30"/>
      <c r="H68" s="15"/>
    </row>
    <row r="69" spans="1:8" ht="12.95" customHeight="1">
      <c r="A69" s="2"/>
      <c r="B69" s="17" t="s">
        <v>148</v>
      </c>
      <c r="C69" s="13" t="s">
        <v>149</v>
      </c>
      <c r="D69" s="13"/>
      <c r="E69" s="31">
        <v>1358.04</v>
      </c>
      <c r="F69" s="19">
        <v>137.4273657</v>
      </c>
      <c r="G69" s="20">
        <v>2.3E-3</v>
      </c>
      <c r="H69" s="21"/>
    </row>
    <row r="70" spans="1:8" ht="12.95" customHeight="1">
      <c r="A70" s="2"/>
      <c r="B70" s="12" t="s">
        <v>76</v>
      </c>
      <c r="C70" s="13"/>
      <c r="D70" s="13"/>
      <c r="E70" s="13"/>
      <c r="F70" s="22">
        <f>F69</f>
        <v>137.4273657</v>
      </c>
      <c r="G70" s="23">
        <f>G69</f>
        <v>2.3E-3</v>
      </c>
      <c r="H70" s="24"/>
    </row>
    <row r="71" spans="1:8" ht="12.95" customHeight="1">
      <c r="A71" s="2"/>
      <c r="B71" s="25" t="s">
        <v>79</v>
      </c>
      <c r="C71" s="28"/>
      <c r="D71" s="26"/>
      <c r="E71" s="28"/>
      <c r="F71" s="22">
        <f t="shared" ref="F71:G71" si="1">F70</f>
        <v>137.4273657</v>
      </c>
      <c r="G71" s="23">
        <f t="shared" si="1"/>
        <v>2.3E-3</v>
      </c>
      <c r="H71" s="24"/>
    </row>
    <row r="72" spans="1:8" ht="12.95" customHeight="1">
      <c r="A72" s="16" t="s">
        <v>38</v>
      </c>
      <c r="B72" s="12" t="s">
        <v>150</v>
      </c>
      <c r="C72" s="13"/>
      <c r="D72" s="13"/>
      <c r="E72" s="13"/>
      <c r="F72" s="29"/>
      <c r="G72" s="30"/>
      <c r="H72" s="15"/>
    </row>
    <row r="73" spans="1:8" ht="12.95" customHeight="1">
      <c r="A73" s="2"/>
      <c r="B73" s="17" t="s">
        <v>151</v>
      </c>
      <c r="C73" s="13"/>
      <c r="D73" s="13" t="s">
        <v>152</v>
      </c>
      <c r="E73" s="18"/>
      <c r="F73" s="19">
        <v>1289.33392</v>
      </c>
      <c r="G73" s="20">
        <v>2.1100000000000001E-2</v>
      </c>
      <c r="H73" s="21"/>
    </row>
    <row r="74" spans="1:8" ht="12.95" customHeight="1">
      <c r="A74" s="2"/>
      <c r="B74" s="12" t="s">
        <v>76</v>
      </c>
      <c r="C74" s="13"/>
      <c r="D74" s="13"/>
      <c r="E74" s="13"/>
      <c r="F74" s="22">
        <f t="shared" ref="F74:G74" si="2">F73</f>
        <v>1289.33392</v>
      </c>
      <c r="G74" s="23">
        <f t="shared" si="2"/>
        <v>2.1100000000000001E-2</v>
      </c>
      <c r="H74" s="24"/>
    </row>
    <row r="75" spans="1:8" ht="12.95" customHeight="1">
      <c r="A75" s="2"/>
      <c r="B75" s="25" t="s">
        <v>77</v>
      </c>
      <c r="C75" s="26"/>
      <c r="D75" s="26"/>
      <c r="E75" s="26"/>
      <c r="F75" s="27" t="s">
        <v>78</v>
      </c>
      <c r="G75" s="23" t="s">
        <v>78</v>
      </c>
      <c r="H75" s="24"/>
    </row>
    <row r="76" spans="1:8" ht="12.95" customHeight="1">
      <c r="A76" s="16" t="s">
        <v>39</v>
      </c>
      <c r="B76" s="25" t="s">
        <v>76</v>
      </c>
      <c r="C76" s="26"/>
      <c r="D76" s="26"/>
      <c r="E76" s="26"/>
      <c r="F76" s="27" t="s">
        <v>78</v>
      </c>
      <c r="G76" s="23" t="s">
        <v>78</v>
      </c>
      <c r="H76" s="24"/>
    </row>
    <row r="77" spans="1:8" ht="12.95" customHeight="1">
      <c r="A77" s="2"/>
      <c r="B77" s="25" t="s">
        <v>79</v>
      </c>
      <c r="C77" s="28"/>
      <c r="D77" s="26"/>
      <c r="E77" s="28"/>
      <c r="F77" s="22">
        <f t="shared" ref="F77:G77" si="3">F74</f>
        <v>1289.33392</v>
      </c>
      <c r="G77" s="23">
        <f t="shared" si="3"/>
        <v>2.1100000000000001E-2</v>
      </c>
      <c r="H77" s="24"/>
    </row>
    <row r="78" spans="1:8" ht="12.95" customHeight="1">
      <c r="A78" s="2"/>
      <c r="B78" s="25" t="s">
        <v>153</v>
      </c>
      <c r="C78" s="13"/>
      <c r="D78" s="26"/>
      <c r="E78" s="13"/>
      <c r="F78" s="22">
        <v>398.21527549999882</v>
      </c>
      <c r="G78" s="23">
        <v>6.6E-3</v>
      </c>
      <c r="H78" s="24"/>
    </row>
    <row r="79" spans="1:8" ht="12.95" customHeight="1" thickBot="1">
      <c r="A79" s="2"/>
      <c r="B79" s="32" t="s">
        <v>154</v>
      </c>
      <c r="C79" s="33"/>
      <c r="D79" s="33"/>
      <c r="E79" s="33"/>
      <c r="F79" s="34">
        <f>F78+F77+F71+F66</f>
        <v>61023.439911199996</v>
      </c>
      <c r="G79" s="40">
        <f>G78+G77+G71+G66</f>
        <v>1</v>
      </c>
      <c r="H79" s="35"/>
    </row>
    <row r="80" spans="1:8" ht="12.95" customHeight="1">
      <c r="A80" s="2"/>
      <c r="B80" s="3" t="s">
        <v>152</v>
      </c>
      <c r="C80" s="2"/>
      <c r="D80" s="2"/>
      <c r="E80" s="2"/>
      <c r="F80" s="2"/>
      <c r="G80" s="2"/>
      <c r="H80" s="2"/>
    </row>
    <row r="81" spans="1:8" ht="12.95" customHeight="1">
      <c r="A81" s="2"/>
      <c r="B81" s="3" t="s">
        <v>155</v>
      </c>
      <c r="C81" s="2"/>
      <c r="D81" s="2"/>
      <c r="E81" s="2"/>
      <c r="F81" s="2"/>
      <c r="G81" s="2"/>
      <c r="H81" s="2"/>
    </row>
    <row r="82" spans="1:8" ht="12.95" customHeight="1">
      <c r="A82" s="2"/>
      <c r="B82" s="3" t="s">
        <v>156</v>
      </c>
      <c r="C82" s="2"/>
      <c r="D82" s="2"/>
      <c r="E82" s="2"/>
      <c r="F82" s="2"/>
      <c r="G82" s="2"/>
      <c r="H82" s="2"/>
    </row>
    <row r="83" spans="1:8" ht="12.95" customHeight="1" thickBot="1">
      <c r="A83" s="2"/>
      <c r="B83" s="3"/>
      <c r="C83" s="2"/>
      <c r="D83" s="2"/>
      <c r="E83" s="2"/>
      <c r="F83" s="2"/>
      <c r="G83" s="2"/>
      <c r="H83" s="2"/>
    </row>
    <row r="84" spans="1:8" ht="12.95" customHeight="1" thickBot="1">
      <c r="A84" s="2"/>
      <c r="B84" s="47" t="s">
        <v>157</v>
      </c>
      <c r="C84" s="48">
        <v>0.41</v>
      </c>
      <c r="D84" s="2"/>
      <c r="E84" s="2"/>
      <c r="F84" s="2"/>
      <c r="G84" s="2"/>
      <c r="H84" s="2"/>
    </row>
    <row r="85" spans="1:8" ht="12.95" customHeight="1" thickBot="1">
      <c r="A85" s="2"/>
      <c r="B85" s="49"/>
      <c r="C85" s="49"/>
    </row>
    <row r="86" spans="1:8" ht="12.95" customHeight="1" thickBot="1">
      <c r="A86" s="2"/>
      <c r="B86" s="42"/>
      <c r="C86" s="43" t="s">
        <v>158</v>
      </c>
    </row>
    <row r="87" spans="1:8" ht="50.25" thickBot="1">
      <c r="A87" s="2"/>
      <c r="B87" s="44" t="s">
        <v>159</v>
      </c>
      <c r="C87" s="45" t="s">
        <v>1</v>
      </c>
    </row>
    <row r="88" spans="1:8" ht="17.25" thickBot="1">
      <c r="B88" s="44" t="s">
        <v>160</v>
      </c>
      <c r="C88" s="50"/>
    </row>
    <row r="89" spans="1:8" ht="17.25" thickBot="1">
      <c r="B89" s="51"/>
      <c r="C89" s="46"/>
    </row>
    <row r="90" spans="1:8" ht="17.25" thickBot="1">
      <c r="B90" s="44" t="s">
        <v>161</v>
      </c>
      <c r="C90" s="52">
        <v>7.9799999999999996E-2</v>
      </c>
    </row>
    <row r="91" spans="1:8" ht="17.25" thickBot="1">
      <c r="B91" s="44"/>
      <c r="C91" s="46"/>
    </row>
    <row r="92" spans="1:8" ht="17.25" thickBot="1">
      <c r="B92" s="44" t="s">
        <v>162</v>
      </c>
      <c r="C92" s="53">
        <v>0.42</v>
      </c>
    </row>
    <row r="93" spans="1:8" ht="17.25" thickBot="1">
      <c r="B93" s="44" t="s">
        <v>163</v>
      </c>
      <c r="C93" s="53">
        <v>157.44</v>
      </c>
    </row>
    <row r="94" spans="1:8" ht="17.25" thickBot="1">
      <c r="B94" s="44"/>
      <c r="C94" s="46"/>
    </row>
    <row r="95" spans="1:8" ht="17.25" thickBot="1">
      <c r="B95" s="44" t="s">
        <v>164</v>
      </c>
      <c r="C95" s="36">
        <v>45322</v>
      </c>
    </row>
    <row r="96" spans="1:8" ht="16.5">
      <c r="B96" s="37" t="s">
        <v>40</v>
      </c>
      <c r="C96" s="38"/>
    </row>
  </sheetData>
  <sortState ref="A64:I68">
    <sortCondition descending="1" ref="G64"/>
  </sortState>
  <mergeCells count="2">
    <mergeCell ref="B1:H2"/>
    <mergeCell ref="B3:H4"/>
  </mergeCells>
  <hyperlinks>
    <hyperlink ref="A1" location="Sheet1!A1" display="Home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MAUSF</vt:lpstr>
      <vt:lpstr>JR_PAGE_ANCHOR_0_47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lenovo</cp:lastModifiedBy>
  <dcterms:created xsi:type="dcterms:W3CDTF">2023-11-03T09:14:39Z</dcterms:created>
  <dcterms:modified xsi:type="dcterms:W3CDTF">2024-02-06T18:21:17Z</dcterms:modified>
</cp:coreProperties>
</file>