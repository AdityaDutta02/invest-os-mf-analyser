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4940" windowHeight="9150"/>
  </bookViews>
  <sheets>
    <sheet name="MACMF" sheetId="1" r:id="rId1"/>
    <sheet name="MAEBF" sheetId="2" r:id="rId2"/>
    <sheet name="MICCF" sheetId="3" r:id="rId3"/>
    <sheet name="MICHF" sheetId="4" r:id="rId4"/>
    <sheet name="MIGCS" sheetId="5" r:id="rId5"/>
    <sheet name="MIIOF" sheetId="6" r:id="rId6"/>
    <sheet name="MILPF" sheetId="7" r:id="rId7"/>
    <sheet name="MISTB" sheetId="8" r:id="rId8"/>
  </sheets>
  <definedNames>
    <definedName name="_xlnm._FilterDatabase" localSheetId="2" hidden="1">MICCF!$A$10:$I$87</definedName>
  </definedNames>
  <calcPr calcId="145621"/>
</workbook>
</file>

<file path=xl/calcChain.xml><?xml version="1.0" encoding="utf-8"?>
<calcChain xmlns="http://schemas.openxmlformats.org/spreadsheetml/2006/main">
  <c r="G31" i="8" l="1"/>
  <c r="H31" i="8"/>
  <c r="F31" i="8"/>
  <c r="G35" i="7"/>
  <c r="H35" i="7"/>
  <c r="F35" i="7"/>
  <c r="G85" i="6"/>
  <c r="H85" i="6"/>
  <c r="F85" i="6"/>
  <c r="G64" i="5"/>
  <c r="H64" i="5"/>
  <c r="F64" i="5"/>
  <c r="G30" i="4"/>
  <c r="H30" i="4"/>
  <c r="F30" i="4"/>
  <c r="G80" i="3"/>
  <c r="H80" i="3"/>
  <c r="F80" i="3"/>
  <c r="G90" i="2"/>
  <c r="H90" i="2"/>
  <c r="I90" i="2"/>
  <c r="F90" i="2"/>
  <c r="G36" i="1"/>
  <c r="H36" i="1"/>
  <c r="F36" i="1"/>
  <c r="H44" i="5" l="1"/>
  <c r="F44" i="5"/>
  <c r="H18" i="5"/>
  <c r="F18" i="5"/>
  <c r="H60" i="3"/>
  <c r="F60" i="3"/>
  <c r="H49" i="3"/>
  <c r="F49" i="3"/>
  <c r="H41" i="3"/>
  <c r="F41" i="3"/>
</calcChain>
</file>

<file path=xl/sharedStrings.xml><?xml version="1.0" encoding="utf-8"?>
<sst xmlns="http://schemas.openxmlformats.org/spreadsheetml/2006/main" count="1427" uniqueCount="390">
  <si>
    <t>Mirae Asset Cash Management Fund</t>
  </si>
  <si>
    <t/>
  </si>
  <si>
    <t>Monthly Portfolio Statement as on May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</si>
  <si>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</si>
  <si>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</si>
  <si>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</si>
  <si>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</si>
  <si>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</si>
  <si>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</si>
  <si>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</si>
  <si>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</si>
  <si>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</si>
  <si>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</si>
  <si>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Union Bank of India (24/07/2015) ** #</t>
  </si>
  <si>
    <t>INE692A16EJ7</t>
  </si>
  <si>
    <t>CRISIL A1+</t>
  </si>
  <si>
    <t>Oriental Bank of Commerce (06/07/2015) ** #</t>
  </si>
  <si>
    <t>INE141A16UD4</t>
  </si>
  <si>
    <t>Canara Bank (12/06/2015) ** #</t>
  </si>
  <si>
    <t>INE476A16PD4</t>
  </si>
  <si>
    <t>IDBI Bank Ltd (19/06/2015) ** #</t>
  </si>
  <si>
    <t>INE008A16ZM5</t>
  </si>
  <si>
    <t>Corporation Bank (25/06/2015) ** #</t>
  </si>
  <si>
    <t>INE112A16HS0</t>
  </si>
  <si>
    <t>Punjab &amp; Sind Bank (02/07/2015) ** #</t>
  </si>
  <si>
    <t>INE608A16IT3</t>
  </si>
  <si>
    <t>Indusind Bank Ltd (15/07/2015) ** #</t>
  </si>
  <si>
    <t>INE095A16QJ7</t>
  </si>
  <si>
    <t>Axis Bank Ltd (21/07/2015) ** #</t>
  </si>
  <si>
    <t>INE238A16ZO4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</si>
  <si>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</si>
  <si>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</si>
  <si>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</si>
  <si>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</si>
  <si>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</si>
  <si>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</si>
  <si>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</si>
  <si>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</si>
  <si>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</si>
  <si>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</si>
  <si>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</si>
  <si>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</si>
  <si>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</si>
  <si>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</si>
  <si>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</si>
  <si>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</si>
  <si>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Yes Bank Ltd</t>
  </si>
  <si>
    <t>INE528G01019</t>
  </si>
  <si>
    <t>Hindustan Petroleum Corporation Ltd</t>
  </si>
  <si>
    <t>INE094A01015</t>
  </si>
  <si>
    <t>Petroleum Products</t>
  </si>
  <si>
    <t>ICICI Bank Ltd</t>
  </si>
  <si>
    <t>INE090A01021</t>
  </si>
  <si>
    <t>Sundaram Finance Ltd</t>
  </si>
  <si>
    <t>INE660A01013</t>
  </si>
  <si>
    <t>Finance</t>
  </si>
  <si>
    <t>Amara Raja Batteries Ltd</t>
  </si>
  <si>
    <t>INE885A01032</t>
  </si>
  <si>
    <t>Auto Ancillaries</t>
  </si>
  <si>
    <t>Voltas Ltd</t>
  </si>
  <si>
    <t>INE226A01021</t>
  </si>
  <si>
    <t>Construction Project</t>
  </si>
  <si>
    <t>The Federal Bank  Ltd</t>
  </si>
  <si>
    <t>INE171A01029</t>
  </si>
  <si>
    <t>FAG Bearings India Ltd</t>
  </si>
  <si>
    <t>INE513A01014</t>
  </si>
  <si>
    <t>Industrial Products</t>
  </si>
  <si>
    <t>Gateway Distriparks Ltd</t>
  </si>
  <si>
    <t>INE852F01015</t>
  </si>
  <si>
    <t>Transportation</t>
  </si>
  <si>
    <t>Natco Pharma Ltd</t>
  </si>
  <si>
    <t>INE987B01018</t>
  </si>
  <si>
    <t>Pharmaceuticals</t>
  </si>
  <si>
    <t>Glenmark Pharmaceuticals Ltd</t>
  </si>
  <si>
    <t>INE935A01035</t>
  </si>
  <si>
    <t>Info Edge (India) Ltd</t>
  </si>
  <si>
    <t>INE663F01024</t>
  </si>
  <si>
    <t>Software</t>
  </si>
  <si>
    <t>IPCA Laboratories Ltd</t>
  </si>
  <si>
    <t>INE571A01020</t>
  </si>
  <si>
    <t>Tata Chemicals Ltd</t>
  </si>
  <si>
    <t>INE092A01019</t>
  </si>
  <si>
    <t>Chemicals</t>
  </si>
  <si>
    <t>Asian Paints Ltd</t>
  </si>
  <si>
    <t>INE021A01026</t>
  </si>
  <si>
    <t>Consumer Non Durables</t>
  </si>
  <si>
    <t>Bharat Forge Ltd</t>
  </si>
  <si>
    <t>INE465A01025</t>
  </si>
  <si>
    <t>JK Cement Ltd</t>
  </si>
  <si>
    <t>INE823G01014</t>
  </si>
  <si>
    <t>Cement</t>
  </si>
  <si>
    <t>Emami Ltd</t>
  </si>
  <si>
    <t>INE548C01032</t>
  </si>
  <si>
    <t>Britannia Industries Ltd</t>
  </si>
  <si>
    <t>INE216A01022</t>
  </si>
  <si>
    <t>Torrent Pharmaceuticals Ltd</t>
  </si>
  <si>
    <t>INE685A01028</t>
  </si>
  <si>
    <t>Dewan Housing Finance Corporation Ltd</t>
  </si>
  <si>
    <t>INE202B01012</t>
  </si>
  <si>
    <t>Karur Vysya Bank Ltd</t>
  </si>
  <si>
    <t>INE036D01010</t>
  </si>
  <si>
    <t>Atul Ltd</t>
  </si>
  <si>
    <t>INE100A01010</t>
  </si>
  <si>
    <t>Akzo Nobel India Ltd</t>
  </si>
  <si>
    <t>INE133A01011</t>
  </si>
  <si>
    <t>Coromandel International Ltd</t>
  </si>
  <si>
    <t>INE169A01031</t>
  </si>
  <si>
    <t>Fertilisers</t>
  </si>
  <si>
    <t>Crompton  Greaves Ltd</t>
  </si>
  <si>
    <t>INE067A01029</t>
  </si>
  <si>
    <t>Industrial Capital Goods</t>
  </si>
  <si>
    <t>HSIL Ltd</t>
  </si>
  <si>
    <t>INE415A01038</t>
  </si>
  <si>
    <t>Consumer Durables</t>
  </si>
  <si>
    <t>Ramkrishna Forgings Ltd</t>
  </si>
  <si>
    <t>INE399G01015</t>
  </si>
  <si>
    <t>Gillette India Ltd</t>
  </si>
  <si>
    <t>INE322A01010</t>
  </si>
  <si>
    <t>Carborundum Universal Ltd</t>
  </si>
  <si>
    <t>INE120A01034</t>
  </si>
  <si>
    <t>AIA Engineering Ltd</t>
  </si>
  <si>
    <t>INE212H01026</t>
  </si>
  <si>
    <t>KEC International Ltd</t>
  </si>
  <si>
    <t>INE389H01022</t>
  </si>
  <si>
    <t>LIC Housing Finance Ltd</t>
  </si>
  <si>
    <t>INE115A01026</t>
  </si>
  <si>
    <t>Exide Industries Ltd</t>
  </si>
  <si>
    <t>INE302A01020</t>
  </si>
  <si>
    <t>Gulf Oil Lubricants India Ltd</t>
  </si>
  <si>
    <t>INE635Q01029</t>
  </si>
  <si>
    <t>Vinati Organics Ltd</t>
  </si>
  <si>
    <t>INE410B01029</t>
  </si>
  <si>
    <t>VST Tillers Tractors Ltd</t>
  </si>
  <si>
    <t>INE764D01017</t>
  </si>
  <si>
    <t>Auto</t>
  </si>
  <si>
    <t>Multi Commodity Exchange of India Ltd</t>
  </si>
  <si>
    <t>INE745G01035</t>
  </si>
  <si>
    <t>Eclerx Services Ltd</t>
  </si>
  <si>
    <t>INE738I01010</t>
  </si>
  <si>
    <t>Prism CEMENT Ltd</t>
  </si>
  <si>
    <t>INE010A01011</t>
  </si>
  <si>
    <t>Godfrey Phillips India Ltd</t>
  </si>
  <si>
    <t>INE260B01028</t>
  </si>
  <si>
    <t>Indian Bank</t>
  </si>
  <si>
    <t>INE562A01011</t>
  </si>
  <si>
    <t>Pidilite Industries Ltd</t>
  </si>
  <si>
    <t>INE318A01026</t>
  </si>
  <si>
    <t>Divi's Laboratories Ltd</t>
  </si>
  <si>
    <t>INE361B01024</t>
  </si>
  <si>
    <t>Petronet LNG Ltd</t>
  </si>
  <si>
    <t>INE347G01014</t>
  </si>
  <si>
    <t>Gas</t>
  </si>
  <si>
    <t>Thermax Ltd</t>
  </si>
  <si>
    <t>INE152A01029</t>
  </si>
  <si>
    <t>Triveni Turbine Ltd</t>
  </si>
  <si>
    <t>INE152M01016</t>
  </si>
  <si>
    <t>Bajaj Finance Ltd</t>
  </si>
  <si>
    <t>INE296A01016</t>
  </si>
  <si>
    <t>IRB Infrastructure Developers Ltd</t>
  </si>
  <si>
    <t>INE821I01014</t>
  </si>
  <si>
    <t>Construction</t>
  </si>
  <si>
    <t>Welspun India Ltd</t>
  </si>
  <si>
    <t>INE192B01023</t>
  </si>
  <si>
    <t>Textile Products</t>
  </si>
  <si>
    <t>HT Media Ltd</t>
  </si>
  <si>
    <t>INE501G01024</t>
  </si>
  <si>
    <t>Media &amp; Entertainment</t>
  </si>
  <si>
    <t>Tech Mahindra Ltd</t>
  </si>
  <si>
    <t>INE669C01036</t>
  </si>
  <si>
    <t>Gayatri Projects Ltd</t>
  </si>
  <si>
    <t>INE336H01015</t>
  </si>
  <si>
    <t>Solar Industries India Ltd</t>
  </si>
  <si>
    <t>INE343H01011</t>
  </si>
  <si>
    <t>CESC Ltd</t>
  </si>
  <si>
    <t>INE486A01013</t>
  </si>
  <si>
    <t>Power</t>
  </si>
  <si>
    <t>Sun TV Network Ltd</t>
  </si>
  <si>
    <t>INE424H01027</t>
  </si>
  <si>
    <t>NIIT Technologies Ltd</t>
  </si>
  <si>
    <t>INE591G01017</t>
  </si>
  <si>
    <t>Gulf Oil Corporation Ltd</t>
  </si>
  <si>
    <t>INE077F01035</t>
  </si>
  <si>
    <t>Oil India Ltd</t>
  </si>
  <si>
    <t>INE274J01014</t>
  </si>
  <si>
    <t>Oil</t>
  </si>
  <si>
    <t>Eicher Motors Ltd</t>
  </si>
  <si>
    <t>INE066A01013</t>
  </si>
  <si>
    <t>Titan Company Limited</t>
  </si>
  <si>
    <t>INE280A01028</t>
  </si>
  <si>
    <t>$0.00%</t>
  </si>
  <si>
    <t>Titagarh Wagons Ltd</t>
  </si>
  <si>
    <t>INE615H01020</t>
  </si>
  <si>
    <t>(b) Unlisted</t>
  </si>
  <si>
    <t>NIL</t>
  </si>
  <si>
    <t xml:space="preserve">$  Less Than 0.01% of Net Asset Value </t>
  </si>
  <si>
    <t>Mirae Asset India China Consumption Fund</t>
  </si>
  <si>
    <t>HDFC Bank Ltd</t>
  </si>
  <si>
    <t>INE040A01026</t>
  </si>
  <si>
    <t>Tencent Holdings</t>
  </si>
  <si>
    <t>KYG875721634</t>
  </si>
  <si>
    <t>Internet Software &amp; Services</t>
  </si>
  <si>
    <t>ITC Ltd</t>
  </si>
  <si>
    <t>INE154A01025</t>
  </si>
  <si>
    <t>Maruti Suzuki India Ltd</t>
  </si>
  <si>
    <t>INE585B01010</t>
  </si>
  <si>
    <t>Indusind Bank Ltd</t>
  </si>
  <si>
    <t>INE095A01012</t>
  </si>
  <si>
    <t>Ping An Ins Grp-H</t>
  </si>
  <si>
    <t>CNE1000003X6</t>
  </si>
  <si>
    <t>Life &amp; Health Insurance</t>
  </si>
  <si>
    <t>IN9155A01020</t>
  </si>
  <si>
    <t>Housing Development Finance Corporation Ltd</t>
  </si>
  <si>
    <t>INE001A01036</t>
  </si>
  <si>
    <t>Samsonite  International  S A</t>
  </si>
  <si>
    <t>LU0633102719</t>
  </si>
  <si>
    <t>Apparel, Accessories and Luxury Goods</t>
  </si>
  <si>
    <t>State Bank of India</t>
  </si>
  <si>
    <t>INE062A01020</t>
  </si>
  <si>
    <t>ALIBABA GROUP HOLDING ADR</t>
  </si>
  <si>
    <t>US01609W1027</t>
  </si>
  <si>
    <t>AIA GROUP LTD</t>
  </si>
  <si>
    <t>HK0000069689</t>
  </si>
  <si>
    <t>Vipshop Holding Ltd</t>
  </si>
  <si>
    <t>US92763W1036</t>
  </si>
  <si>
    <t>Miscellaneous</t>
  </si>
  <si>
    <t>Procter &amp; Gamble Hygiene and Health Care Ltd</t>
  </si>
  <si>
    <t>INE179A01014</t>
  </si>
  <si>
    <t>Hero MotoCorp Ltd</t>
  </si>
  <si>
    <t>INE158A01026</t>
  </si>
  <si>
    <t>Lenovo Group Ltd</t>
  </si>
  <si>
    <t>HK0992009065</t>
  </si>
  <si>
    <t>Computer Hardware</t>
  </si>
  <si>
    <t>Glaxosmithkline Consumer Healthcare Ltd</t>
  </si>
  <si>
    <t>INE264A01014</t>
  </si>
  <si>
    <t>Colgate Palmolive (India) Ltd</t>
  </si>
  <si>
    <t>INE259A01022</t>
  </si>
  <si>
    <t>Brilliance China Automotive Holdings Ltd</t>
  </si>
  <si>
    <t>BMG1368B1028</t>
  </si>
  <si>
    <t>Automobile Manufacturers</t>
  </si>
  <si>
    <t>Sihuan Pharmaceutical Holdings Group Ord Shs</t>
  </si>
  <si>
    <t>BMG8162K1137</t>
  </si>
  <si>
    <t>Baidu Sp ADR-A</t>
  </si>
  <si>
    <t>US0567521085</t>
  </si>
  <si>
    <t>Bharti Airtel Ltd</t>
  </si>
  <si>
    <t>INE397D01024</t>
  </si>
  <si>
    <t>Telecom - Services</t>
  </si>
  <si>
    <t>CSPC Pharmaceutical Group Ltd</t>
  </si>
  <si>
    <t>HK1093012172</t>
  </si>
  <si>
    <t>JD Com Inc ADR</t>
  </si>
  <si>
    <t>US47215P1066</t>
  </si>
  <si>
    <t>China Life Insurance Co Ltd</t>
  </si>
  <si>
    <t>CNE1000002L3</t>
  </si>
  <si>
    <t>Mirae Asset China Advantage Fund</t>
  </si>
  <si>
    <t>Industry / Rating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</si>
  <si>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</si>
  <si>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</si>
  <si>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</si>
  <si>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</si>
  <si>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</si>
  <si>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</si>
  <si>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</si>
  <si>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BHP Billiton Ltd</t>
  </si>
  <si>
    <t>AU000000BHP4</t>
  </si>
  <si>
    <t>Diversified Metals &amp; Mining</t>
  </si>
  <si>
    <t>Reliance Industries Ltd</t>
  </si>
  <si>
    <t>INE002A01018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</si>
  <si>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</si>
  <si>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</si>
  <si>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</si>
  <si>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</si>
  <si>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</si>
  <si>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</si>
  <si>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</si>
  <si>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</si>
  <si>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</si>
  <si>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</si>
  <si>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Woodside Petroleum Ltd</t>
  </si>
  <si>
    <t>AU000000WPL2</t>
  </si>
  <si>
    <t>Vedanta Ltd</t>
  </si>
  <si>
    <t>INE205A01025</t>
  </si>
  <si>
    <t>Non - Ferrous Metals</t>
  </si>
  <si>
    <t>Coal India Ltd</t>
  </si>
  <si>
    <t>INE522F01014</t>
  </si>
  <si>
    <t>Minerals/Mining</t>
  </si>
  <si>
    <t>AMCOR LIMITED</t>
  </si>
  <si>
    <t>AU000000AMC4</t>
  </si>
  <si>
    <t>Paper Packaging</t>
  </si>
  <si>
    <t>Origin Energy Ltd</t>
  </si>
  <si>
    <t>AU000000ORG5</t>
  </si>
  <si>
    <t>China Shenhua - H</t>
  </si>
  <si>
    <t>CNE1000002R0</t>
  </si>
  <si>
    <t>Coal &amp; Consumable Fuels</t>
  </si>
  <si>
    <t>Anhui Conch -H-</t>
  </si>
  <si>
    <t>CNE1000001W2</t>
  </si>
  <si>
    <t>Construction Materials</t>
  </si>
  <si>
    <t>Orica Ltd</t>
  </si>
  <si>
    <t>AU000000ORI1</t>
  </si>
  <si>
    <t>Commodity Chemicals</t>
  </si>
  <si>
    <t>Santos Ltd-AUD</t>
  </si>
  <si>
    <t>AU000000STO6</t>
  </si>
  <si>
    <t>Bharat Petroleum Corporation Ltd</t>
  </si>
  <si>
    <t>INE029A01011</t>
  </si>
  <si>
    <t>Oil Search Ltd</t>
  </si>
  <si>
    <t>PG0008579883</t>
  </si>
  <si>
    <t>Hindalco Industries Ltd</t>
  </si>
  <si>
    <t>INE038A01020</t>
  </si>
  <si>
    <t>Kunlun Energy Company Ltd</t>
  </si>
  <si>
    <t>BMG5320C1082</t>
  </si>
  <si>
    <t>Jiangxi Copper Company Ltd</t>
  </si>
  <si>
    <t>CNE1000003K3</t>
  </si>
  <si>
    <t>LG Chemicals Ltd</t>
  </si>
  <si>
    <t>KR7051910008</t>
  </si>
  <si>
    <t>POSCO (Pohang Iron &amp; Steel Co Ltd )</t>
  </si>
  <si>
    <t>KR7005490008</t>
  </si>
  <si>
    <t>Steel</t>
  </si>
  <si>
    <t>PT Semen Indonesia ( Persero) TBK</t>
  </si>
  <si>
    <t>ID1000106800</t>
  </si>
  <si>
    <t>SK Innovation Co Ltd</t>
  </si>
  <si>
    <t>KR7096770003</t>
  </si>
  <si>
    <t>Oil &amp; Gas Refining &amp; Marketing</t>
  </si>
  <si>
    <t>China National Building Materia Ltd</t>
  </si>
  <si>
    <t>CNE1000002N9</t>
  </si>
  <si>
    <t>Cairn India Ltd</t>
  </si>
  <si>
    <t>INE910H01017</t>
  </si>
  <si>
    <t>Dongkuk Steel Mill Co Ltd</t>
  </si>
  <si>
    <t>KR7001230002</t>
  </si>
  <si>
    <t>Orora Ltd</t>
  </si>
  <si>
    <t>AU000000ORA8</t>
  </si>
  <si>
    <t>Mirae Asset India Opportunities Fund</t>
  </si>
  <si>
    <t>Larsen &amp; Toubro Ltd</t>
  </si>
  <si>
    <t>INE018A01030</t>
  </si>
  <si>
    <t>Sun Pharmaceuticals Industries Ltd</t>
  </si>
  <si>
    <t>INE044A01036</t>
  </si>
  <si>
    <t>Tata Consultancy Services Ltd</t>
  </si>
  <si>
    <t>INE467B01029</t>
  </si>
  <si>
    <t>Infosys Ltd</t>
  </si>
  <si>
    <t>INE009A01021</t>
  </si>
  <si>
    <t>Axis Bank Ltd</t>
  </si>
  <si>
    <t>INE238A01034</t>
  </si>
  <si>
    <t>Ultratech Cement Ltd</t>
  </si>
  <si>
    <t>INE481G01011</t>
  </si>
  <si>
    <t>HCL Technologies Ltd</t>
  </si>
  <si>
    <t>INE860A01027</t>
  </si>
  <si>
    <t>Tata Steel Ltd</t>
  </si>
  <si>
    <t>INE081A01012</t>
  </si>
  <si>
    <t>Ferrous Metals</t>
  </si>
  <si>
    <t>Bank of Baroda</t>
  </si>
  <si>
    <t>INE028A01039</t>
  </si>
  <si>
    <t>Lupin Ltd</t>
  </si>
  <si>
    <t>INE326A01037</t>
  </si>
  <si>
    <t>Mirae Asset Ultra Short Term Bond Fund</t>
  </si>
  <si>
    <t>Syndicate Bank (10/06/2015) ** #</t>
  </si>
  <si>
    <t>INE667A16EX0</t>
  </si>
  <si>
    <t>CARE A1+</t>
  </si>
  <si>
    <t>Vijaya Bank (24/07/2015) ** #</t>
  </si>
  <si>
    <t>INE705A16LW5</t>
  </si>
  <si>
    <t>Axis Bank Ltd (19/01/2016) ** #</t>
  </si>
  <si>
    <t>INE238A16YO7</t>
  </si>
  <si>
    <t>Canara Bank (15/12/2015) ** #</t>
  </si>
  <si>
    <t>INE476A16PJ1</t>
  </si>
  <si>
    <t>Corporation Bank (08/12/2015) ** #</t>
  </si>
  <si>
    <t>INE112A16HG5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</si>
  <si>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</si>
  <si>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</si>
  <si>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</si>
  <si>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</si>
  <si>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</si>
  <si>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</si>
  <si>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</si>
  <si>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</si>
  <si>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American Depository Receipt</t>
  </si>
  <si>
    <t>FOREIGN SECURITIES/OVERSEAS ETFS@@</t>
  </si>
  <si>
    <t>India Equity Share*</t>
  </si>
  <si>
    <t>International Equity Shares</t>
  </si>
  <si>
    <t>* Industry classification as recommended by AMFI.</t>
  </si>
  <si>
    <t>@@ Industry Classification as per GICS Sub-Industry Classification</t>
  </si>
  <si>
    <r>
      <t>Industry</t>
    </r>
    <r>
      <rPr>
        <sz val="9"/>
        <rFont val="Arial"/>
        <family val="2"/>
      </rPr>
      <t>*</t>
    </r>
  </si>
  <si>
    <t>Tata Motors Ltd DVR Shares</t>
  </si>
  <si>
    <t>(An Open - Ended Liquid Scheme)</t>
  </si>
  <si>
    <t>Average maturity in days</t>
  </si>
  <si>
    <t xml:space="preserve"> (An Open - Ended Equity Fund)</t>
  </si>
  <si>
    <t>Portfolio Turnover Ratio^</t>
  </si>
  <si>
    <t>^Basis last rolling 12 month</t>
  </si>
  <si>
    <t>(An Open - Ended Equity Oriented Scheme)</t>
  </si>
  <si>
    <t>(An Open - Ended Fund of Funds Scheme)</t>
  </si>
  <si>
    <t>(An Open - Ended Debt Scheme)</t>
  </si>
  <si>
    <t>136.58 days</t>
  </si>
  <si>
    <t>101.76 days</t>
  </si>
  <si>
    <t>38.88 days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</si>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</sst>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4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Tahoma"/>
      <family val="2"/>
    </font>
    <font>
      <b/>
      <sz val="9"/>
      <name val="Tahoma"/>
      <family val="2"/>
    </font>
    <font>
      <b/>
      <sz val="9"/>
      <color theme="1"/>
      <name val="Tahoma"/>
      <family val="2"/>
    </font>
    <font>
      <b/>
      <sz val="9"/>
      <color indexed="72"/>
      <name val="Tahoma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5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sz val="9"/>
      <color indexed="72"/>
      <name val="Tahoma"/>
      <family val="2"/>
    </font>
    <font>
      <sz val="10"/>
      <name val="Mang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</cellStyleXfs>
  <cellXfs count="18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right" vertical="top" wrapText="1"/>
    </xf>
    <xf numFmtId="0" fontId="7" fillId="0" borderId="4" xfId="0" applyFont="1" applyBorder="1"/>
    <xf numFmtId="4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6" xfId="0" applyNumberFormat="1" applyFont="1" applyFill="1" applyBorder="1" applyAlignment="1" applyProtection="1">
      <alignment horizontal="right" vertical="top" wrapText="1"/>
    </xf>
    <xf numFmtId="0" fontId="0" fillId="0" borderId="4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2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13" fillId="2" borderId="0" xfId="1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10" fillId="0" borderId="5" xfId="0" applyNumberFormat="1" applyFont="1" applyFill="1" applyBorder="1" applyAlignment="1" applyProtection="1">
      <alignment horizontal="right" vertical="center" wrapText="1"/>
    </xf>
    <xf numFmtId="10" fontId="10" fillId="0" borderId="6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4" fontId="2" fillId="0" borderId="17" xfId="0" applyNumberFormat="1" applyFont="1" applyFill="1" applyBorder="1" applyAlignment="1" applyProtection="1">
      <alignment horizontal="right" vertical="top" wrapText="1"/>
    </xf>
    <xf numFmtId="0" fontId="14" fillId="0" borderId="18" xfId="0" applyNumberFormat="1" applyFont="1" applyFill="1" applyBorder="1" applyAlignment="1" applyProtection="1">
      <alignment horizontal="center" wrapText="1"/>
    </xf>
    <xf numFmtId="2" fontId="15" fillId="0" borderId="19" xfId="0" applyNumberFormat="1" applyFont="1" applyFill="1" applyBorder="1" applyAlignment="1" applyProtection="1">
      <alignment horizontal="center" vertical="top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5" fontId="2" fillId="0" borderId="21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166" fontId="2" fillId="0" borderId="22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" fontId="2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Font="1" applyBorder="1"/>
    <xf numFmtId="0" fontId="7" fillId="0" borderId="5" xfId="0" applyFont="1" applyBorder="1"/>
    <xf numFmtId="0" fontId="0" fillId="0" borderId="5" xfId="0" applyBorder="1"/>
    <xf numFmtId="4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4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23" xfId="0" applyNumberFormat="1" applyFont="1" applyFill="1" applyBorder="1" applyAlignment="1" applyProtection="1">
      <alignment horizontal="left" vertical="center" wrapText="1"/>
    </xf>
    <xf numFmtId="0" fontId="2" fillId="0" borderId="24" xfId="0" applyNumberFormat="1" applyFont="1" applyFill="1" applyBorder="1" applyAlignment="1" applyProtection="1">
      <alignment horizontal="left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4" fontId="2" fillId="0" borderId="24" xfId="0" applyNumberFormat="1" applyFont="1" applyFill="1" applyBorder="1" applyAlignment="1" applyProtection="1">
      <alignment horizontal="center" vertical="center" wrapText="1"/>
    </xf>
    <xf numFmtId="10" fontId="2" fillId="0" borderId="25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26" xfId="0" applyNumberFormat="1" applyFont="1" applyFill="1" applyBorder="1" applyAlignment="1" applyProtection="1">
      <alignment horizontal="left" vertical="top" wrapText="1"/>
    </xf>
    <xf numFmtId="0" fontId="3" fillId="0" borderId="27" xfId="0" applyNumberFormat="1" applyFont="1" applyFill="1" applyBorder="1" applyAlignment="1" applyProtection="1">
      <alignment horizontal="left" vertical="top" wrapText="1"/>
    </xf>
    <xf numFmtId="4" fontId="2" fillId="0" borderId="27" xfId="0" applyNumberFormat="1" applyFont="1" applyFill="1" applyBorder="1" applyAlignment="1" applyProtection="1">
      <alignment horizontal="right" vertical="top" wrapText="1"/>
    </xf>
    <xf numFmtId="164" fontId="2" fillId="0" borderId="27" xfId="0" applyNumberFormat="1" applyFont="1" applyFill="1" applyBorder="1" applyAlignment="1" applyProtection="1">
      <alignment horizontal="right" vertical="top" wrapText="1"/>
    </xf>
    <xf numFmtId="10" fontId="2" fillId="0" borderId="28" xfId="0" applyNumberFormat="1" applyFont="1" applyFill="1" applyBorder="1" applyAlignment="1" applyProtection="1">
      <alignment horizontal="right" vertical="top" wrapText="1"/>
    </xf>
    <xf numFmtId="0" fontId="8" fillId="0" borderId="29" xfId="0" applyFont="1" applyBorder="1"/>
    <xf numFmtId="0" fontId="8" fillId="0" borderId="30" xfId="0" applyFont="1" applyBorder="1"/>
    <xf numFmtId="0" fontId="2" fillId="0" borderId="30" xfId="0" applyNumberFormat="1" applyFont="1" applyFill="1" applyBorder="1" applyAlignment="1" applyProtection="1">
      <alignment horizontal="center" vertical="center" wrapText="1"/>
    </xf>
    <xf numFmtId="4" fontId="2" fillId="0" borderId="30" xfId="0" applyNumberFormat="1" applyFont="1" applyFill="1" applyBorder="1" applyAlignment="1" applyProtection="1">
      <alignment horizontal="center" vertical="center" wrapText="1"/>
    </xf>
    <xf numFmtId="10" fontId="2" fillId="0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horizontal="left" vertical="center" wrapText="1"/>
    </xf>
    <xf numFmtId="0" fontId="2" fillId="0" borderId="33" xfId="0" applyNumberFormat="1" applyFont="1" applyFill="1" applyBorder="1" applyAlignment="1" applyProtection="1">
      <alignment horizontal="left" vertical="center" wrapText="1"/>
    </xf>
    <xf numFmtId="0" fontId="2" fillId="0" borderId="33" xfId="0" applyNumberFormat="1" applyFont="1" applyFill="1" applyBorder="1" applyAlignment="1" applyProtection="1">
      <alignment horizontal="center" vertical="center" wrapText="1"/>
    </xf>
    <xf numFmtId="4" fontId="2" fillId="0" borderId="33" xfId="0" applyNumberFormat="1" applyFont="1" applyFill="1" applyBorder="1" applyAlignment="1" applyProtection="1">
      <alignment horizontal="center" vertical="center" wrapText="1"/>
    </xf>
    <xf numFmtId="10" fontId="2" fillId="0" borderId="34" xfId="0" applyNumberFormat="1" applyFont="1" applyFill="1" applyBorder="1" applyAlignment="1" applyProtection="1">
      <alignment horizontal="center" vertical="center" wrapText="1"/>
    </xf>
    <xf numFmtId="0" fontId="15" fillId="2" borderId="0" xfId="0" applyNumberFormat="1" applyFont="1" applyFill="1" applyBorder="1" applyAlignment="1" applyProtection="1">
      <alignment horizontal="center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15" fillId="2" borderId="4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2" fillId="0" borderId="21" xfId="0" applyNumberFormat="1" applyFont="1" applyFill="1" applyBorder="1" applyAlignment="1" applyProtection="1">
      <alignment horizontal="right" vertical="top" wrapText="1"/>
    </xf>
    <xf numFmtId="164" fontId="9" fillId="0" borderId="35" xfId="0" applyNumberFormat="1" applyFont="1" applyFill="1" applyBorder="1" applyAlignment="1" applyProtection="1">
      <alignment horizontal="right" vertical="top" wrapText="1"/>
    </xf>
    <xf numFmtId="165" fontId="2" fillId="0" borderId="36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29" xfId="0" applyNumberFormat="1" applyFont="1" applyFill="1" applyBorder="1" applyAlignment="1" applyProtection="1">
      <alignment horizontal="left" vertical="top" wrapText="1"/>
    </xf>
    <xf numFmtId="0" fontId="3" fillId="0" borderId="30" xfId="0" applyNumberFormat="1" applyFont="1" applyFill="1" applyBorder="1" applyAlignment="1" applyProtection="1">
      <alignment horizontal="left" vertical="top" wrapText="1"/>
    </xf>
    <xf numFmtId="4" fontId="3" fillId="0" borderId="30" xfId="0" applyNumberFormat="1" applyFont="1" applyFill="1" applyBorder="1" applyAlignment="1" applyProtection="1">
      <alignment horizontal="left" vertical="top" wrapText="1"/>
    </xf>
    <xf numFmtId="0" fontId="1" fillId="0" borderId="30" xfId="0" applyNumberFormat="1" applyFont="1" applyFill="1" applyBorder="1" applyAlignment="1" applyProtection="1">
      <alignment horizontal="left" vertical="top" wrapText="1"/>
    </xf>
    <xf numFmtId="10" fontId="3" fillId="0" borderId="31" xfId="0" applyNumberFormat="1" applyFont="1" applyFill="1" applyBorder="1" applyAlignment="1" applyProtection="1">
      <alignment horizontal="left" vertical="top" wrapText="1"/>
    </xf>
    <xf numFmtId="0" fontId="13" fillId="0" borderId="37" xfId="0" applyNumberFormat="1" applyFont="1" applyFill="1" applyBorder="1" applyAlignment="1" applyProtection="1">
      <alignment horizontal="left" vertical="top" wrapText="1"/>
    </xf>
    <xf numFmtId="2" fontId="16" fillId="0" borderId="18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 applyProtection="1">
      <alignment horizontal="left" vertical="top" wrapText="1"/>
    </xf>
    <xf numFmtId="164" fontId="9" fillId="0" borderId="0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/>
    <xf numFmtId="0" fontId="13" fillId="2" borderId="37" xfId="0" applyNumberFormat="1" applyFont="1" applyFill="1" applyBorder="1" applyAlignment="1" applyProtection="1">
      <alignment horizontal="left" vertical="top" wrapText="1"/>
    </xf>
    <xf numFmtId="2" fontId="13" fillId="2" borderId="18" xfId="0" applyNumberFormat="1" applyFont="1" applyFill="1" applyBorder="1" applyAlignment="1" applyProtection="1">
      <alignment horizontal="center" vertical="top" wrapText="1"/>
    </xf>
    <xf numFmtId="0" fontId="14" fillId="0" borderId="4" xfId="0" applyFont="1" applyBorder="1" applyAlignment="1"/>
    <xf numFmtId="0" fontId="15" fillId="0" borderId="5" xfId="0" applyNumberFormat="1" applyFont="1" applyFill="1" applyBorder="1" applyAlignment="1" applyProtection="1">
      <alignment horizontal="left" vertical="center"/>
    </xf>
    <xf numFmtId="0" fontId="15" fillId="0" borderId="5" xfId="0" applyNumberFormat="1" applyFont="1" applyFill="1" applyBorder="1" applyAlignment="1" applyProtection="1">
      <alignment horizontal="center" vertical="center"/>
    </xf>
    <xf numFmtId="2" fontId="15" fillId="0" borderId="5" xfId="0" applyNumberFormat="1" applyFont="1" applyFill="1" applyBorder="1" applyAlignment="1" applyProtection="1">
      <alignment horizontal="center" vertical="center"/>
    </xf>
    <xf numFmtId="10" fontId="15" fillId="0" borderId="5" xfId="0" applyNumberFormat="1" applyFont="1" applyFill="1" applyBorder="1" applyAlignment="1" applyProtection="1">
      <alignment horizontal="center" vertical="center"/>
    </xf>
    <xf numFmtId="2" fontId="15" fillId="0" borderId="6" xfId="0" applyNumberFormat="1" applyFont="1" applyFill="1" applyBorder="1" applyAlignment="1" applyProtection="1">
      <alignment horizontal="center" vertical="center"/>
    </xf>
    <xf numFmtId="0" fontId="17" fillId="0" borderId="4" xfId="0" applyFont="1" applyBorder="1" applyAlignment="1"/>
    <xf numFmtId="0" fontId="19" fillId="0" borderId="5" xfId="0" applyNumberFormat="1" applyFont="1" applyFill="1" applyBorder="1" applyAlignment="1" applyProtection="1">
      <alignment horizontal="right" vertical="center"/>
    </xf>
    <xf numFmtId="0" fontId="19" fillId="0" borderId="6" xfId="0" applyNumberFormat="1" applyFont="1" applyFill="1" applyBorder="1" applyAlignment="1" applyProtection="1">
      <alignment horizontal="right" vertical="center"/>
    </xf>
    <xf numFmtId="0" fontId="15" fillId="0" borderId="4" xfId="0" applyNumberFormat="1" applyFont="1" applyFill="1" applyBorder="1" applyAlignment="1" applyProtection="1">
      <alignment horizontal="left" vertical="center"/>
    </xf>
    <xf numFmtId="0" fontId="20" fillId="0" borderId="4" xfId="0" applyFont="1" applyBorder="1" applyAlignment="1"/>
    <xf numFmtId="4" fontId="15" fillId="0" borderId="5" xfId="0" applyNumberFormat="1" applyFont="1" applyFill="1" applyBorder="1" applyAlignment="1" applyProtection="1">
      <alignment horizontal="center" vertical="center"/>
    </xf>
    <xf numFmtId="10" fontId="15" fillId="0" borderId="6" xfId="0" applyNumberFormat="1" applyFont="1" applyFill="1" applyBorder="1" applyAlignment="1" applyProtection="1">
      <alignment horizontal="center" vertical="center"/>
    </xf>
    <xf numFmtId="0" fontId="15" fillId="0" borderId="4" xfId="0" applyNumberFormat="1" applyFont="1" applyFill="1" applyBorder="1" applyAlignment="1" applyProtection="1">
      <alignment horizontal="left" vertical="top" wrapText="1"/>
    </xf>
    <xf numFmtId="0" fontId="15" fillId="0" borderId="5" xfId="0" applyNumberFormat="1" applyFont="1" applyFill="1" applyBorder="1" applyAlignment="1" applyProtection="1">
      <alignment horizontal="left" vertical="center" wrapText="1"/>
    </xf>
    <xf numFmtId="0" fontId="15" fillId="0" borderId="5" xfId="0" applyNumberFormat="1" applyFont="1" applyFill="1" applyBorder="1" applyAlignment="1" applyProtection="1">
      <alignment horizontal="center" vertical="center" wrapText="1"/>
    </xf>
    <xf numFmtId="4" fontId="15" fillId="0" borderId="5" xfId="0" applyNumberFormat="1" applyFont="1" applyFill="1" applyBorder="1" applyAlignment="1" applyProtection="1">
      <alignment horizontal="center" vertical="center" wrapText="1"/>
    </xf>
    <xf numFmtId="10" fontId="15" fillId="0" borderId="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32" xfId="0" applyNumberFormat="1" applyFont="1" applyFill="1" applyBorder="1" applyAlignment="1" applyProtection="1">
      <alignment horizontal="left" vertical="top" wrapText="1"/>
    </xf>
    <xf numFmtId="0" fontId="3" fillId="0" borderId="33" xfId="0" applyNumberFormat="1" applyFont="1" applyFill="1" applyBorder="1" applyAlignment="1" applyProtection="1">
      <alignment horizontal="left" vertical="top" wrapText="1"/>
    </xf>
    <xf numFmtId="4" fontId="2" fillId="0" borderId="33" xfId="0" applyNumberFormat="1" applyFont="1" applyFill="1" applyBorder="1" applyAlignment="1" applyProtection="1">
      <alignment horizontal="right" vertical="top" wrapText="1"/>
    </xf>
    <xf numFmtId="164" fontId="2" fillId="0" borderId="33" xfId="0" applyNumberFormat="1" applyFont="1" applyFill="1" applyBorder="1" applyAlignment="1" applyProtection="1">
      <alignment horizontal="right" vertical="top" wrapText="1"/>
    </xf>
    <xf numFmtId="10" fontId="2" fillId="0" borderId="34" xfId="0" applyNumberFormat="1" applyFont="1" applyFill="1" applyBorder="1" applyAlignment="1" applyProtection="1">
      <alignment horizontal="right" vertical="top" wrapText="1"/>
    </xf>
    <xf numFmtId="0" fontId="14" fillId="0" borderId="29" xfId="0" applyFont="1" applyBorder="1" applyAlignment="1"/>
    <xf numFmtId="0" fontId="15" fillId="0" borderId="30" xfId="0" applyNumberFormat="1" applyFont="1" applyFill="1" applyBorder="1" applyAlignment="1" applyProtection="1">
      <alignment horizontal="left" vertical="center"/>
    </xf>
    <xf numFmtId="0" fontId="15" fillId="0" borderId="30" xfId="0" applyNumberFormat="1" applyFont="1" applyFill="1" applyBorder="1" applyAlignment="1" applyProtection="1">
      <alignment horizontal="center" vertical="center"/>
    </xf>
    <xf numFmtId="2" fontId="15" fillId="0" borderId="30" xfId="0" applyNumberFormat="1" applyFont="1" applyFill="1" applyBorder="1" applyAlignment="1" applyProtection="1">
      <alignment horizontal="center" vertical="center"/>
    </xf>
    <xf numFmtId="10" fontId="15" fillId="0" borderId="30" xfId="0" applyNumberFormat="1" applyFont="1" applyFill="1" applyBorder="1" applyAlignment="1" applyProtection="1">
      <alignment horizontal="center" vertical="center"/>
    </xf>
    <xf numFmtId="2" fontId="15" fillId="0" borderId="31" xfId="0" applyNumberFormat="1" applyFont="1" applyFill="1" applyBorder="1" applyAlignment="1" applyProtection="1">
      <alignment horizontal="center" vertical="center"/>
    </xf>
    <xf numFmtId="0" fontId="2" fillId="0" borderId="29" xfId="0" applyNumberFormat="1" applyFont="1" applyFill="1" applyBorder="1" applyAlignment="1" applyProtection="1">
      <alignment horizontal="left" vertical="center" wrapText="1"/>
    </xf>
    <xf numFmtId="0" fontId="2" fillId="0" borderId="30" xfId="0" applyNumberFormat="1" applyFont="1" applyFill="1" applyBorder="1" applyAlignment="1" applyProtection="1">
      <alignment horizontal="left" vertical="center" wrapText="1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15" fillId="2" borderId="0" xfId="0" applyNumberFormat="1" applyFont="1" applyFill="1" applyBorder="1" applyAlignment="1" applyProtection="1">
      <alignment horizontal="center" vertical="center" wrapText="1"/>
    </xf>
    <xf numFmtId="0" fontId="15" fillId="0" borderId="37" xfId="0" applyNumberFormat="1" applyFont="1" applyFill="1" applyBorder="1" applyAlignment="1" applyProtection="1">
      <alignment horizontal="left" vertical="top" wrapText="1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right" vertical="center" wrapText="1"/>
    </xf>
    <xf numFmtId="0" fontId="2" fillId="0" borderId="31" xfId="0" applyNumberFormat="1" applyFont="1" applyFill="1" applyBorder="1" applyAlignment="1" applyProtection="1">
      <alignment horizontal="center" vertical="center" wrapText="1"/>
    </xf>
    <xf numFmtId="4" fontId="2" fillId="2" borderId="0" xfId="0" applyNumberFormat="1" applyFont="1" applyFill="1" applyBorder="1" applyAlignment="1" applyProtection="1">
      <alignment horizontal="right" vertical="top" wrapText="1"/>
    </xf>
    <xf numFmtId="164" fontId="2" fillId="2" borderId="0" xfId="0" applyNumberFormat="1" applyFont="1" applyFill="1" applyBorder="1" applyAlignment="1" applyProtection="1">
      <alignment horizontal="right" vertical="top" wrapText="1"/>
    </xf>
    <xf numFmtId="10" fontId="2" fillId="2" borderId="0" xfId="0" applyNumberFormat="1" applyFont="1" applyFill="1" applyBorder="1" applyAlignment="1" applyProtection="1">
      <alignment horizontal="right" vertical="top" wrapText="1"/>
    </xf>
    <xf numFmtId="166" fontId="2" fillId="2" borderId="0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3" fillId="0" borderId="38" xfId="2" applyFont="1" applyFill="1" applyBorder="1" applyAlignment="1" applyProtection="1">
      <alignment horizontal="right" vertical="top" wrapText="1"/>
    </xf>
    <xf numFmtId="0" fontId="23" fillId="0" borderId="38" xfId="2" applyNumberFormat="1" applyFont="1" applyFill="1" applyBorder="1" applyAlignment="1" applyProtection="1">
      <alignment horizontal="right" vertical="top" wrapText="1"/>
    </xf>
    <xf numFmtId="0" fontId="12" fillId="2" borderId="11" xfId="1" applyNumberFormat="1" applyFont="1" applyFill="1" applyBorder="1" applyAlignment="1" applyProtection="1">
      <alignment horizontal="center" vertical="top" wrapText="1"/>
    </xf>
    <xf numFmtId="0" fontId="12" fillId="2" borderId="12" xfId="1" applyNumberFormat="1" applyFont="1" applyFill="1" applyBorder="1" applyAlignment="1" applyProtection="1">
      <alignment horizontal="center" vertical="top" wrapText="1"/>
    </xf>
    <xf numFmtId="0" fontId="12" fillId="2" borderId="13" xfId="1" applyNumberFormat="1" applyFont="1" applyFill="1" applyBorder="1" applyAlignment="1" applyProtection="1">
      <alignment horizontal="center" vertical="top" wrapText="1"/>
    </xf>
    <xf numFmtId="0" fontId="13" fillId="2" borderId="14" xfId="1" applyNumberFormat="1" applyFont="1" applyFill="1" applyBorder="1" applyAlignment="1" applyProtection="1">
      <alignment horizontal="center" vertical="top" wrapText="1"/>
    </xf>
    <xf numFmtId="0" fontId="13" fillId="2" borderId="15" xfId="1" applyNumberFormat="1" applyFont="1" applyFill="1" applyBorder="1" applyAlignment="1" applyProtection="1">
      <alignment horizontal="center" vertical="top" wrapText="1"/>
    </xf>
    <xf numFmtId="0" fontId="13" fillId="2" borderId="16" xfId="1" applyNumberFormat="1" applyFont="1" applyFill="1" applyBorder="1" applyAlignment="1" applyProtection="1">
      <alignment horizontal="center" vertical="top" wrapText="1"/>
    </xf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2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5" fillId="2" borderId="14" xfId="0" applyNumberFormat="1" applyFont="1" applyFill="1" applyBorder="1" applyAlignment="1" applyProtection="1">
      <alignment horizontal="center" vertical="top" wrapText="1"/>
    </xf>
    <xf numFmtId="0" fontId="15" fillId="2" borderId="15" xfId="0" applyNumberFormat="1" applyFont="1" applyFill="1" applyBorder="1" applyAlignment="1" applyProtection="1">
      <alignment horizontal="center" vertical="top" wrapText="1"/>
    </xf>
    <xf numFmtId="0" fontId="15" fillId="2" borderId="16" xfId="0" applyNumberFormat="1" applyFont="1" applyFill="1" applyBorder="1" applyAlignment="1" applyProtection="1">
      <alignment horizontal="center" vertical="top" wrapText="1"/>
    </xf>
    <xf numFmtId="0" fontId="18" fillId="2" borderId="11" xfId="0" applyNumberFormat="1" applyFont="1" applyFill="1" applyBorder="1" applyAlignment="1" applyProtection="1">
      <alignment horizontal="center" vertical="top" wrapText="1"/>
    </xf>
    <xf numFmtId="0" fontId="18" fillId="2" borderId="12" xfId="0" applyNumberFormat="1" applyFont="1" applyFill="1" applyBorder="1" applyAlignment="1" applyProtection="1">
      <alignment horizontal="center" vertical="top" wrapText="1"/>
    </xf>
    <xf numFmtId="0" fontId="18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5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15" fillId="2" borderId="14" xfId="0" applyNumberFormat="1" applyFont="1" applyFill="1" applyBorder="1" applyAlignment="1" applyProtection="1">
      <alignment horizontal="center" vertical="center" wrapText="1"/>
    </xf>
    <xf numFmtId="0" fontId="15" fillId="2" borderId="15" xfId="0" applyNumberFormat="1" applyFont="1" applyFill="1" applyBorder="1" applyAlignment="1" applyProtection="1">
      <alignment horizontal="center" vertical="center" wrapText="1"/>
    </xf>
    <xf numFmtId="0" fontId="15" fillId="2" borderId="16" xfId="0" applyNumberFormat="1" applyFont="1" applyFill="1" applyBorder="1" applyAlignment="1" applyProtection="1">
      <alignment horizontal="center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01"/>
  <sheetViews>
    <sheetView tabSelected="1" zoomScaleNormal="100" workbookViewId="0">
      <selection activeCell="B4" sqref="B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11" width="9.140625" style="28"/>
  </cols>
  <sheetData>
    <row r="1" spans="1:9" ht="24.75" customHeight="1">
      <c r="A1" s="25"/>
      <c r="B1" s="161" t="s">
        <v>0</v>
      </c>
      <c r="C1" s="162"/>
      <c r="D1" s="162"/>
      <c r="E1" s="162"/>
      <c r="F1" s="162"/>
      <c r="G1" s="162"/>
      <c r="H1" s="163"/>
      <c r="I1" s="1"/>
    </row>
    <row r="2" spans="1:9" ht="12.95" customHeight="1" thickBot="1">
      <c r="A2" s="25"/>
      <c r="B2" s="164" t="s">
        <v>378</v>
      </c>
      <c r="C2" s="165"/>
      <c r="D2" s="165"/>
      <c r="E2" s="165"/>
      <c r="F2" s="165"/>
      <c r="G2" s="165"/>
      <c r="H2" s="166"/>
      <c r="I2" s="1"/>
    </row>
    <row r="3" spans="1:9" s="28" customFormat="1" ht="12.95" customHeight="1">
      <c r="A3" s="25"/>
      <c r="B3" s="24"/>
      <c r="C3" s="24"/>
      <c r="D3" s="24"/>
      <c r="E3" s="24"/>
      <c r="F3" s="24"/>
      <c r="G3" s="24"/>
      <c r="H3" s="24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5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 ht="12.95" customHeight="1">
      <c r="A7" s="25"/>
      <c r="B7" s="75" t="s">
        <v>363</v>
      </c>
      <c r="C7" s="76"/>
      <c r="D7" s="77"/>
      <c r="E7" s="77"/>
      <c r="F7" s="78"/>
      <c r="G7" s="77"/>
      <c r="H7" s="79"/>
      <c r="I7" s="6"/>
    </row>
    <row r="8" spans="1:9" ht="12.95" customHeight="1">
      <c r="A8" s="25"/>
      <c r="B8" s="13" t="s">
        <v>364</v>
      </c>
      <c r="C8" s="47"/>
      <c r="D8" s="48"/>
      <c r="E8" s="35" t="s">
        <v>193</v>
      </c>
      <c r="F8" s="35" t="s">
        <v>193</v>
      </c>
      <c r="G8" s="35" t="s">
        <v>193</v>
      </c>
      <c r="H8" s="36" t="s">
        <v>193</v>
      </c>
      <c r="I8" s="7" t="s">
        <v>193</v>
      </c>
    </row>
    <row r="9" spans="1:9" ht="12.95" customHeight="1">
      <c r="A9" s="27"/>
      <c r="B9" s="16" t="s">
        <v>192</v>
      </c>
      <c r="C9" s="47"/>
      <c r="D9" s="48"/>
      <c r="E9" s="35" t="s">
        <v>193</v>
      </c>
      <c r="F9" s="35" t="s">
        <v>193</v>
      </c>
      <c r="G9" s="35" t="s">
        <v>193</v>
      </c>
      <c r="H9" s="36" t="s">
        <v>193</v>
      </c>
      <c r="I9" s="7" t="s">
        <v>193</v>
      </c>
    </row>
    <row r="10" spans="1:9" ht="12.95" customHeight="1">
      <c r="A10" s="25"/>
      <c r="B10" s="16"/>
      <c r="C10" s="47"/>
      <c r="D10" s="48"/>
      <c r="E10" s="35"/>
      <c r="F10" s="35"/>
      <c r="G10" s="35"/>
      <c r="H10" s="36"/>
      <c r="I10" s="7"/>
    </row>
    <row r="11" spans="1:9" ht="12.95" customHeight="1">
      <c r="A11" s="25"/>
      <c r="B11" s="9" t="s">
        <v>365</v>
      </c>
      <c r="C11" s="47"/>
      <c r="D11" s="48"/>
      <c r="E11" s="35"/>
      <c r="F11" s="35"/>
      <c r="G11" s="35"/>
      <c r="H11" s="36"/>
      <c r="I11" s="7"/>
    </row>
    <row r="12" spans="1:9" ht="12.95" customHeight="1">
      <c r="A12" s="25"/>
      <c r="B12" s="13" t="s">
        <v>366</v>
      </c>
      <c r="C12" s="47"/>
      <c r="D12" s="48"/>
      <c r="E12" s="35" t="s">
        <v>193</v>
      </c>
      <c r="F12" s="35" t="s">
        <v>193</v>
      </c>
      <c r="G12" s="35" t="s">
        <v>193</v>
      </c>
      <c r="H12" s="36" t="s">
        <v>193</v>
      </c>
      <c r="I12" s="7" t="s">
        <v>193</v>
      </c>
    </row>
    <row r="13" spans="1:9" ht="12.95" customHeight="1">
      <c r="A13" s="27"/>
      <c r="B13" s="16" t="s">
        <v>367</v>
      </c>
      <c r="C13" s="47"/>
      <c r="D13" s="48"/>
      <c r="E13" s="35" t="s">
        <v>193</v>
      </c>
      <c r="F13" s="35" t="s">
        <v>193</v>
      </c>
      <c r="G13" s="37"/>
      <c r="H13" s="36" t="s">
        <v>193</v>
      </c>
      <c r="I13" s="8"/>
    </row>
    <row r="14" spans="1:9" ht="12.95" customHeight="1">
      <c r="A14" s="25"/>
      <c r="B14" s="16" t="s">
        <v>368</v>
      </c>
      <c r="C14" s="47"/>
      <c r="D14" s="48"/>
      <c r="E14" s="35" t="s">
        <v>193</v>
      </c>
      <c r="F14" s="35" t="s">
        <v>193</v>
      </c>
      <c r="G14" s="37"/>
      <c r="H14" s="36" t="s">
        <v>193</v>
      </c>
      <c r="I14" s="8"/>
    </row>
    <row r="15" spans="1:9" ht="12.95" customHeight="1">
      <c r="A15" s="25"/>
      <c r="B15" s="16"/>
      <c r="C15" s="47"/>
      <c r="D15" s="48"/>
      <c r="E15" s="35"/>
      <c r="F15" s="35"/>
      <c r="G15" s="37"/>
      <c r="H15" s="36"/>
      <c r="I15" s="5"/>
    </row>
    <row r="16" spans="1:9" ht="12.95" customHeight="1">
      <c r="A16" s="25"/>
      <c r="B16" s="65" t="s">
        <v>11</v>
      </c>
      <c r="C16" s="11" t="s">
        <v>1</v>
      </c>
      <c r="D16" s="11" t="s">
        <v>1</v>
      </c>
      <c r="E16" s="11" t="s">
        <v>1</v>
      </c>
      <c r="F16" s="53" t="s">
        <v>1</v>
      </c>
      <c r="G16" s="54"/>
      <c r="H16" s="66" t="s">
        <v>1</v>
      </c>
      <c r="I16" s="42" t="s">
        <v>1</v>
      </c>
    </row>
    <row r="17" spans="1:9" ht="12.95" customHeight="1">
      <c r="A17" s="25"/>
      <c r="B17" s="65" t="s">
        <v>12</v>
      </c>
      <c r="C17" s="11" t="s">
        <v>1</v>
      </c>
      <c r="D17" s="11" t="s">
        <v>1</v>
      </c>
      <c r="E17" s="11" t="s">
        <v>1</v>
      </c>
      <c r="F17" s="53" t="s">
        <v>1</v>
      </c>
      <c r="G17" s="54"/>
      <c r="H17" s="66" t="s">
        <v>1</v>
      </c>
      <c r="I17" s="42" t="s">
        <v>1</v>
      </c>
    </row>
    <row r="18" spans="1:9" ht="12.95" customHeight="1">
      <c r="A18" s="27"/>
      <c r="B18" s="67" t="s">
        <v>13</v>
      </c>
      <c r="C18" s="11" t="s">
        <v>14</v>
      </c>
      <c r="D18" s="11" t="s">
        <v>15</v>
      </c>
      <c r="E18" s="55">
        <v>2000000</v>
      </c>
      <c r="F18" s="56">
        <v>1976.84266</v>
      </c>
      <c r="G18" s="57">
        <v>1976.84</v>
      </c>
      <c r="H18" s="68">
        <v>0.29022771827868471</v>
      </c>
      <c r="I18" s="2">
        <v>0.29020000000000001</v>
      </c>
    </row>
    <row r="19" spans="1:9" ht="12.95" customHeight="1">
      <c r="A19" s="27"/>
      <c r="B19" s="67" t="s">
        <v>16</v>
      </c>
      <c r="C19" s="11" t="s">
        <v>17</v>
      </c>
      <c r="D19" s="11" t="s">
        <v>15</v>
      </c>
      <c r="E19" s="55">
        <v>1870000</v>
      </c>
      <c r="F19" s="56">
        <v>1855.6835231</v>
      </c>
      <c r="G19" s="57">
        <v>1855.68</v>
      </c>
      <c r="H19" s="68">
        <v>0.27243988894728927</v>
      </c>
      <c r="I19" s="2">
        <v>0.27239999999999998</v>
      </c>
    </row>
    <row r="20" spans="1:9" ht="12.95" customHeight="1">
      <c r="A20" s="27"/>
      <c r="B20" s="67" t="s">
        <v>18</v>
      </c>
      <c r="C20" s="11" t="s">
        <v>19</v>
      </c>
      <c r="D20" s="11" t="s">
        <v>15</v>
      </c>
      <c r="E20" s="55">
        <v>500000</v>
      </c>
      <c r="F20" s="56">
        <v>498.78188999999998</v>
      </c>
      <c r="G20" s="57">
        <v>498.78</v>
      </c>
      <c r="H20" s="68">
        <v>7.3228048333108073E-2</v>
      </c>
      <c r="I20" s="2">
        <v>7.3200000000000001E-2</v>
      </c>
    </row>
    <row r="21" spans="1:9" ht="12.95" customHeight="1">
      <c r="A21" s="27"/>
      <c r="B21" s="67" t="s">
        <v>20</v>
      </c>
      <c r="C21" s="11" t="s">
        <v>21</v>
      </c>
      <c r="D21" s="11" t="s">
        <v>15</v>
      </c>
      <c r="E21" s="55">
        <v>500000</v>
      </c>
      <c r="F21" s="56">
        <v>497.95519999999999</v>
      </c>
      <c r="G21" s="57">
        <v>497.96</v>
      </c>
      <c r="H21" s="68">
        <v>7.3106678859816851E-2</v>
      </c>
      <c r="I21" s="2">
        <v>7.3099999999999998E-2</v>
      </c>
    </row>
    <row r="22" spans="1:9" ht="12.95" customHeight="1">
      <c r="A22" s="27"/>
      <c r="B22" s="67" t="s">
        <v>22</v>
      </c>
      <c r="C22" s="11" t="s">
        <v>23</v>
      </c>
      <c r="D22" s="11" t="s">
        <v>15</v>
      </c>
      <c r="E22" s="55">
        <v>500000</v>
      </c>
      <c r="F22" s="56">
        <v>497.32283999999999</v>
      </c>
      <c r="G22" s="57">
        <v>497.32</v>
      </c>
      <c r="H22" s="68">
        <v>7.301383970592551E-2</v>
      </c>
      <c r="I22" s="2">
        <v>7.2999999999999995E-2</v>
      </c>
    </row>
    <row r="23" spans="1:9" ht="12.95" customHeight="1">
      <c r="A23" s="27"/>
      <c r="B23" s="67" t="s">
        <v>24</v>
      </c>
      <c r="C23" s="11" t="s">
        <v>25</v>
      </c>
      <c r="D23" s="11" t="s">
        <v>15</v>
      </c>
      <c r="E23" s="55">
        <v>500000</v>
      </c>
      <c r="F23" s="56">
        <v>496.55279999999999</v>
      </c>
      <c r="G23" s="57">
        <v>496.55</v>
      </c>
      <c r="H23" s="68">
        <v>7.2900787232551972E-2</v>
      </c>
      <c r="I23" s="2">
        <v>7.2900000000000006E-2</v>
      </c>
    </row>
    <row r="24" spans="1:9" ht="12.95" customHeight="1">
      <c r="A24" s="27"/>
      <c r="B24" s="67" t="s">
        <v>26</v>
      </c>
      <c r="C24" s="11" t="s">
        <v>27</v>
      </c>
      <c r="D24" s="11" t="s">
        <v>15</v>
      </c>
      <c r="E24" s="55">
        <v>500000</v>
      </c>
      <c r="F24" s="56">
        <v>494.93560000000002</v>
      </c>
      <c r="G24" s="57">
        <v>494.94</v>
      </c>
      <c r="H24" s="68">
        <v>7.2663360008070541E-2</v>
      </c>
      <c r="I24" s="2">
        <v>7.2700000000000001E-2</v>
      </c>
    </row>
    <row r="25" spans="1:9" ht="12.95" customHeight="1">
      <c r="A25" s="27"/>
      <c r="B25" s="67" t="s">
        <v>28</v>
      </c>
      <c r="C25" s="11" t="s">
        <v>29</v>
      </c>
      <c r="D25" s="11" t="s">
        <v>15</v>
      </c>
      <c r="E25" s="55">
        <v>500000</v>
      </c>
      <c r="F25" s="56">
        <v>494.42105500000002</v>
      </c>
      <c r="G25" s="57">
        <v>494.42</v>
      </c>
      <c r="H25" s="68">
        <v>7.2587817718173936E-2</v>
      </c>
      <c r="I25" s="2">
        <v>7.2599999999999998E-2</v>
      </c>
    </row>
    <row r="26" spans="1:9" ht="12.95" customHeight="1">
      <c r="A26" s="25"/>
      <c r="B26" s="65" t="s">
        <v>30</v>
      </c>
      <c r="C26" s="11" t="s">
        <v>1</v>
      </c>
      <c r="D26" s="11" t="s">
        <v>1</v>
      </c>
      <c r="E26" s="11" t="s">
        <v>1</v>
      </c>
      <c r="F26" s="12">
        <v>6812.4955681000001</v>
      </c>
      <c r="G26" s="58">
        <v>6812.49</v>
      </c>
      <c r="H26" s="69">
        <v>1.000168139083621</v>
      </c>
      <c r="I26" s="43">
        <v>1.0001</v>
      </c>
    </row>
    <row r="27" spans="1:9" ht="12.95" customHeight="1">
      <c r="A27" s="25"/>
      <c r="B27" s="65" t="s">
        <v>31</v>
      </c>
      <c r="C27" s="11" t="s">
        <v>1</v>
      </c>
      <c r="D27" s="11" t="s">
        <v>1</v>
      </c>
      <c r="E27" s="11" t="s">
        <v>1</v>
      </c>
      <c r="F27" s="12">
        <v>6812.4955681000001</v>
      </c>
      <c r="G27" s="58">
        <v>6812.49</v>
      </c>
      <c r="H27" s="69">
        <v>1.000168139083621</v>
      </c>
      <c r="I27" s="43">
        <v>1.0001</v>
      </c>
    </row>
    <row r="28" spans="1:9" ht="12.95" customHeight="1">
      <c r="A28" s="25"/>
      <c r="B28" s="65"/>
      <c r="C28" s="11"/>
      <c r="D28" s="11"/>
      <c r="E28" s="11"/>
      <c r="F28" s="12"/>
      <c r="G28" s="58"/>
      <c r="H28" s="69"/>
      <c r="I28" s="44"/>
    </row>
    <row r="29" spans="1:9" ht="12.95" customHeight="1">
      <c r="A29" s="25"/>
      <c r="B29" s="65" t="s">
        <v>389</v>
      </c>
      <c r="C29" s="11"/>
      <c r="D29" s="11"/>
      <c r="E29" s="11"/>
      <c r="F29" s="12"/>
      <c r="G29" s="58"/>
      <c r="H29" s="69"/>
      <c r="I29" s="44"/>
    </row>
    <row r="30" spans="1:9" ht="12.95" customHeight="1">
      <c r="A30" s="25"/>
      <c r="B30" s="65" t="s">
        <v>32</v>
      </c>
      <c r="C30" s="11" t="s">
        <v>1</v>
      </c>
      <c r="D30" s="11" t="s">
        <v>1</v>
      </c>
      <c r="E30" s="11" t="s">
        <v>1</v>
      </c>
      <c r="F30" s="53" t="s">
        <v>1</v>
      </c>
      <c r="G30" s="54"/>
      <c r="H30" s="66" t="s">
        <v>1</v>
      </c>
      <c r="I30" s="42" t="s">
        <v>1</v>
      </c>
    </row>
    <row r="31" spans="1:9" ht="12.95" customHeight="1">
      <c r="A31" s="27"/>
      <c r="B31" s="67" t="s">
        <v>33</v>
      </c>
      <c r="C31" s="11" t="s">
        <v>1</v>
      </c>
      <c r="D31" s="11" t="s">
        <v>34</v>
      </c>
      <c r="E31" s="55"/>
      <c r="F31" s="56">
        <v>1.3649</v>
      </c>
      <c r="G31" s="57">
        <v>1.36</v>
      </c>
      <c r="H31" s="68">
        <v>2.0038611099103699E-4</v>
      </c>
      <c r="I31" s="2">
        <v>2.0000000000000001E-4</v>
      </c>
    </row>
    <row r="32" spans="1:9" ht="12.95" customHeight="1">
      <c r="A32" s="25"/>
      <c r="B32" s="65" t="s">
        <v>30</v>
      </c>
      <c r="C32" s="11" t="s">
        <v>1</v>
      </c>
      <c r="D32" s="11" t="s">
        <v>1</v>
      </c>
      <c r="E32" s="11" t="s">
        <v>1</v>
      </c>
      <c r="F32" s="12">
        <v>1.3649</v>
      </c>
      <c r="G32" s="58">
        <v>1.36</v>
      </c>
      <c r="H32" s="69">
        <v>2.0038611099103699E-4</v>
      </c>
      <c r="I32" s="43">
        <v>2.0000000000000001E-4</v>
      </c>
    </row>
    <row r="33" spans="1:9" ht="12.95" customHeight="1">
      <c r="A33" s="25"/>
      <c r="B33" s="65"/>
      <c r="C33" s="11"/>
      <c r="D33" s="11"/>
      <c r="E33" s="11"/>
      <c r="F33" s="12"/>
      <c r="G33" s="58"/>
      <c r="H33" s="69"/>
      <c r="I33" s="43"/>
    </row>
    <row r="34" spans="1:9" ht="12.95" customHeight="1">
      <c r="A34" s="25"/>
      <c r="B34" s="65" t="s">
        <v>35</v>
      </c>
      <c r="C34" s="11" t="s">
        <v>1</v>
      </c>
      <c r="D34" s="11" t="s">
        <v>1</v>
      </c>
      <c r="E34" s="11" t="s">
        <v>1</v>
      </c>
      <c r="F34" s="12">
        <v>-2.5101542000000001</v>
      </c>
      <c r="G34" s="58">
        <v>-2.5</v>
      </c>
      <c r="H34" s="69">
        <v>-3.6852519461194058E-4</v>
      </c>
      <c r="I34" s="43">
        <v>-2.9999999999999997E-4</v>
      </c>
    </row>
    <row r="35" spans="1:9" ht="12.95" customHeight="1">
      <c r="A35" s="25"/>
      <c r="B35" s="65" t="s">
        <v>30</v>
      </c>
      <c r="C35" s="11"/>
      <c r="D35" s="11"/>
      <c r="E35" s="11"/>
      <c r="F35" s="12">
        <v>-2.5101542000000001</v>
      </c>
      <c r="G35" s="58">
        <v>-2.5</v>
      </c>
      <c r="H35" s="69">
        <v>-3.6852519461194058E-4</v>
      </c>
      <c r="I35" s="45"/>
    </row>
    <row r="36" spans="1:9" ht="12.95" customHeight="1">
      <c r="A36" s="25"/>
      <c r="B36" s="65" t="s">
        <v>31</v>
      </c>
      <c r="C36" s="11"/>
      <c r="D36" s="11"/>
      <c r="E36" s="11"/>
      <c r="F36" s="12">
        <f>F32+F35</f>
        <v>-1.1452542000000001</v>
      </c>
      <c r="G36" s="12">
        <f t="shared" ref="G36:H36" si="0">G32+G35</f>
        <v>-1.1399999999999999</v>
      </c>
      <c r="H36" s="69">
        <f t="shared" si="0"/>
        <v>-1.6813908362090359E-4</v>
      </c>
      <c r="I36" s="45"/>
    </row>
    <row r="37" spans="1:9" ht="12.95" customHeight="1" thickBot="1">
      <c r="A37" s="25"/>
      <c r="B37" s="70" t="s">
        <v>36</v>
      </c>
      <c r="C37" s="71" t="s">
        <v>1</v>
      </c>
      <c r="D37" s="71" t="s">
        <v>1</v>
      </c>
      <c r="E37" s="71" t="s">
        <v>1</v>
      </c>
      <c r="F37" s="72">
        <v>6811.3503139000004</v>
      </c>
      <c r="G37" s="73">
        <v>6811.35</v>
      </c>
      <c r="H37" s="74">
        <v>1</v>
      </c>
      <c r="I37" s="46">
        <v>1</v>
      </c>
    </row>
    <row r="38" spans="1:9" s="28" customFormat="1" ht="12.95" customHeight="1">
      <c r="A38" s="25"/>
      <c r="B38" s="26" t="s">
        <v>1</v>
      </c>
      <c r="C38" s="25"/>
      <c r="D38" s="25"/>
      <c r="E38" s="25"/>
      <c r="F38" s="30"/>
      <c r="G38" s="25"/>
      <c r="H38" s="31"/>
      <c r="I38" s="25"/>
    </row>
    <row r="39" spans="1:9" s="28" customFormat="1" ht="12.95" customHeight="1">
      <c r="A39" s="25"/>
      <c r="B39" s="32" t="s">
        <v>34</v>
      </c>
      <c r="C39" s="25"/>
      <c r="D39" s="25"/>
      <c r="E39" s="25"/>
      <c r="F39" s="30"/>
      <c r="G39" s="25"/>
      <c r="H39" s="31"/>
      <c r="I39" s="25"/>
    </row>
    <row r="40" spans="1:9" s="28" customFormat="1" ht="12.95" customHeight="1">
      <c r="A40" s="25"/>
      <c r="B40" s="32" t="s">
        <v>37</v>
      </c>
      <c r="C40" s="25"/>
      <c r="D40" s="25"/>
      <c r="E40" s="25"/>
      <c r="F40" s="30"/>
      <c r="G40" s="25"/>
      <c r="H40" s="31"/>
      <c r="I40" s="25"/>
    </row>
    <row r="41" spans="1:9" s="28" customFormat="1" ht="12.95" customHeight="1">
      <c r="A41" s="25"/>
      <c r="B41" s="32" t="s">
        <v>38</v>
      </c>
      <c r="C41" s="25"/>
      <c r="D41" s="25"/>
      <c r="E41" s="25"/>
      <c r="F41" s="30"/>
      <c r="G41" s="25"/>
      <c r="H41" s="31"/>
      <c r="I41" s="25"/>
    </row>
    <row r="42" spans="1:9" s="28" customFormat="1" ht="12.95" customHeight="1" thickBot="1">
      <c r="A42" s="25"/>
      <c r="B42" s="32" t="s">
        <v>1</v>
      </c>
      <c r="C42" s="25"/>
      <c r="D42" s="25"/>
      <c r="E42" s="25"/>
      <c r="F42" s="30"/>
      <c r="G42" s="25"/>
      <c r="H42" s="31"/>
      <c r="I42" s="25"/>
    </row>
    <row r="43" spans="1:9" s="28" customFormat="1" ht="12.95" customHeight="1" thickBot="1">
      <c r="A43" s="25"/>
      <c r="B43" s="39" t="s">
        <v>379</v>
      </c>
      <c r="C43" s="40" t="s">
        <v>388</v>
      </c>
      <c r="D43" s="25"/>
      <c r="E43" s="25"/>
      <c r="F43" s="30"/>
      <c r="G43" s="25"/>
      <c r="H43" s="31"/>
      <c r="I43" s="25"/>
    </row>
    <row r="44" spans="1:9" s="28" customFormat="1">
      <c r="F44" s="33"/>
      <c r="H44" s="34"/>
    </row>
    <row r="45" spans="1:9" s="28" customFormat="1">
      <c r="F45" s="33"/>
      <c r="H45" s="34"/>
    </row>
    <row r="46" spans="1:9" s="28" customFormat="1">
      <c r="F46" s="33"/>
      <c r="H46" s="34"/>
    </row>
    <row r="47" spans="1:9" s="28" customFormat="1">
      <c r="F47" s="33"/>
      <c r="H47" s="34"/>
    </row>
    <row r="48" spans="1:9" s="28" customFormat="1">
      <c r="F48" s="33"/>
      <c r="H48" s="34"/>
    </row>
    <row r="49" spans="6:8" s="28" customFormat="1">
      <c r="F49" s="33"/>
      <c r="H49" s="34"/>
    </row>
    <row r="50" spans="6:8" s="28" customFormat="1">
      <c r="F50" s="33"/>
      <c r="H50" s="34"/>
    </row>
    <row r="51" spans="6:8" s="28" customFormat="1">
      <c r="F51" s="33"/>
      <c r="H51" s="34"/>
    </row>
    <row r="52" spans="6:8" s="28" customFormat="1">
      <c r="F52" s="33"/>
      <c r="H52" s="34"/>
    </row>
    <row r="53" spans="6:8" s="28" customFormat="1">
      <c r="F53" s="33"/>
      <c r="H53" s="34"/>
    </row>
    <row r="54" spans="6:8" s="28" customFormat="1">
      <c r="F54" s="33"/>
      <c r="H54" s="34"/>
    </row>
    <row r="55" spans="6:8" s="28" customFormat="1">
      <c r="F55" s="33"/>
      <c r="H55" s="34"/>
    </row>
    <row r="56" spans="6:8" s="28" customFormat="1">
      <c r="F56" s="33"/>
      <c r="H56" s="34"/>
    </row>
    <row r="57" spans="6:8" s="28" customFormat="1">
      <c r="F57" s="33"/>
      <c r="H57" s="34"/>
    </row>
    <row r="58" spans="6:8" s="28" customFormat="1">
      <c r="F58" s="33"/>
      <c r="H58" s="34"/>
    </row>
    <row r="59" spans="6:8" s="28" customFormat="1">
      <c r="F59" s="33"/>
      <c r="H59" s="34"/>
    </row>
    <row r="60" spans="6:8" s="28" customFormat="1">
      <c r="F60" s="33"/>
      <c r="H60" s="34"/>
    </row>
    <row r="61" spans="6:8" s="28" customFormat="1">
      <c r="F61" s="33"/>
      <c r="H61" s="34"/>
    </row>
    <row r="62" spans="6:8" s="28" customFormat="1">
      <c r="F62" s="33"/>
      <c r="H62" s="34"/>
    </row>
    <row r="63" spans="6:8" s="28" customFormat="1">
      <c r="F63" s="33"/>
      <c r="H63" s="34"/>
    </row>
    <row r="64" spans="6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32"/>
  <sheetViews>
    <sheetView zoomScaleNormal="100" workbookViewId="0">
      <selection activeCell="F6" sqref="F6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5" width="9.140625" style="28"/>
  </cols>
  <sheetData>
    <row r="1" spans="1:9" ht="24" customHeight="1">
      <c r="A1" s="25"/>
      <c r="B1" s="167" t="s">
        <v>39</v>
      </c>
      <c r="C1" s="168"/>
      <c r="D1" s="168"/>
      <c r="E1" s="168"/>
      <c r="F1" s="168"/>
      <c r="G1" s="168"/>
      <c r="H1" s="169"/>
      <c r="I1" s="1"/>
    </row>
    <row r="2" spans="1:9" ht="12.95" customHeight="1" thickBot="1">
      <c r="A2" s="25"/>
      <c r="B2" s="170" t="s">
        <v>380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85"/>
      <c r="C3" s="85"/>
      <c r="D3" s="85"/>
      <c r="E3" s="85"/>
      <c r="F3" s="85"/>
      <c r="G3" s="85"/>
      <c r="H3" s="8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376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 ht="12.95" customHeight="1">
      <c r="A7" s="25"/>
      <c r="B7" s="95" t="s">
        <v>41</v>
      </c>
      <c r="C7" s="96" t="s">
        <v>1</v>
      </c>
      <c r="D7" s="96" t="s">
        <v>1</v>
      </c>
      <c r="E7" s="96" t="s">
        <v>1</v>
      </c>
      <c r="F7" s="97" t="s">
        <v>1</v>
      </c>
      <c r="G7" s="98"/>
      <c r="H7" s="99" t="s">
        <v>1</v>
      </c>
      <c r="I7" s="42" t="s">
        <v>1</v>
      </c>
    </row>
    <row r="8" spans="1:9" ht="12.95" customHeight="1">
      <c r="A8" s="25"/>
      <c r="B8" s="65" t="s">
        <v>42</v>
      </c>
      <c r="C8" s="11" t="s">
        <v>1</v>
      </c>
      <c r="D8" s="11" t="s">
        <v>1</v>
      </c>
      <c r="E8" s="11" t="s">
        <v>1</v>
      </c>
      <c r="F8" s="53" t="s">
        <v>1</v>
      </c>
      <c r="G8" s="54"/>
      <c r="H8" s="66" t="s">
        <v>1</v>
      </c>
      <c r="I8" s="42" t="s">
        <v>1</v>
      </c>
    </row>
    <row r="9" spans="1:9" ht="12.95" customHeight="1">
      <c r="A9" s="27"/>
      <c r="B9" s="67" t="s">
        <v>43</v>
      </c>
      <c r="C9" s="11" t="s">
        <v>44</v>
      </c>
      <c r="D9" s="11" t="s">
        <v>45</v>
      </c>
      <c r="E9" s="55">
        <v>212273</v>
      </c>
      <c r="F9" s="56">
        <v>2970.3360889999999</v>
      </c>
      <c r="G9" s="57">
        <v>2970.34</v>
      </c>
      <c r="H9" s="68">
        <v>3.9616331188807162E-2</v>
      </c>
      <c r="I9" s="2">
        <v>3.9600000000000003E-2</v>
      </c>
    </row>
    <row r="10" spans="1:9" ht="12.95" customHeight="1">
      <c r="A10" s="27"/>
      <c r="B10" s="67" t="s">
        <v>46</v>
      </c>
      <c r="C10" s="11" t="s">
        <v>47</v>
      </c>
      <c r="D10" s="11" t="s">
        <v>45</v>
      </c>
      <c r="E10" s="55">
        <v>323000</v>
      </c>
      <c r="F10" s="56">
        <v>2849.8290000000002</v>
      </c>
      <c r="G10" s="57">
        <v>2849.83</v>
      </c>
      <c r="H10" s="68">
        <v>3.8009089245344019E-2</v>
      </c>
      <c r="I10" s="2">
        <v>3.7999999999999999E-2</v>
      </c>
    </row>
    <row r="11" spans="1:9" ht="12.95" customHeight="1">
      <c r="A11" s="27"/>
      <c r="B11" s="67" t="s">
        <v>48</v>
      </c>
      <c r="C11" s="11" t="s">
        <v>49</v>
      </c>
      <c r="D11" s="11" t="s">
        <v>50</v>
      </c>
      <c r="E11" s="55">
        <v>397588</v>
      </c>
      <c r="F11" s="56">
        <v>2683.1226179999999</v>
      </c>
      <c r="G11" s="57">
        <v>2683.12</v>
      </c>
      <c r="H11" s="68">
        <v>3.5785672418858501E-2</v>
      </c>
      <c r="I11" s="2">
        <v>3.5799999999999998E-2</v>
      </c>
    </row>
    <row r="12" spans="1:9" ht="12.95" customHeight="1">
      <c r="A12" s="27"/>
      <c r="B12" s="67" t="s">
        <v>51</v>
      </c>
      <c r="C12" s="11" t="s">
        <v>52</v>
      </c>
      <c r="D12" s="11" t="s">
        <v>45</v>
      </c>
      <c r="E12" s="55">
        <v>797500</v>
      </c>
      <c r="F12" s="56">
        <v>2530.0687499999999</v>
      </c>
      <c r="G12" s="57">
        <v>2530.0700000000002</v>
      </c>
      <c r="H12" s="68">
        <v>3.3744343578371187E-2</v>
      </c>
      <c r="I12" s="2">
        <v>3.3700000000000001E-2</v>
      </c>
    </row>
    <row r="13" spans="1:9" ht="12.95" customHeight="1">
      <c r="A13" s="27"/>
      <c r="B13" s="67" t="s">
        <v>53</v>
      </c>
      <c r="C13" s="11" t="s">
        <v>54</v>
      </c>
      <c r="D13" s="11" t="s">
        <v>55</v>
      </c>
      <c r="E13" s="55">
        <v>161234</v>
      </c>
      <c r="F13" s="56">
        <v>2468.8956250000001</v>
      </c>
      <c r="G13" s="57">
        <v>2468.9</v>
      </c>
      <c r="H13" s="68">
        <v>3.2928457864687462E-2</v>
      </c>
      <c r="I13" s="2">
        <v>3.2899999999999999E-2</v>
      </c>
    </row>
    <row r="14" spans="1:9" ht="12.95" customHeight="1">
      <c r="A14" s="27"/>
      <c r="B14" s="67" t="s">
        <v>56</v>
      </c>
      <c r="C14" s="11" t="s">
        <v>57</v>
      </c>
      <c r="D14" s="11" t="s">
        <v>58</v>
      </c>
      <c r="E14" s="55">
        <v>255678</v>
      </c>
      <c r="F14" s="56">
        <v>2264.2843680000001</v>
      </c>
      <c r="G14" s="57">
        <v>2264.2800000000002</v>
      </c>
      <c r="H14" s="68">
        <v>3.019949148533101E-2</v>
      </c>
      <c r="I14" s="2">
        <v>3.0200000000000001E-2</v>
      </c>
    </row>
    <row r="15" spans="1:9" ht="12.95" customHeight="1">
      <c r="A15" s="27"/>
      <c r="B15" s="67" t="s">
        <v>59</v>
      </c>
      <c r="C15" s="11" t="s">
        <v>60</v>
      </c>
      <c r="D15" s="11" t="s">
        <v>61</v>
      </c>
      <c r="E15" s="55">
        <v>616000</v>
      </c>
      <c r="F15" s="56">
        <v>2050.9720000000002</v>
      </c>
      <c r="G15" s="57">
        <v>2050.9699999999998</v>
      </c>
      <c r="H15" s="68">
        <v>2.7354475580009089E-2</v>
      </c>
      <c r="I15" s="2">
        <v>2.7400000000000001E-2</v>
      </c>
    </row>
    <row r="16" spans="1:9" ht="12.95" customHeight="1">
      <c r="A16" s="27"/>
      <c r="B16" s="67" t="s">
        <v>62</v>
      </c>
      <c r="C16" s="11" t="s">
        <v>63</v>
      </c>
      <c r="D16" s="11" t="s">
        <v>45</v>
      </c>
      <c r="E16" s="55">
        <v>1422595</v>
      </c>
      <c r="F16" s="56">
        <v>2032.8882550000001</v>
      </c>
      <c r="G16" s="57">
        <v>2032.89</v>
      </c>
      <c r="H16" s="68">
        <v>2.7113286835844071E-2</v>
      </c>
      <c r="I16" s="2">
        <v>2.7099999999999999E-2</v>
      </c>
    </row>
    <row r="17" spans="1:9" ht="12.95" customHeight="1">
      <c r="A17" s="27"/>
      <c r="B17" s="67" t="s">
        <v>64</v>
      </c>
      <c r="C17" s="11" t="s">
        <v>65</v>
      </c>
      <c r="D17" s="11" t="s">
        <v>66</v>
      </c>
      <c r="E17" s="55">
        <v>47573</v>
      </c>
      <c r="F17" s="56">
        <v>1950.0172700000001</v>
      </c>
      <c r="G17" s="57">
        <v>1950.02</v>
      </c>
      <c r="H17" s="68">
        <v>2.600800975967053E-2</v>
      </c>
      <c r="I17" s="2">
        <v>2.5999999999999999E-2</v>
      </c>
    </row>
    <row r="18" spans="1:9" ht="12.95" customHeight="1">
      <c r="A18" s="27"/>
      <c r="B18" s="67" t="s">
        <v>67</v>
      </c>
      <c r="C18" s="11" t="s">
        <v>68</v>
      </c>
      <c r="D18" s="11" t="s">
        <v>69</v>
      </c>
      <c r="E18" s="55">
        <v>535234</v>
      </c>
      <c r="F18" s="56">
        <v>1919.0815070000001</v>
      </c>
      <c r="G18" s="57">
        <v>1919.08</v>
      </c>
      <c r="H18" s="68">
        <v>2.5595409503044671E-2</v>
      </c>
      <c r="I18" s="2">
        <v>2.5600000000000001E-2</v>
      </c>
    </row>
    <row r="19" spans="1:9" ht="12.95" customHeight="1">
      <c r="A19" s="27"/>
      <c r="B19" s="67" t="s">
        <v>70</v>
      </c>
      <c r="C19" s="11" t="s">
        <v>71</v>
      </c>
      <c r="D19" s="11" t="s">
        <v>72</v>
      </c>
      <c r="E19" s="55">
        <v>85800</v>
      </c>
      <c r="F19" s="56">
        <v>1899.0114000000001</v>
      </c>
      <c r="G19" s="57">
        <v>1899.01</v>
      </c>
      <c r="H19" s="68">
        <v>2.5327728007724565E-2</v>
      </c>
      <c r="I19" s="2">
        <v>2.53E-2</v>
      </c>
    </row>
    <row r="20" spans="1:9" ht="12.95" customHeight="1">
      <c r="A20" s="27"/>
      <c r="B20" s="67" t="s">
        <v>73</v>
      </c>
      <c r="C20" s="11" t="s">
        <v>74</v>
      </c>
      <c r="D20" s="11" t="s">
        <v>72</v>
      </c>
      <c r="E20" s="55">
        <v>213310</v>
      </c>
      <c r="F20" s="56">
        <v>1867.1024299999999</v>
      </c>
      <c r="G20" s="57">
        <v>1867.1</v>
      </c>
      <c r="H20" s="68">
        <v>2.4902147775206402E-2</v>
      </c>
      <c r="I20" s="2">
        <v>2.4899999999999999E-2</v>
      </c>
    </row>
    <row r="21" spans="1:9" ht="12.95" customHeight="1">
      <c r="A21" s="27"/>
      <c r="B21" s="67" t="s">
        <v>75</v>
      </c>
      <c r="C21" s="11" t="s">
        <v>76</v>
      </c>
      <c r="D21" s="11" t="s">
        <v>77</v>
      </c>
      <c r="E21" s="55">
        <v>225348</v>
      </c>
      <c r="F21" s="56">
        <v>1840.4171160000001</v>
      </c>
      <c r="G21" s="57">
        <v>1840.42</v>
      </c>
      <c r="H21" s="68">
        <v>2.4546237128860244E-2</v>
      </c>
      <c r="I21" s="2">
        <v>2.4500000000000001E-2</v>
      </c>
    </row>
    <row r="22" spans="1:9" ht="12.95" customHeight="1">
      <c r="A22" s="27"/>
      <c r="B22" s="67" t="s">
        <v>78</v>
      </c>
      <c r="C22" s="11" t="s">
        <v>79</v>
      </c>
      <c r="D22" s="11" t="s">
        <v>72</v>
      </c>
      <c r="E22" s="55">
        <v>268786</v>
      </c>
      <c r="F22" s="56">
        <v>1759.7419420000001</v>
      </c>
      <c r="G22" s="57">
        <v>1759.74</v>
      </c>
      <c r="H22" s="68">
        <v>2.3470246292761076E-2</v>
      </c>
      <c r="I22" s="2">
        <v>2.35E-2</v>
      </c>
    </row>
    <row r="23" spans="1:9" ht="12.95" customHeight="1">
      <c r="A23" s="27"/>
      <c r="B23" s="67" t="s">
        <v>80</v>
      </c>
      <c r="C23" s="11" t="s">
        <v>81</v>
      </c>
      <c r="D23" s="11" t="s">
        <v>82</v>
      </c>
      <c r="E23" s="55">
        <v>396000</v>
      </c>
      <c r="F23" s="56">
        <v>1711.71</v>
      </c>
      <c r="G23" s="57">
        <v>1711.71</v>
      </c>
      <c r="H23" s="68">
        <v>2.2829628778480326E-2</v>
      </c>
      <c r="I23" s="2">
        <v>2.2800000000000001E-2</v>
      </c>
    </row>
    <row r="24" spans="1:9" ht="12.95" customHeight="1">
      <c r="A24" s="27"/>
      <c r="B24" s="67" t="s">
        <v>83</v>
      </c>
      <c r="C24" s="11" t="s">
        <v>84</v>
      </c>
      <c r="D24" s="11" t="s">
        <v>85</v>
      </c>
      <c r="E24" s="55">
        <v>193600</v>
      </c>
      <c r="F24" s="56">
        <v>1523.7288000000001</v>
      </c>
      <c r="G24" s="57">
        <v>1523.73</v>
      </c>
      <c r="H24" s="68">
        <v>2.0322462837209163E-2</v>
      </c>
      <c r="I24" s="2">
        <v>2.0299999999999999E-2</v>
      </c>
    </row>
    <row r="25" spans="1:9" ht="12.95" customHeight="1">
      <c r="A25" s="27"/>
      <c r="B25" s="67" t="s">
        <v>86</v>
      </c>
      <c r="C25" s="11" t="s">
        <v>87</v>
      </c>
      <c r="D25" s="11" t="s">
        <v>66</v>
      </c>
      <c r="E25" s="55">
        <v>121200</v>
      </c>
      <c r="F25" s="56">
        <v>1492.6386</v>
      </c>
      <c r="G25" s="57">
        <v>1492.64</v>
      </c>
      <c r="H25" s="68">
        <v>1.9907802804464886E-2</v>
      </c>
      <c r="I25" s="2">
        <v>1.9900000000000001E-2</v>
      </c>
    </row>
    <row r="26" spans="1:9" ht="12.95" customHeight="1">
      <c r="A26" s="27"/>
      <c r="B26" s="67" t="s">
        <v>88</v>
      </c>
      <c r="C26" s="11" t="s">
        <v>89</v>
      </c>
      <c r="D26" s="11" t="s">
        <v>90</v>
      </c>
      <c r="E26" s="55">
        <v>220487</v>
      </c>
      <c r="F26" s="56">
        <v>1408.5811994999999</v>
      </c>
      <c r="G26" s="57">
        <v>1408.58</v>
      </c>
      <c r="H26" s="68">
        <v>1.8786702121814759E-2</v>
      </c>
      <c r="I26" s="2">
        <v>1.8800000000000001E-2</v>
      </c>
    </row>
    <row r="27" spans="1:9" ht="12.95" customHeight="1">
      <c r="A27" s="27"/>
      <c r="B27" s="67" t="s">
        <v>91</v>
      </c>
      <c r="C27" s="11" t="s">
        <v>92</v>
      </c>
      <c r="D27" s="11" t="s">
        <v>85</v>
      </c>
      <c r="E27" s="55">
        <v>124800</v>
      </c>
      <c r="F27" s="56">
        <v>1398.1967999999999</v>
      </c>
      <c r="G27" s="57">
        <v>1398.2</v>
      </c>
      <c r="H27" s="68">
        <v>1.8648202033790248E-2</v>
      </c>
      <c r="I27" s="2">
        <v>1.8599999999999998E-2</v>
      </c>
    </row>
    <row r="28" spans="1:9" ht="12.95" customHeight="1">
      <c r="A28" s="27"/>
      <c r="B28" s="67" t="s">
        <v>93</v>
      </c>
      <c r="C28" s="11" t="s">
        <v>94</v>
      </c>
      <c r="D28" s="11" t="s">
        <v>85</v>
      </c>
      <c r="E28" s="55">
        <v>54090</v>
      </c>
      <c r="F28" s="56">
        <v>1376.42823</v>
      </c>
      <c r="G28" s="57">
        <v>1376.43</v>
      </c>
      <c r="H28" s="68">
        <v>1.8357867589206548E-2</v>
      </c>
      <c r="I28" s="2">
        <v>1.84E-2</v>
      </c>
    </row>
    <row r="29" spans="1:9" ht="12.95" customHeight="1">
      <c r="A29" s="27"/>
      <c r="B29" s="67" t="s">
        <v>95</v>
      </c>
      <c r="C29" s="11" t="s">
        <v>96</v>
      </c>
      <c r="D29" s="11" t="s">
        <v>72</v>
      </c>
      <c r="E29" s="55">
        <v>109019</v>
      </c>
      <c r="F29" s="56">
        <v>1313.4064025</v>
      </c>
      <c r="G29" s="57">
        <v>1313.41</v>
      </c>
      <c r="H29" s="68">
        <v>1.7517325133553183E-2</v>
      </c>
      <c r="I29" s="2">
        <v>1.7500000000000002E-2</v>
      </c>
    </row>
    <row r="30" spans="1:9" ht="12.95" customHeight="1">
      <c r="A30" s="27"/>
      <c r="B30" s="67" t="s">
        <v>97</v>
      </c>
      <c r="C30" s="11" t="s">
        <v>98</v>
      </c>
      <c r="D30" s="11" t="s">
        <v>55</v>
      </c>
      <c r="E30" s="55">
        <v>291500</v>
      </c>
      <c r="F30" s="56">
        <v>1287.40975</v>
      </c>
      <c r="G30" s="57">
        <v>1287.4100000000001</v>
      </c>
      <c r="H30" s="68">
        <v>1.7170599387919778E-2</v>
      </c>
      <c r="I30" s="2">
        <v>1.72E-2</v>
      </c>
    </row>
    <row r="31" spans="1:9" ht="12.95" customHeight="1">
      <c r="A31" s="27"/>
      <c r="B31" s="67" t="s">
        <v>99</v>
      </c>
      <c r="C31" s="11" t="s">
        <v>100</v>
      </c>
      <c r="D31" s="11" t="s">
        <v>45</v>
      </c>
      <c r="E31" s="55">
        <v>275187</v>
      </c>
      <c r="F31" s="56">
        <v>1274.390997</v>
      </c>
      <c r="G31" s="57">
        <v>1274.3900000000001</v>
      </c>
      <c r="H31" s="68">
        <v>1.6996964076944947E-2</v>
      </c>
      <c r="I31" s="2">
        <v>1.7000000000000001E-2</v>
      </c>
    </row>
    <row r="32" spans="1:9" ht="12.95" customHeight="1">
      <c r="A32" s="27"/>
      <c r="B32" s="67" t="s">
        <v>101</v>
      </c>
      <c r="C32" s="11" t="s">
        <v>102</v>
      </c>
      <c r="D32" s="11" t="s">
        <v>82</v>
      </c>
      <c r="E32" s="55">
        <v>106380</v>
      </c>
      <c r="F32" s="56">
        <v>1246.0289399999999</v>
      </c>
      <c r="G32" s="57">
        <v>1246.03</v>
      </c>
      <c r="H32" s="68">
        <v>1.6618690167986012E-2</v>
      </c>
      <c r="I32" s="2">
        <v>1.66E-2</v>
      </c>
    </row>
    <row r="33" spans="1:9" ht="12.95" customHeight="1">
      <c r="A33" s="27"/>
      <c r="B33" s="67" t="s">
        <v>103</v>
      </c>
      <c r="C33" s="11" t="s">
        <v>104</v>
      </c>
      <c r="D33" s="11" t="s">
        <v>85</v>
      </c>
      <c r="E33" s="55">
        <v>88166</v>
      </c>
      <c r="F33" s="56">
        <v>1210.827761</v>
      </c>
      <c r="G33" s="57">
        <v>1210.83</v>
      </c>
      <c r="H33" s="68">
        <v>1.6149200681370383E-2</v>
      </c>
      <c r="I33" s="2">
        <v>1.61E-2</v>
      </c>
    </row>
    <row r="34" spans="1:9" ht="12.95" customHeight="1">
      <c r="A34" s="27"/>
      <c r="B34" s="67" t="s">
        <v>105</v>
      </c>
      <c r="C34" s="11" t="s">
        <v>106</v>
      </c>
      <c r="D34" s="11" t="s">
        <v>107</v>
      </c>
      <c r="E34" s="55">
        <v>504000</v>
      </c>
      <c r="F34" s="56">
        <v>1197.5039999999999</v>
      </c>
      <c r="G34" s="57">
        <v>1197.5</v>
      </c>
      <c r="H34" s="68">
        <v>1.5971497380248587E-2</v>
      </c>
      <c r="I34" s="2">
        <v>1.6E-2</v>
      </c>
    </row>
    <row r="35" spans="1:9" ht="12.95" customHeight="1">
      <c r="A35" s="27"/>
      <c r="B35" s="67" t="s">
        <v>108</v>
      </c>
      <c r="C35" s="11" t="s">
        <v>109</v>
      </c>
      <c r="D35" s="11" t="s">
        <v>110</v>
      </c>
      <c r="E35" s="55">
        <v>711027</v>
      </c>
      <c r="F35" s="56">
        <v>1195.5919005000001</v>
      </c>
      <c r="G35" s="57">
        <v>1195.5899999999999</v>
      </c>
      <c r="H35" s="68">
        <v>1.5945995092026564E-2</v>
      </c>
      <c r="I35" s="2">
        <v>1.5900000000000001E-2</v>
      </c>
    </row>
    <row r="36" spans="1:9" ht="12.95" customHeight="1">
      <c r="A36" s="27"/>
      <c r="B36" s="67" t="s">
        <v>111</v>
      </c>
      <c r="C36" s="11" t="s">
        <v>112</v>
      </c>
      <c r="D36" s="11" t="s">
        <v>113</v>
      </c>
      <c r="E36" s="55">
        <v>325739</v>
      </c>
      <c r="F36" s="56">
        <v>1151.3244955</v>
      </c>
      <c r="G36" s="57">
        <v>1151.32</v>
      </c>
      <c r="H36" s="68">
        <v>1.5355586422838066E-2</v>
      </c>
      <c r="I36" s="2">
        <v>1.54E-2</v>
      </c>
    </row>
    <row r="37" spans="1:9" ht="12.95" customHeight="1">
      <c r="A37" s="27"/>
      <c r="B37" s="67" t="s">
        <v>114</v>
      </c>
      <c r="C37" s="11" t="s">
        <v>115</v>
      </c>
      <c r="D37" s="11" t="s">
        <v>66</v>
      </c>
      <c r="E37" s="55">
        <v>197000</v>
      </c>
      <c r="F37" s="56">
        <v>1103.1015</v>
      </c>
      <c r="G37" s="57">
        <v>1103.0999999999999</v>
      </c>
      <c r="H37" s="68">
        <v>1.4712420766359265E-2</v>
      </c>
      <c r="I37" s="2">
        <v>1.47E-2</v>
      </c>
    </row>
    <row r="38" spans="1:9" ht="12.95" customHeight="1">
      <c r="A38" s="27"/>
      <c r="B38" s="67" t="s">
        <v>116</v>
      </c>
      <c r="C38" s="11" t="s">
        <v>117</v>
      </c>
      <c r="D38" s="11" t="s">
        <v>85</v>
      </c>
      <c r="E38" s="55">
        <v>23823</v>
      </c>
      <c r="F38" s="56">
        <v>1079.0866080000001</v>
      </c>
      <c r="G38" s="57">
        <v>1079.0899999999999</v>
      </c>
      <c r="H38" s="68">
        <v>1.4392126400190173E-2</v>
      </c>
      <c r="I38" s="2">
        <v>1.44E-2</v>
      </c>
    </row>
    <row r="39" spans="1:9" ht="12.95" customHeight="1">
      <c r="A39" s="27"/>
      <c r="B39" s="67" t="s">
        <v>118</v>
      </c>
      <c r="C39" s="11" t="s">
        <v>119</v>
      </c>
      <c r="D39" s="11" t="s">
        <v>66</v>
      </c>
      <c r="E39" s="55">
        <v>658527</v>
      </c>
      <c r="F39" s="56">
        <v>1061.5455239999999</v>
      </c>
      <c r="G39" s="57">
        <v>1061.55</v>
      </c>
      <c r="H39" s="68">
        <v>1.4158175300943139E-2</v>
      </c>
      <c r="I39" s="2">
        <v>1.4200000000000001E-2</v>
      </c>
    </row>
    <row r="40" spans="1:9" ht="12.95" customHeight="1">
      <c r="A40" s="27"/>
      <c r="B40" s="67" t="s">
        <v>120</v>
      </c>
      <c r="C40" s="11" t="s">
        <v>121</v>
      </c>
      <c r="D40" s="11" t="s">
        <v>66</v>
      </c>
      <c r="E40" s="55">
        <v>101804</v>
      </c>
      <c r="F40" s="56">
        <v>1035.7538959999999</v>
      </c>
      <c r="G40" s="57">
        <v>1035.75</v>
      </c>
      <c r="H40" s="68">
        <v>1.3814184033244369E-2</v>
      </c>
      <c r="I40" s="2">
        <v>1.38E-2</v>
      </c>
    </row>
    <row r="41" spans="1:9" ht="12.95" customHeight="1">
      <c r="A41" s="27"/>
      <c r="B41" s="67" t="s">
        <v>122</v>
      </c>
      <c r="C41" s="11" t="s">
        <v>123</v>
      </c>
      <c r="D41" s="11" t="s">
        <v>61</v>
      </c>
      <c r="E41" s="55">
        <v>850000</v>
      </c>
      <c r="F41" s="56">
        <v>1031.05</v>
      </c>
      <c r="G41" s="57">
        <v>1031.05</v>
      </c>
      <c r="H41" s="68">
        <v>1.3751446653961327E-2</v>
      </c>
      <c r="I41" s="2">
        <v>1.38E-2</v>
      </c>
    </row>
    <row r="42" spans="1:9" ht="12.95" customHeight="1">
      <c r="A42" s="27"/>
      <c r="B42" s="67" t="s">
        <v>124</v>
      </c>
      <c r="C42" s="11" t="s">
        <v>125</v>
      </c>
      <c r="D42" s="11" t="s">
        <v>55</v>
      </c>
      <c r="E42" s="55">
        <v>244803</v>
      </c>
      <c r="F42" s="56">
        <v>1025.7245700000001</v>
      </c>
      <c r="G42" s="57">
        <v>1025.72</v>
      </c>
      <c r="H42" s="68">
        <v>1.3680419675100548E-2</v>
      </c>
      <c r="I42" s="2">
        <v>1.37E-2</v>
      </c>
    </row>
    <row r="43" spans="1:9" ht="12.95" customHeight="1">
      <c r="A43" s="27"/>
      <c r="B43" s="67" t="s">
        <v>126</v>
      </c>
      <c r="C43" s="11" t="s">
        <v>127</v>
      </c>
      <c r="D43" s="11" t="s">
        <v>58</v>
      </c>
      <c r="E43" s="55">
        <v>646533</v>
      </c>
      <c r="F43" s="56">
        <v>993.72122100000001</v>
      </c>
      <c r="G43" s="57">
        <v>993.72</v>
      </c>
      <c r="H43" s="68">
        <v>1.3253580679395581E-2</v>
      </c>
      <c r="I43" s="2">
        <v>1.3299999999999999E-2</v>
      </c>
    </row>
    <row r="44" spans="1:9" ht="12.95" customHeight="1">
      <c r="A44" s="27"/>
      <c r="B44" s="67" t="s">
        <v>128</v>
      </c>
      <c r="C44" s="11" t="s">
        <v>129</v>
      </c>
      <c r="D44" s="11" t="s">
        <v>50</v>
      </c>
      <c r="E44" s="55">
        <v>208994</v>
      </c>
      <c r="F44" s="56">
        <v>970.88162699999998</v>
      </c>
      <c r="G44" s="57">
        <v>970.88</v>
      </c>
      <c r="H44" s="68">
        <v>1.2948961642017049E-2</v>
      </c>
      <c r="I44" s="2">
        <v>1.29E-2</v>
      </c>
    </row>
    <row r="45" spans="1:9" ht="12.95" customHeight="1">
      <c r="A45" s="27"/>
      <c r="B45" s="67" t="s">
        <v>130</v>
      </c>
      <c r="C45" s="11" t="s">
        <v>131</v>
      </c>
      <c r="D45" s="11" t="s">
        <v>82</v>
      </c>
      <c r="E45" s="55">
        <v>163752</v>
      </c>
      <c r="F45" s="56">
        <v>948.94284000000005</v>
      </c>
      <c r="G45" s="57">
        <v>948.94</v>
      </c>
      <c r="H45" s="68">
        <v>1.2656356958361436E-2</v>
      </c>
      <c r="I45" s="2">
        <v>1.2699999999999999E-2</v>
      </c>
    </row>
    <row r="46" spans="1:9" ht="12.95" customHeight="1">
      <c r="A46" s="27"/>
      <c r="B46" s="67" t="s">
        <v>132</v>
      </c>
      <c r="C46" s="11" t="s">
        <v>133</v>
      </c>
      <c r="D46" s="11" t="s">
        <v>134</v>
      </c>
      <c r="E46" s="55">
        <v>61987</v>
      </c>
      <c r="F46" s="56">
        <v>897.10685750000005</v>
      </c>
      <c r="G46" s="57">
        <v>897.11</v>
      </c>
      <c r="H46" s="68">
        <v>1.1965003728057937E-2</v>
      </c>
      <c r="I46" s="2">
        <v>1.2E-2</v>
      </c>
    </row>
    <row r="47" spans="1:9" ht="12.95" customHeight="1">
      <c r="A47" s="27"/>
      <c r="B47" s="67" t="s">
        <v>135</v>
      </c>
      <c r="C47" s="11" t="s">
        <v>136</v>
      </c>
      <c r="D47" s="11" t="s">
        <v>55</v>
      </c>
      <c r="E47" s="55">
        <v>81000</v>
      </c>
      <c r="F47" s="56">
        <v>888.16499999999996</v>
      </c>
      <c r="G47" s="57">
        <v>888.17</v>
      </c>
      <c r="H47" s="68">
        <v>1.1845743288313429E-2</v>
      </c>
      <c r="I47" s="2">
        <v>1.18E-2</v>
      </c>
    </row>
    <row r="48" spans="1:9" ht="12.95" customHeight="1">
      <c r="A48" s="27"/>
      <c r="B48" s="67" t="s">
        <v>137</v>
      </c>
      <c r="C48" s="11" t="s">
        <v>138</v>
      </c>
      <c r="D48" s="11" t="s">
        <v>77</v>
      </c>
      <c r="E48" s="55">
        <v>55355</v>
      </c>
      <c r="F48" s="56">
        <v>874.60900000000004</v>
      </c>
      <c r="G48" s="57">
        <v>874.61</v>
      </c>
      <c r="H48" s="68">
        <v>1.1664942540686157E-2</v>
      </c>
      <c r="I48" s="2">
        <v>1.17E-2</v>
      </c>
    </row>
    <row r="49" spans="1:9" ht="12.95" customHeight="1">
      <c r="A49" s="27"/>
      <c r="B49" s="67" t="s">
        <v>139</v>
      </c>
      <c r="C49" s="11" t="s">
        <v>140</v>
      </c>
      <c r="D49" s="11" t="s">
        <v>90</v>
      </c>
      <c r="E49" s="55">
        <v>736610</v>
      </c>
      <c r="F49" s="56">
        <v>841.57692499999996</v>
      </c>
      <c r="G49" s="57">
        <v>841.58</v>
      </c>
      <c r="H49" s="68">
        <v>1.1224383094265373E-2</v>
      </c>
      <c r="I49" s="2">
        <v>1.12E-2</v>
      </c>
    </row>
    <row r="50" spans="1:9" ht="12.95" customHeight="1">
      <c r="A50" s="27"/>
      <c r="B50" s="67" t="s">
        <v>141</v>
      </c>
      <c r="C50" s="11" t="s">
        <v>142</v>
      </c>
      <c r="D50" s="11" t="s">
        <v>85</v>
      </c>
      <c r="E50" s="55">
        <v>159151</v>
      </c>
      <c r="F50" s="56">
        <v>790.503017</v>
      </c>
      <c r="G50" s="57">
        <v>790.5</v>
      </c>
      <c r="H50" s="68">
        <v>1.0543193897551994E-2</v>
      </c>
      <c r="I50" s="2">
        <v>1.0500000000000001E-2</v>
      </c>
    </row>
    <row r="51" spans="1:9" ht="12.95" customHeight="1">
      <c r="A51" s="27"/>
      <c r="B51" s="67" t="s">
        <v>143</v>
      </c>
      <c r="C51" s="11" t="s">
        <v>144</v>
      </c>
      <c r="D51" s="11" t="s">
        <v>45</v>
      </c>
      <c r="E51" s="55">
        <v>472077</v>
      </c>
      <c r="F51" s="56">
        <v>786.952359</v>
      </c>
      <c r="G51" s="57">
        <v>786.95</v>
      </c>
      <c r="H51" s="68">
        <v>1.049583762571895E-2</v>
      </c>
      <c r="I51" s="2">
        <v>1.0500000000000001E-2</v>
      </c>
    </row>
    <row r="52" spans="1:9" ht="12.95" customHeight="1">
      <c r="A52" s="27"/>
      <c r="B52" s="67" t="s">
        <v>145</v>
      </c>
      <c r="C52" s="11" t="s">
        <v>146</v>
      </c>
      <c r="D52" s="11" t="s">
        <v>82</v>
      </c>
      <c r="E52" s="55">
        <v>141541</v>
      </c>
      <c r="F52" s="56">
        <v>781.37709050000001</v>
      </c>
      <c r="G52" s="57">
        <v>781.38</v>
      </c>
      <c r="H52" s="68">
        <v>1.0421478470140402E-2</v>
      </c>
      <c r="I52" s="2">
        <v>1.04E-2</v>
      </c>
    </row>
    <row r="53" spans="1:9" ht="12.95" customHeight="1">
      <c r="A53" s="27"/>
      <c r="B53" s="67" t="s">
        <v>147</v>
      </c>
      <c r="C53" s="11" t="s">
        <v>148</v>
      </c>
      <c r="D53" s="11" t="s">
        <v>72</v>
      </c>
      <c r="E53" s="55">
        <v>42517</v>
      </c>
      <c r="F53" s="56">
        <v>773.76688300000001</v>
      </c>
      <c r="G53" s="57">
        <v>773.77</v>
      </c>
      <c r="H53" s="68">
        <v>1.0319978676278003E-2</v>
      </c>
      <c r="I53" s="2">
        <v>1.03E-2</v>
      </c>
    </row>
    <row r="54" spans="1:9" ht="12.95" customHeight="1">
      <c r="A54" s="27"/>
      <c r="B54" s="67" t="s">
        <v>149</v>
      </c>
      <c r="C54" s="11" t="s">
        <v>150</v>
      </c>
      <c r="D54" s="11" t="s">
        <v>151</v>
      </c>
      <c r="E54" s="55">
        <v>403000</v>
      </c>
      <c r="F54" s="56">
        <v>732.85550000000001</v>
      </c>
      <c r="G54" s="57">
        <v>732.86</v>
      </c>
      <c r="H54" s="68">
        <v>9.7743303557656317E-3</v>
      </c>
      <c r="I54" s="2">
        <v>9.7999999999999997E-3</v>
      </c>
    </row>
    <row r="55" spans="1:9" ht="12.95" customHeight="1">
      <c r="A55" s="27"/>
      <c r="B55" s="67" t="s">
        <v>152</v>
      </c>
      <c r="C55" s="11" t="s">
        <v>153</v>
      </c>
      <c r="D55" s="11" t="s">
        <v>110</v>
      </c>
      <c r="E55" s="55">
        <v>74301</v>
      </c>
      <c r="F55" s="56">
        <v>715.96443599999998</v>
      </c>
      <c r="G55" s="57">
        <v>715.96</v>
      </c>
      <c r="H55" s="68">
        <v>9.5490487830730882E-3</v>
      </c>
      <c r="I55" s="2">
        <v>9.4999999999999998E-3</v>
      </c>
    </row>
    <row r="56" spans="1:9" ht="12.95" customHeight="1">
      <c r="A56" s="27"/>
      <c r="B56" s="67" t="s">
        <v>154</v>
      </c>
      <c r="C56" s="11" t="s">
        <v>155</v>
      </c>
      <c r="D56" s="11" t="s">
        <v>110</v>
      </c>
      <c r="E56" s="55">
        <v>606576</v>
      </c>
      <c r="F56" s="56">
        <v>685.73416799999995</v>
      </c>
      <c r="G56" s="57">
        <v>685.73</v>
      </c>
      <c r="H56" s="68">
        <v>9.1458579409830314E-3</v>
      </c>
      <c r="I56" s="2">
        <v>9.1000000000000004E-3</v>
      </c>
    </row>
    <row r="57" spans="1:9" ht="12.95" customHeight="1">
      <c r="A57" s="27"/>
      <c r="B57" s="67" t="s">
        <v>156</v>
      </c>
      <c r="C57" s="11" t="s">
        <v>157</v>
      </c>
      <c r="D57" s="11" t="s">
        <v>55</v>
      </c>
      <c r="E57" s="55">
        <v>15720</v>
      </c>
      <c r="F57" s="56">
        <v>662.84166000000005</v>
      </c>
      <c r="G57" s="57">
        <v>662.84</v>
      </c>
      <c r="H57" s="68">
        <v>8.8405331725068346E-3</v>
      </c>
      <c r="I57" s="2">
        <v>8.8000000000000005E-3</v>
      </c>
    </row>
    <row r="58" spans="1:9" ht="12.95" customHeight="1">
      <c r="A58" s="27"/>
      <c r="B58" s="67" t="s">
        <v>158</v>
      </c>
      <c r="C58" s="11" t="s">
        <v>159</v>
      </c>
      <c r="D58" s="11" t="s">
        <v>160</v>
      </c>
      <c r="E58" s="55">
        <v>250000</v>
      </c>
      <c r="F58" s="56">
        <v>617.125</v>
      </c>
      <c r="G58" s="57">
        <v>617.13</v>
      </c>
      <c r="H58" s="68">
        <v>8.2307953215904981E-3</v>
      </c>
      <c r="I58" s="2">
        <v>8.2000000000000007E-3</v>
      </c>
    </row>
    <row r="59" spans="1:9" ht="12.95" customHeight="1">
      <c r="A59" s="27"/>
      <c r="B59" s="67" t="s">
        <v>161</v>
      </c>
      <c r="C59" s="11" t="s">
        <v>162</v>
      </c>
      <c r="D59" s="11" t="s">
        <v>163</v>
      </c>
      <c r="E59" s="55">
        <v>105100</v>
      </c>
      <c r="F59" s="56">
        <v>594.44560000000001</v>
      </c>
      <c r="G59" s="57">
        <v>594.45000000000005</v>
      </c>
      <c r="H59" s="68">
        <v>7.9283128432976416E-3</v>
      </c>
      <c r="I59" s="2">
        <v>7.9000000000000008E-3</v>
      </c>
    </row>
    <row r="60" spans="1:9" ht="12.95" customHeight="1">
      <c r="A60" s="27"/>
      <c r="B60" s="67" t="s">
        <v>164</v>
      </c>
      <c r="C60" s="11" t="s">
        <v>165</v>
      </c>
      <c r="D60" s="11" t="s">
        <v>166</v>
      </c>
      <c r="E60" s="55">
        <v>560874</v>
      </c>
      <c r="F60" s="56">
        <v>537.87816599999996</v>
      </c>
      <c r="G60" s="57">
        <v>537.88</v>
      </c>
      <c r="H60" s="68">
        <v>7.1738547171131904E-3</v>
      </c>
      <c r="I60" s="2">
        <v>7.1999999999999998E-3</v>
      </c>
    </row>
    <row r="61" spans="1:9" ht="12.95" customHeight="1">
      <c r="A61" s="27"/>
      <c r="B61" s="67" t="s">
        <v>167</v>
      </c>
      <c r="C61" s="11" t="s">
        <v>168</v>
      </c>
      <c r="D61" s="11" t="s">
        <v>77</v>
      </c>
      <c r="E61" s="55">
        <v>97000</v>
      </c>
      <c r="F61" s="56">
        <v>537.76800000000003</v>
      </c>
      <c r="G61" s="57">
        <v>537.77</v>
      </c>
      <c r="H61" s="68">
        <v>7.1723853976116336E-3</v>
      </c>
      <c r="I61" s="2">
        <v>7.1999999999999998E-3</v>
      </c>
    </row>
    <row r="62" spans="1:9" ht="12.95" customHeight="1">
      <c r="A62" s="27"/>
      <c r="B62" s="67" t="s">
        <v>169</v>
      </c>
      <c r="C62" s="11" t="s">
        <v>170</v>
      </c>
      <c r="D62" s="11" t="s">
        <v>160</v>
      </c>
      <c r="E62" s="55">
        <v>239124</v>
      </c>
      <c r="F62" s="56">
        <v>503.116896</v>
      </c>
      <c r="G62" s="57">
        <v>503.12</v>
      </c>
      <c r="H62" s="68">
        <v>6.71023243882509E-3</v>
      </c>
      <c r="I62" s="2">
        <v>6.7000000000000002E-3</v>
      </c>
    </row>
    <row r="63" spans="1:9" ht="12.95" customHeight="1">
      <c r="A63" s="27"/>
      <c r="B63" s="67" t="s">
        <v>171</v>
      </c>
      <c r="C63" s="11" t="s">
        <v>172</v>
      </c>
      <c r="D63" s="11" t="s">
        <v>82</v>
      </c>
      <c r="E63" s="55">
        <v>14250</v>
      </c>
      <c r="F63" s="56">
        <v>493.64850000000001</v>
      </c>
      <c r="G63" s="57">
        <v>493.65</v>
      </c>
      <c r="H63" s="68">
        <v>6.5839493851491465E-3</v>
      </c>
      <c r="I63" s="2">
        <v>6.6E-3</v>
      </c>
    </row>
    <row r="64" spans="1:9" ht="12.95" customHeight="1">
      <c r="A64" s="27"/>
      <c r="B64" s="67" t="s">
        <v>173</v>
      </c>
      <c r="C64" s="11" t="s">
        <v>174</v>
      </c>
      <c r="D64" s="11" t="s">
        <v>175</v>
      </c>
      <c r="E64" s="55">
        <v>89024</v>
      </c>
      <c r="F64" s="56">
        <v>488.02956799999998</v>
      </c>
      <c r="G64" s="57">
        <v>488.03</v>
      </c>
      <c r="H64" s="68">
        <v>6.509007875377326E-3</v>
      </c>
      <c r="I64" s="2">
        <v>6.4999999999999997E-3</v>
      </c>
    </row>
    <row r="65" spans="1:9" ht="12.95" customHeight="1">
      <c r="A65" s="27"/>
      <c r="B65" s="67" t="s">
        <v>176</v>
      </c>
      <c r="C65" s="11" t="s">
        <v>177</v>
      </c>
      <c r="D65" s="11" t="s">
        <v>166</v>
      </c>
      <c r="E65" s="55">
        <v>90400</v>
      </c>
      <c r="F65" s="56">
        <v>342.79680000000002</v>
      </c>
      <c r="G65" s="57">
        <v>342.8</v>
      </c>
      <c r="H65" s="68">
        <v>4.5719915700971336E-3</v>
      </c>
      <c r="I65" s="2">
        <v>4.5999999999999999E-3</v>
      </c>
    </row>
    <row r="66" spans="1:9" ht="12.95" customHeight="1">
      <c r="A66" s="27"/>
      <c r="B66" s="67" t="s">
        <v>178</v>
      </c>
      <c r="C66" s="11" t="s">
        <v>179</v>
      </c>
      <c r="D66" s="11" t="s">
        <v>77</v>
      </c>
      <c r="E66" s="55">
        <v>76803</v>
      </c>
      <c r="F66" s="56">
        <v>293.27225550000003</v>
      </c>
      <c r="G66" s="57">
        <v>293.27</v>
      </c>
      <c r="H66" s="68">
        <v>3.9114667344892747E-3</v>
      </c>
      <c r="I66" s="2">
        <v>3.8999999999999998E-3</v>
      </c>
    </row>
    <row r="67" spans="1:9" ht="12.95" customHeight="1">
      <c r="A67" s="27"/>
      <c r="B67" s="67" t="s">
        <v>180</v>
      </c>
      <c r="C67" s="11" t="s">
        <v>181</v>
      </c>
      <c r="D67" s="11" t="s">
        <v>50</v>
      </c>
      <c r="E67" s="55">
        <v>104230</v>
      </c>
      <c r="F67" s="56">
        <v>155.82384999999999</v>
      </c>
      <c r="G67" s="57">
        <v>155.82</v>
      </c>
      <c r="H67" s="68">
        <v>2.0782729845205098E-3</v>
      </c>
      <c r="I67" s="2">
        <v>2.0999999999999999E-3</v>
      </c>
    </row>
    <row r="68" spans="1:9" ht="12.95" customHeight="1">
      <c r="A68" s="27"/>
      <c r="B68" s="67" t="s">
        <v>182</v>
      </c>
      <c r="C68" s="11" t="s">
        <v>183</v>
      </c>
      <c r="D68" s="11" t="s">
        <v>184</v>
      </c>
      <c r="E68" s="55">
        <v>31500</v>
      </c>
      <c r="F68" s="56">
        <v>146.45925</v>
      </c>
      <c r="G68" s="57">
        <v>146.46</v>
      </c>
      <c r="H68" s="68">
        <v>1.9533742916000053E-3</v>
      </c>
      <c r="I68" s="2">
        <v>2E-3</v>
      </c>
    </row>
    <row r="69" spans="1:9" ht="12.95" customHeight="1">
      <c r="A69" s="27"/>
      <c r="B69" s="67" t="s">
        <v>185</v>
      </c>
      <c r="C69" s="11" t="s">
        <v>186</v>
      </c>
      <c r="D69" s="11" t="s">
        <v>134</v>
      </c>
      <c r="E69" s="55">
        <v>663</v>
      </c>
      <c r="F69" s="56">
        <v>125.2834635</v>
      </c>
      <c r="G69" s="57">
        <v>125.28</v>
      </c>
      <c r="H69" s="68">
        <v>1.6709459918954085E-3</v>
      </c>
      <c r="I69" s="2">
        <v>1.6999999999999999E-3</v>
      </c>
    </row>
    <row r="70" spans="1:9" ht="12.95" customHeight="1">
      <c r="A70" s="27"/>
      <c r="B70" s="67" t="s">
        <v>187</v>
      </c>
      <c r="C70" s="11" t="s">
        <v>188</v>
      </c>
      <c r="D70" s="11" t="s">
        <v>113</v>
      </c>
      <c r="E70" s="55">
        <v>565</v>
      </c>
      <c r="F70" s="56">
        <v>2.1373950000000002</v>
      </c>
      <c r="G70" s="57">
        <v>2.14</v>
      </c>
      <c r="H70" s="68" t="s">
        <v>189</v>
      </c>
      <c r="I70" s="89" t="s">
        <v>189</v>
      </c>
    </row>
    <row r="71" spans="1:9" ht="12.95" customHeight="1">
      <c r="A71" s="27"/>
      <c r="B71" s="67" t="s">
        <v>190</v>
      </c>
      <c r="C71" s="11" t="s">
        <v>191</v>
      </c>
      <c r="D71" s="11" t="s">
        <v>110</v>
      </c>
      <c r="E71" s="55">
        <v>2000</v>
      </c>
      <c r="F71" s="56">
        <v>1.9379999999999999</v>
      </c>
      <c r="G71" s="57">
        <v>1.94</v>
      </c>
      <c r="H71" s="68" t="s">
        <v>189</v>
      </c>
      <c r="I71" s="89" t="s">
        <v>189</v>
      </c>
    </row>
    <row r="72" spans="1:9" ht="12.95" customHeight="1">
      <c r="A72" s="25"/>
      <c r="B72" s="65" t="s">
        <v>30</v>
      </c>
      <c r="C72" s="11" t="s">
        <v>1</v>
      </c>
      <c r="D72" s="11" t="s">
        <v>1</v>
      </c>
      <c r="E72" s="11" t="s">
        <v>1</v>
      </c>
      <c r="F72" s="12">
        <v>73394.519671999995</v>
      </c>
      <c r="G72" s="58">
        <v>73394.539999999994</v>
      </c>
      <c r="H72" s="69">
        <v>0.97888639926543153</v>
      </c>
      <c r="I72" s="43">
        <v>0.97870000000000001</v>
      </c>
    </row>
    <row r="73" spans="1:9" ht="12.95" customHeight="1">
      <c r="A73" s="25"/>
      <c r="B73" s="65" t="s">
        <v>192</v>
      </c>
      <c r="C73" s="11" t="s">
        <v>1</v>
      </c>
      <c r="D73" s="11" t="s">
        <v>1</v>
      </c>
      <c r="E73" s="11" t="s">
        <v>1</v>
      </c>
      <c r="F73" s="12" t="s">
        <v>193</v>
      </c>
      <c r="G73" s="86" t="s">
        <v>193</v>
      </c>
      <c r="H73" s="69" t="s">
        <v>193</v>
      </c>
      <c r="I73" s="90" t="s">
        <v>193</v>
      </c>
    </row>
    <row r="74" spans="1:9" ht="12.95" customHeight="1">
      <c r="A74" s="25"/>
      <c r="B74" s="65" t="s">
        <v>30</v>
      </c>
      <c r="C74" s="11" t="s">
        <v>1</v>
      </c>
      <c r="D74" s="11" t="s">
        <v>1</v>
      </c>
      <c r="E74" s="11" t="s">
        <v>1</v>
      </c>
      <c r="F74" s="12" t="s">
        <v>193</v>
      </c>
      <c r="G74" s="86" t="s">
        <v>193</v>
      </c>
      <c r="H74" s="69" t="s">
        <v>193</v>
      </c>
      <c r="I74" s="90" t="s">
        <v>193</v>
      </c>
    </row>
    <row r="75" spans="1:9" ht="12.95" customHeight="1">
      <c r="A75" s="25"/>
      <c r="B75" s="65" t="s">
        <v>31</v>
      </c>
      <c r="C75" s="11" t="s">
        <v>1</v>
      </c>
      <c r="D75" s="11" t="s">
        <v>1</v>
      </c>
      <c r="E75" s="11" t="s">
        <v>1</v>
      </c>
      <c r="F75" s="12">
        <v>73394.519671999995</v>
      </c>
      <c r="G75" s="58">
        <v>73394.539999999994</v>
      </c>
      <c r="H75" s="69">
        <v>0.97888639926543153</v>
      </c>
      <c r="I75" s="43">
        <v>0.97870000000000001</v>
      </c>
    </row>
    <row r="76" spans="1:9" ht="12.95" customHeight="1">
      <c r="A76" s="25"/>
      <c r="B76" s="9" t="s">
        <v>365</v>
      </c>
      <c r="C76" s="10"/>
      <c r="D76" s="11"/>
      <c r="E76" s="11"/>
      <c r="F76" s="12"/>
      <c r="G76" s="12"/>
      <c r="H76" s="69"/>
      <c r="I76" s="22"/>
    </row>
    <row r="77" spans="1:9" ht="12.95" customHeight="1">
      <c r="A77" s="27"/>
      <c r="B77" s="13" t="s">
        <v>369</v>
      </c>
      <c r="C77" s="10"/>
      <c r="D77" s="11"/>
      <c r="E77" s="86" t="s">
        <v>193</v>
      </c>
      <c r="F77" s="86" t="s">
        <v>193</v>
      </c>
      <c r="G77" s="86" t="s">
        <v>193</v>
      </c>
      <c r="H77" s="94" t="s">
        <v>193</v>
      </c>
      <c r="I77" s="23" t="s">
        <v>193</v>
      </c>
    </row>
    <row r="78" spans="1:9" ht="12.95" customHeight="1">
      <c r="A78" s="25"/>
      <c r="B78" s="16" t="s">
        <v>367</v>
      </c>
      <c r="C78" s="10"/>
      <c r="D78" s="11"/>
      <c r="E78" s="86" t="s">
        <v>193</v>
      </c>
      <c r="F78" s="86" t="s">
        <v>193</v>
      </c>
      <c r="G78" s="86" t="s">
        <v>193</v>
      </c>
      <c r="H78" s="94" t="s">
        <v>193</v>
      </c>
      <c r="I78" s="23" t="s">
        <v>193</v>
      </c>
    </row>
    <row r="79" spans="1:9" ht="12.95" customHeight="1">
      <c r="A79" s="25"/>
      <c r="B79" s="16" t="s">
        <v>368</v>
      </c>
      <c r="C79" s="10"/>
      <c r="D79" s="11"/>
      <c r="E79" s="86" t="s">
        <v>193</v>
      </c>
      <c r="F79" s="86" t="s">
        <v>193</v>
      </c>
      <c r="G79" s="86" t="s">
        <v>193</v>
      </c>
      <c r="H79" s="94" t="s">
        <v>193</v>
      </c>
      <c r="I79" s="91" t="s">
        <v>193</v>
      </c>
    </row>
    <row r="80" spans="1:9" ht="12.95" customHeight="1">
      <c r="A80" s="25"/>
      <c r="B80" s="65"/>
      <c r="C80" s="10"/>
      <c r="D80" s="11"/>
      <c r="E80" s="11"/>
      <c r="F80" s="12"/>
      <c r="G80" s="14"/>
      <c r="H80" s="87"/>
      <c r="I80" s="92"/>
    </row>
    <row r="81" spans="1:9" ht="12.95" customHeight="1">
      <c r="A81" s="25"/>
      <c r="B81" s="88" t="s">
        <v>11</v>
      </c>
      <c r="C81" s="10"/>
      <c r="D81" s="11"/>
      <c r="E81" s="86" t="s">
        <v>193</v>
      </c>
      <c r="F81" s="86" t="s">
        <v>193</v>
      </c>
      <c r="G81" s="86" t="s">
        <v>193</v>
      </c>
      <c r="H81" s="94" t="s">
        <v>193</v>
      </c>
      <c r="I81" s="44"/>
    </row>
    <row r="82" spans="1:9" ht="12.95" customHeight="1">
      <c r="A82" s="25"/>
      <c r="B82" s="88"/>
      <c r="C82" s="10"/>
      <c r="D82" s="11"/>
      <c r="E82" s="86"/>
      <c r="F82" s="86"/>
      <c r="G82" s="86"/>
      <c r="H82" s="94"/>
      <c r="I82" s="44"/>
    </row>
    <row r="83" spans="1:9" ht="12.95" customHeight="1">
      <c r="A83" s="25"/>
      <c r="B83" s="65" t="s">
        <v>389</v>
      </c>
      <c r="C83" s="10"/>
      <c r="D83" s="11"/>
      <c r="E83" s="11"/>
      <c r="F83" s="12"/>
      <c r="G83" s="12"/>
      <c r="H83" s="69"/>
      <c r="I83" s="44"/>
    </row>
    <row r="84" spans="1:9" ht="12.95" customHeight="1">
      <c r="A84" s="25"/>
      <c r="B84" s="65" t="s">
        <v>32</v>
      </c>
      <c r="C84" s="11" t="s">
        <v>1</v>
      </c>
      <c r="D84" s="11" t="s">
        <v>1</v>
      </c>
      <c r="E84" s="11" t="s">
        <v>1</v>
      </c>
      <c r="F84" s="53" t="s">
        <v>1</v>
      </c>
      <c r="G84" s="54"/>
      <c r="H84" s="66" t="s">
        <v>1</v>
      </c>
      <c r="I84" s="42" t="s">
        <v>1</v>
      </c>
    </row>
    <row r="85" spans="1:9" ht="12.95" customHeight="1">
      <c r="A85" s="27"/>
      <c r="B85" s="67" t="s">
        <v>33</v>
      </c>
      <c r="C85" s="11" t="s">
        <v>1</v>
      </c>
      <c r="D85" s="11" t="s">
        <v>34</v>
      </c>
      <c r="E85" s="55"/>
      <c r="F85" s="56">
        <v>1532.91335</v>
      </c>
      <c r="G85" s="57">
        <v>1532.91</v>
      </c>
      <c r="H85" s="68">
        <v>2.0444960145162842E-2</v>
      </c>
      <c r="I85" s="2">
        <v>2.0400000000000001E-2</v>
      </c>
    </row>
    <row r="86" spans="1:9" ht="12.95" customHeight="1">
      <c r="A86" s="25"/>
      <c r="B86" s="65" t="s">
        <v>30</v>
      </c>
      <c r="C86" s="11" t="s">
        <v>1</v>
      </c>
      <c r="D86" s="11" t="s">
        <v>1</v>
      </c>
      <c r="E86" s="11" t="s">
        <v>1</v>
      </c>
      <c r="F86" s="12">
        <v>1532.91335</v>
      </c>
      <c r="G86" s="58">
        <v>1532.91</v>
      </c>
      <c r="H86" s="69">
        <v>2.0444960145162842E-2</v>
      </c>
      <c r="I86" s="43">
        <v>2.0400000000000001E-2</v>
      </c>
    </row>
    <row r="87" spans="1:9" ht="12.95" customHeight="1">
      <c r="A87" s="25"/>
      <c r="B87" s="65"/>
      <c r="C87" s="11"/>
      <c r="D87" s="11"/>
      <c r="E87" s="11"/>
      <c r="F87" s="12"/>
      <c r="G87" s="58"/>
      <c r="H87" s="69"/>
      <c r="I87" s="43"/>
    </row>
    <row r="88" spans="1:9" ht="12.95" customHeight="1">
      <c r="A88" s="25"/>
      <c r="B88" s="65" t="s">
        <v>35</v>
      </c>
      <c r="C88" s="11" t="s">
        <v>1</v>
      </c>
      <c r="D88" s="11" t="s">
        <v>1</v>
      </c>
      <c r="E88" s="11" t="s">
        <v>1</v>
      </c>
      <c r="F88" s="14">
        <v>50.133043966499997</v>
      </c>
      <c r="G88" s="107">
        <v>50.12</v>
      </c>
      <c r="H88" s="87">
        <v>6.6864058940565088E-4</v>
      </c>
      <c r="I88" s="43">
        <v>8.9999999999999998E-4</v>
      </c>
    </row>
    <row r="89" spans="1:9" ht="12.95" customHeight="1">
      <c r="A89" s="25"/>
      <c r="B89" s="65" t="s">
        <v>30</v>
      </c>
      <c r="C89" s="11"/>
      <c r="D89" s="11"/>
      <c r="E89" s="11"/>
      <c r="F89" s="12">
        <v>50.133043966499997</v>
      </c>
      <c r="G89" s="58">
        <v>50.12</v>
      </c>
      <c r="H89" s="69">
        <v>6.6864058940565088E-4</v>
      </c>
      <c r="I89" s="45"/>
    </row>
    <row r="90" spans="1:9" ht="12.95" customHeight="1" thickBot="1">
      <c r="A90" s="25"/>
      <c r="B90" s="132" t="s">
        <v>31</v>
      </c>
      <c r="C90" s="17"/>
      <c r="D90" s="17"/>
      <c r="E90" s="17"/>
      <c r="F90" s="18">
        <f>F86+F89</f>
        <v>1583.0463939665001</v>
      </c>
      <c r="G90" s="18">
        <f t="shared" ref="G90:I90" si="0">G86+G89</f>
        <v>1583.03</v>
      </c>
      <c r="H90" s="133">
        <f t="shared" si="0"/>
        <v>2.1113600734568493E-2</v>
      </c>
      <c r="I90" s="38">
        <f t="shared" si="0"/>
        <v>2.0400000000000001E-2</v>
      </c>
    </row>
    <row r="91" spans="1:9" ht="12.95" customHeight="1" thickBot="1">
      <c r="A91" s="25"/>
      <c r="B91" s="134" t="s">
        <v>36</v>
      </c>
      <c r="C91" s="135" t="s">
        <v>1</v>
      </c>
      <c r="D91" s="135" t="s">
        <v>1</v>
      </c>
      <c r="E91" s="135" t="s">
        <v>1</v>
      </c>
      <c r="F91" s="136">
        <v>74977.566065966501</v>
      </c>
      <c r="G91" s="137">
        <v>74977.570000000007</v>
      </c>
      <c r="H91" s="138">
        <v>1</v>
      </c>
      <c r="I91" s="46">
        <v>1</v>
      </c>
    </row>
    <row r="92" spans="1:9" s="28" customFormat="1" ht="12.95" customHeight="1">
      <c r="A92" s="25"/>
      <c r="B92" s="26" t="s">
        <v>1</v>
      </c>
      <c r="C92" s="25"/>
      <c r="D92" s="25"/>
      <c r="E92" s="25"/>
      <c r="F92" s="30"/>
      <c r="G92" s="25"/>
      <c r="H92" s="31"/>
      <c r="I92" s="25"/>
    </row>
    <row r="93" spans="1:9" s="28" customFormat="1" ht="12.95" customHeight="1">
      <c r="A93" s="25"/>
      <c r="B93" s="32" t="s">
        <v>34</v>
      </c>
      <c r="C93" s="25"/>
      <c r="D93" s="25"/>
      <c r="E93" s="25"/>
      <c r="F93" s="30"/>
      <c r="G93" s="25"/>
      <c r="H93" s="31"/>
      <c r="I93" s="25"/>
    </row>
    <row r="94" spans="1:9" s="28" customFormat="1" ht="12.95" customHeight="1">
      <c r="A94" s="25"/>
      <c r="B94" s="32" t="s">
        <v>194</v>
      </c>
      <c r="C94" s="25"/>
      <c r="D94" s="25"/>
      <c r="E94" s="25"/>
      <c r="F94" s="30"/>
      <c r="G94" s="25"/>
      <c r="H94" s="31"/>
      <c r="I94" s="25"/>
    </row>
    <row r="95" spans="1:9" s="28" customFormat="1" ht="12.95" customHeight="1">
      <c r="A95" s="25"/>
      <c r="B95" s="32" t="s">
        <v>374</v>
      </c>
      <c r="C95" s="25"/>
      <c r="D95" s="25"/>
      <c r="E95" s="25"/>
      <c r="F95" s="30"/>
      <c r="G95" s="25"/>
      <c r="H95" s="31"/>
      <c r="I95" s="25"/>
    </row>
    <row r="96" spans="1:9" s="28" customFormat="1" ht="12.95" customHeight="1" thickBot="1">
      <c r="A96" s="25"/>
      <c r="B96" s="32" t="s">
        <v>1</v>
      </c>
      <c r="C96" s="25"/>
      <c r="D96" s="25"/>
      <c r="E96" s="25"/>
      <c r="F96" s="30"/>
      <c r="G96" s="25"/>
      <c r="H96" s="31"/>
      <c r="I96" s="25"/>
    </row>
    <row r="97" spans="2:8" s="28" customFormat="1" ht="15.75" thickBot="1">
      <c r="B97" s="100" t="s">
        <v>381</v>
      </c>
      <c r="C97" s="101">
        <v>0.74560000000000004</v>
      </c>
      <c r="F97" s="33"/>
      <c r="H97" s="34"/>
    </row>
    <row r="98" spans="2:8" s="28" customFormat="1">
      <c r="B98" s="102" t="s">
        <v>382</v>
      </c>
      <c r="C98" s="102"/>
      <c r="F98" s="33"/>
      <c r="H98" s="34"/>
    </row>
    <row r="99" spans="2:8" s="28" customFormat="1">
      <c r="F99" s="33"/>
      <c r="H99" s="34"/>
    </row>
    <row r="100" spans="2:8" s="28" customFormat="1">
      <c r="F100" s="33"/>
      <c r="H100" s="34"/>
    </row>
    <row r="101" spans="2:8" s="28" customFormat="1">
      <c r="F101" s="33"/>
      <c r="H101" s="34"/>
    </row>
    <row r="102" spans="2:8" s="28" customFormat="1">
      <c r="F102" s="33"/>
      <c r="H102" s="34"/>
    </row>
    <row r="103" spans="2:8" s="28" customFormat="1">
      <c r="F103" s="33"/>
      <c r="H103" s="34"/>
    </row>
    <row r="104" spans="2:8" s="28" customFormat="1">
      <c r="F104" s="33"/>
      <c r="H104" s="34"/>
    </row>
    <row r="105" spans="2:8" s="28" customFormat="1">
      <c r="F105" s="33"/>
      <c r="H105" s="34"/>
    </row>
    <row r="106" spans="2:8" s="28" customFormat="1">
      <c r="F106" s="33"/>
      <c r="H106" s="34"/>
    </row>
    <row r="107" spans="2:8" s="28" customFormat="1">
      <c r="F107" s="33"/>
      <c r="H107" s="34"/>
    </row>
    <row r="108" spans="2:8" s="28" customFormat="1">
      <c r="F108" s="33"/>
      <c r="H108" s="34"/>
    </row>
    <row r="109" spans="2:8" s="28" customFormat="1">
      <c r="F109" s="33"/>
      <c r="H109" s="34"/>
    </row>
    <row r="110" spans="2:8" s="28" customFormat="1">
      <c r="F110" s="33"/>
      <c r="H110" s="34"/>
    </row>
    <row r="111" spans="2:8" s="28" customFormat="1">
      <c r="F111" s="33"/>
      <c r="H111" s="34"/>
    </row>
    <row r="112" spans="2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59"/>
  <sheetViews>
    <sheetView zoomScaleNormal="100" workbookViewId="0">
      <selection activeCell="E88" sqref="E88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9" width="9.140625" style="28"/>
  </cols>
  <sheetData>
    <row r="1" spans="1:9" ht="15.95" customHeight="1">
      <c r="A1" s="25"/>
      <c r="B1" s="173" t="s">
        <v>195</v>
      </c>
      <c r="C1" s="174"/>
      <c r="D1" s="174"/>
      <c r="E1" s="174"/>
      <c r="F1" s="174"/>
      <c r="G1" s="174"/>
      <c r="H1" s="175"/>
      <c r="I1" s="1"/>
    </row>
    <row r="2" spans="1:9" ht="12.95" customHeight="1" thickBot="1">
      <c r="A2" s="25"/>
      <c r="B2" s="176" t="s">
        <v>383</v>
      </c>
      <c r="C2" s="177"/>
      <c r="D2" s="177"/>
      <c r="E2" s="177"/>
      <c r="F2" s="177"/>
      <c r="G2" s="177"/>
      <c r="H2" s="178"/>
      <c r="I2" s="1"/>
    </row>
    <row r="3" spans="1:9" s="28" customFormat="1" ht="12.95" customHeight="1">
      <c r="A3" s="25"/>
      <c r="B3" s="110"/>
      <c r="C3" s="110"/>
      <c r="D3" s="110"/>
      <c r="E3" s="110"/>
      <c r="F3" s="110"/>
      <c r="G3" s="110"/>
      <c r="H3" s="110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9" t="s">
        <v>3</v>
      </c>
      <c r="C6" s="60" t="s">
        <v>4</v>
      </c>
      <c r="D6" s="61" t="s">
        <v>40</v>
      </c>
      <c r="E6" s="61" t="s">
        <v>6</v>
      </c>
      <c r="F6" s="62" t="s">
        <v>7</v>
      </c>
      <c r="G6" s="61" t="s">
        <v>8</v>
      </c>
      <c r="H6" s="63" t="s">
        <v>9</v>
      </c>
      <c r="I6" s="41" t="s">
        <v>10</v>
      </c>
    </row>
    <row r="7" spans="1:9">
      <c r="A7" s="25"/>
      <c r="B7" s="93" t="s">
        <v>41</v>
      </c>
      <c r="C7" s="47"/>
      <c r="D7" s="48"/>
      <c r="E7" s="48"/>
      <c r="F7" s="49"/>
      <c r="G7" s="48"/>
      <c r="H7" s="64"/>
      <c r="I7" s="104"/>
    </row>
    <row r="8" spans="1:9">
      <c r="A8" s="25"/>
      <c r="B8" s="93" t="s">
        <v>42</v>
      </c>
      <c r="C8" s="47"/>
      <c r="D8" s="48"/>
      <c r="E8" s="48"/>
      <c r="F8" s="49"/>
      <c r="G8" s="48"/>
      <c r="H8" s="64"/>
      <c r="I8" s="104"/>
    </row>
    <row r="9" spans="1:9">
      <c r="A9" s="25"/>
      <c r="B9" s="93" t="s">
        <v>372</v>
      </c>
      <c r="C9" s="47"/>
      <c r="D9" s="48"/>
      <c r="E9" s="48"/>
      <c r="F9" s="49"/>
      <c r="G9" s="48"/>
      <c r="H9" s="64"/>
      <c r="I9" s="104"/>
    </row>
    <row r="10" spans="1:9" ht="12.95" customHeight="1">
      <c r="A10" s="27"/>
      <c r="B10" s="67" t="s">
        <v>196</v>
      </c>
      <c r="C10" s="11" t="s">
        <v>197</v>
      </c>
      <c r="D10" s="11" t="s">
        <v>45</v>
      </c>
      <c r="E10" s="55">
        <v>28000</v>
      </c>
      <c r="F10" s="56">
        <v>294.154</v>
      </c>
      <c r="G10" s="57">
        <v>294.14999999999998</v>
      </c>
      <c r="H10" s="68">
        <v>7.937913183246989E-2</v>
      </c>
      <c r="I10" s="2">
        <v>7.9399999999999998E-2</v>
      </c>
    </row>
    <row r="11" spans="1:9" ht="12.95" customHeight="1">
      <c r="A11" s="27"/>
      <c r="B11" s="67" t="s">
        <v>51</v>
      </c>
      <c r="C11" s="11" t="s">
        <v>52</v>
      </c>
      <c r="D11" s="11" t="s">
        <v>45</v>
      </c>
      <c r="E11" s="55">
        <v>65250</v>
      </c>
      <c r="F11" s="56">
        <v>207.00562500000001</v>
      </c>
      <c r="G11" s="57">
        <v>207.01</v>
      </c>
      <c r="H11" s="68">
        <v>5.5861646610067602E-2</v>
      </c>
      <c r="I11" s="2">
        <v>5.5899999999999998E-2</v>
      </c>
    </row>
    <row r="12" spans="1:9" ht="12.95" customHeight="1">
      <c r="A12" s="27"/>
      <c r="B12" s="67" t="s">
        <v>201</v>
      </c>
      <c r="C12" s="11" t="s">
        <v>202</v>
      </c>
      <c r="D12" s="11" t="s">
        <v>85</v>
      </c>
      <c r="E12" s="55">
        <v>37100</v>
      </c>
      <c r="F12" s="56">
        <v>121.3541</v>
      </c>
      <c r="G12" s="57">
        <v>121.35</v>
      </c>
      <c r="H12" s="68">
        <v>3.2748094883328915E-2</v>
      </c>
      <c r="I12" s="2">
        <v>3.27E-2</v>
      </c>
    </row>
    <row r="13" spans="1:9" ht="12.95" customHeight="1">
      <c r="A13" s="27"/>
      <c r="B13" s="67" t="s">
        <v>93</v>
      </c>
      <c r="C13" s="11" t="s">
        <v>94</v>
      </c>
      <c r="D13" s="11" t="s">
        <v>85</v>
      </c>
      <c r="E13" s="55">
        <v>4696</v>
      </c>
      <c r="F13" s="56">
        <v>119.499112</v>
      </c>
      <c r="G13" s="57">
        <v>119.5</v>
      </c>
      <c r="H13" s="68">
        <v>3.2247515809103684E-2</v>
      </c>
      <c r="I13" s="2">
        <v>3.2199999999999999E-2</v>
      </c>
    </row>
    <row r="14" spans="1:9" ht="12.95" customHeight="1">
      <c r="A14" s="27"/>
      <c r="B14" s="67" t="s">
        <v>203</v>
      </c>
      <c r="C14" s="11" t="s">
        <v>204</v>
      </c>
      <c r="D14" s="11" t="s">
        <v>134</v>
      </c>
      <c r="E14" s="55">
        <v>3050</v>
      </c>
      <c r="F14" s="56">
        <v>115.46384999999999</v>
      </c>
      <c r="G14" s="57">
        <v>115.46</v>
      </c>
      <c r="H14" s="68">
        <v>3.115857738135306E-2</v>
      </c>
      <c r="I14" s="2">
        <v>3.1199999999999999E-2</v>
      </c>
    </row>
    <row r="15" spans="1:9" ht="12.95" customHeight="1">
      <c r="A15" s="27"/>
      <c r="B15" s="67" t="s">
        <v>205</v>
      </c>
      <c r="C15" s="11" t="s">
        <v>206</v>
      </c>
      <c r="D15" s="11" t="s">
        <v>45</v>
      </c>
      <c r="E15" s="55">
        <v>12900</v>
      </c>
      <c r="F15" s="56">
        <v>112.73954999999999</v>
      </c>
      <c r="G15" s="57">
        <v>112.74</v>
      </c>
      <c r="H15" s="68">
        <v>3.0423409514007394E-2</v>
      </c>
      <c r="I15" s="2">
        <v>3.04E-2</v>
      </c>
    </row>
    <row r="16" spans="1:9" ht="12.95" customHeight="1">
      <c r="A16" s="27"/>
      <c r="B16" s="67" t="s">
        <v>75</v>
      </c>
      <c r="C16" s="11" t="s">
        <v>76</v>
      </c>
      <c r="D16" s="11" t="s">
        <v>77</v>
      </c>
      <c r="E16" s="55">
        <v>13444</v>
      </c>
      <c r="F16" s="56">
        <v>109.79714800000001</v>
      </c>
      <c r="G16" s="57">
        <v>109.8</v>
      </c>
      <c r="H16" s="68">
        <v>2.962938558007441E-2</v>
      </c>
      <c r="I16" s="2">
        <v>2.9600000000000001E-2</v>
      </c>
    </row>
    <row r="17" spans="1:9" ht="12.95" customHeight="1">
      <c r="A17" s="27"/>
      <c r="B17" s="67" t="s">
        <v>83</v>
      </c>
      <c r="C17" s="11" t="s">
        <v>84</v>
      </c>
      <c r="D17" s="11" t="s">
        <v>85</v>
      </c>
      <c r="E17" s="55">
        <v>13750</v>
      </c>
      <c r="F17" s="56">
        <v>108.219375</v>
      </c>
      <c r="G17" s="57">
        <v>108.22</v>
      </c>
      <c r="H17" s="68">
        <v>2.920361455207985E-2</v>
      </c>
      <c r="I17" s="2">
        <v>2.92E-2</v>
      </c>
    </row>
    <row r="18" spans="1:9" ht="12.95" customHeight="1">
      <c r="A18" s="27"/>
      <c r="B18" s="67" t="s">
        <v>91</v>
      </c>
      <c r="C18" s="11" t="s">
        <v>92</v>
      </c>
      <c r="D18" s="11" t="s">
        <v>85</v>
      </c>
      <c r="E18" s="55">
        <v>9000</v>
      </c>
      <c r="F18" s="56">
        <v>100.83150000000001</v>
      </c>
      <c r="G18" s="57">
        <v>100.83</v>
      </c>
      <c r="H18" s="68">
        <v>2.7209954416277486E-2</v>
      </c>
      <c r="I18" s="2">
        <v>2.7199999999999998E-2</v>
      </c>
    </row>
    <row r="19" spans="1:9" ht="12.95" customHeight="1">
      <c r="A19" s="27"/>
      <c r="B19" s="67" t="s">
        <v>377</v>
      </c>
      <c r="C19" s="11" t="s">
        <v>210</v>
      </c>
      <c r="D19" s="11" t="s">
        <v>134</v>
      </c>
      <c r="E19" s="55">
        <v>33286</v>
      </c>
      <c r="F19" s="56">
        <v>100.207503</v>
      </c>
      <c r="G19" s="57">
        <v>100.21</v>
      </c>
      <c r="H19" s="68">
        <v>2.7041565272747002E-2</v>
      </c>
      <c r="I19" s="2">
        <v>2.7E-2</v>
      </c>
    </row>
    <row r="20" spans="1:9" ht="12.95" customHeight="1">
      <c r="A20" s="27"/>
      <c r="B20" s="67" t="s">
        <v>56</v>
      </c>
      <c r="C20" s="11" t="s">
        <v>57</v>
      </c>
      <c r="D20" s="11" t="s">
        <v>58</v>
      </c>
      <c r="E20" s="55">
        <v>11185</v>
      </c>
      <c r="F20" s="56">
        <v>99.054360000000003</v>
      </c>
      <c r="G20" s="57">
        <v>99.05</v>
      </c>
      <c r="H20" s="68">
        <v>2.6730383068123947E-2</v>
      </c>
      <c r="I20" s="2">
        <v>2.6700000000000002E-2</v>
      </c>
    </row>
    <row r="21" spans="1:9" ht="12.95" customHeight="1">
      <c r="A21" s="27"/>
      <c r="B21" s="67" t="s">
        <v>211</v>
      </c>
      <c r="C21" s="11" t="s">
        <v>212</v>
      </c>
      <c r="D21" s="11" t="s">
        <v>55</v>
      </c>
      <c r="E21" s="55">
        <v>8000</v>
      </c>
      <c r="F21" s="56">
        <v>98.884</v>
      </c>
      <c r="G21" s="57">
        <v>98.88</v>
      </c>
      <c r="H21" s="68">
        <v>2.6684410452082762E-2</v>
      </c>
      <c r="I21" s="2">
        <v>2.6700000000000002E-2</v>
      </c>
    </row>
    <row r="22" spans="1:9" ht="12.95" customHeight="1">
      <c r="A22" s="27"/>
      <c r="B22" s="67" t="s">
        <v>216</v>
      </c>
      <c r="C22" s="11" t="s">
        <v>217</v>
      </c>
      <c r="D22" s="11" t="s">
        <v>45</v>
      </c>
      <c r="E22" s="55">
        <v>33950</v>
      </c>
      <c r="F22" s="56">
        <v>94.431925000000007</v>
      </c>
      <c r="G22" s="57">
        <v>94.43</v>
      </c>
      <c r="H22" s="68">
        <v>2.5482992662921155E-2</v>
      </c>
      <c r="I22" s="2">
        <v>2.5499999999999998E-2</v>
      </c>
    </row>
    <row r="23" spans="1:9" ht="12.95" customHeight="1">
      <c r="A23" s="27"/>
      <c r="B23" s="67" t="s">
        <v>67</v>
      </c>
      <c r="C23" s="11" t="s">
        <v>68</v>
      </c>
      <c r="D23" s="11" t="s">
        <v>69</v>
      </c>
      <c r="E23" s="55">
        <v>25979</v>
      </c>
      <c r="F23" s="56">
        <v>93.147704500000003</v>
      </c>
      <c r="G23" s="57">
        <v>93.15</v>
      </c>
      <c r="H23" s="68">
        <v>2.5136438448559083E-2</v>
      </c>
      <c r="I23" s="2">
        <v>2.5100000000000001E-2</v>
      </c>
    </row>
    <row r="24" spans="1:9" ht="12.95" customHeight="1">
      <c r="A24" s="27"/>
      <c r="B24" s="67" t="s">
        <v>48</v>
      </c>
      <c r="C24" s="11" t="s">
        <v>49</v>
      </c>
      <c r="D24" s="11" t="s">
        <v>50</v>
      </c>
      <c r="E24" s="55">
        <v>12100</v>
      </c>
      <c r="F24" s="56">
        <v>81.656850000000006</v>
      </c>
      <c r="G24" s="57">
        <v>81.66</v>
      </c>
      <c r="H24" s="68">
        <v>2.2035565932043144E-2</v>
      </c>
      <c r="I24" s="2">
        <v>2.1999999999999999E-2</v>
      </c>
    </row>
    <row r="25" spans="1:9" ht="12.95" customHeight="1">
      <c r="A25" s="27"/>
      <c r="B25" s="67" t="s">
        <v>116</v>
      </c>
      <c r="C25" s="11" t="s">
        <v>117</v>
      </c>
      <c r="D25" s="11" t="s">
        <v>85</v>
      </c>
      <c r="E25" s="55">
        <v>1700</v>
      </c>
      <c r="F25" s="56">
        <v>77.003200000000007</v>
      </c>
      <c r="G25" s="57">
        <v>77</v>
      </c>
      <c r="H25" s="68">
        <v>2.0779751981350059E-2</v>
      </c>
      <c r="I25" s="2">
        <v>2.0799999999999999E-2</v>
      </c>
    </row>
    <row r="26" spans="1:9" ht="12.95" customHeight="1">
      <c r="A26" s="27"/>
      <c r="B26" s="67" t="s">
        <v>225</v>
      </c>
      <c r="C26" s="11" t="s">
        <v>226</v>
      </c>
      <c r="D26" s="11" t="s">
        <v>85</v>
      </c>
      <c r="E26" s="55">
        <v>1200</v>
      </c>
      <c r="F26" s="56">
        <v>76.503600000000006</v>
      </c>
      <c r="G26" s="57">
        <v>76.5</v>
      </c>
      <c r="H26" s="68">
        <v>2.0644932076594381E-2</v>
      </c>
      <c r="I26" s="2">
        <v>2.06E-2</v>
      </c>
    </row>
    <row r="27" spans="1:9" ht="12.95" customHeight="1">
      <c r="A27" s="27"/>
      <c r="B27" s="67" t="s">
        <v>97</v>
      </c>
      <c r="C27" s="11" t="s">
        <v>98</v>
      </c>
      <c r="D27" s="11" t="s">
        <v>55</v>
      </c>
      <c r="E27" s="55">
        <v>16000</v>
      </c>
      <c r="F27" s="56">
        <v>70.664000000000001</v>
      </c>
      <c r="G27" s="57">
        <v>70.66</v>
      </c>
      <c r="H27" s="68">
        <v>1.9069082765523E-2</v>
      </c>
      <c r="I27" s="2">
        <v>1.9099999999999999E-2</v>
      </c>
    </row>
    <row r="28" spans="1:9" ht="12.95" customHeight="1">
      <c r="A28" s="27"/>
      <c r="B28" s="67" t="s">
        <v>227</v>
      </c>
      <c r="C28" s="11" t="s">
        <v>228</v>
      </c>
      <c r="D28" s="11" t="s">
        <v>134</v>
      </c>
      <c r="E28" s="55">
        <v>2582</v>
      </c>
      <c r="F28" s="56">
        <v>69.632666999999998</v>
      </c>
      <c r="G28" s="57">
        <v>69.63</v>
      </c>
      <c r="H28" s="68">
        <v>1.8790771682994201E-2</v>
      </c>
      <c r="I28" s="2">
        <v>1.8800000000000001E-2</v>
      </c>
    </row>
    <row r="29" spans="1:9" ht="12.95" customHeight="1">
      <c r="A29" s="27"/>
      <c r="B29" s="67" t="s">
        <v>232</v>
      </c>
      <c r="C29" s="11" t="s">
        <v>233</v>
      </c>
      <c r="D29" s="11" t="s">
        <v>85</v>
      </c>
      <c r="E29" s="55">
        <v>1000</v>
      </c>
      <c r="F29" s="56">
        <v>61.658499999999997</v>
      </c>
      <c r="G29" s="57">
        <v>61.66</v>
      </c>
      <c r="H29" s="68">
        <v>1.6638897312606135E-2</v>
      </c>
      <c r="I29" s="2">
        <v>1.66E-2</v>
      </c>
    </row>
    <row r="30" spans="1:9" ht="12.95" customHeight="1">
      <c r="A30" s="27"/>
      <c r="B30" s="67" t="s">
        <v>234</v>
      </c>
      <c r="C30" s="11" t="s">
        <v>235</v>
      </c>
      <c r="D30" s="11" t="s">
        <v>85</v>
      </c>
      <c r="E30" s="55">
        <v>3025</v>
      </c>
      <c r="F30" s="56">
        <v>60.61495</v>
      </c>
      <c r="G30" s="57">
        <v>60.61</v>
      </c>
      <c r="H30" s="68">
        <v>1.635728940306292E-2</v>
      </c>
      <c r="I30" s="2">
        <v>1.6400000000000001E-2</v>
      </c>
    </row>
    <row r="31" spans="1:9" ht="12.95" customHeight="1">
      <c r="A31" s="27"/>
      <c r="B31" s="67" t="s">
        <v>88</v>
      </c>
      <c r="C31" s="11" t="s">
        <v>89</v>
      </c>
      <c r="D31" s="11" t="s">
        <v>90</v>
      </c>
      <c r="E31" s="55">
        <v>9250</v>
      </c>
      <c r="F31" s="56">
        <v>59.093625000000003</v>
      </c>
      <c r="G31" s="57">
        <v>59.09</v>
      </c>
      <c r="H31" s="68">
        <v>1.5946751189287036E-2</v>
      </c>
      <c r="I31" s="2">
        <v>1.5900000000000001E-2</v>
      </c>
    </row>
    <row r="32" spans="1:9" ht="12.95" customHeight="1">
      <c r="A32" s="27"/>
      <c r="B32" s="67" t="s">
        <v>78</v>
      </c>
      <c r="C32" s="11" t="s">
        <v>79</v>
      </c>
      <c r="D32" s="11" t="s">
        <v>72</v>
      </c>
      <c r="E32" s="55">
        <v>8350</v>
      </c>
      <c r="F32" s="56">
        <v>54.667450000000002</v>
      </c>
      <c r="G32" s="57">
        <v>54.67</v>
      </c>
      <c r="H32" s="68">
        <v>1.4752322662601753E-2</v>
      </c>
      <c r="I32" s="2">
        <v>1.4800000000000001E-2</v>
      </c>
    </row>
    <row r="33" spans="1:9" ht="12.95" customHeight="1">
      <c r="A33" s="27"/>
      <c r="B33" s="67" t="s">
        <v>111</v>
      </c>
      <c r="C33" s="11" t="s">
        <v>112</v>
      </c>
      <c r="D33" s="11" t="s">
        <v>113</v>
      </c>
      <c r="E33" s="55">
        <v>14809</v>
      </c>
      <c r="F33" s="56">
        <v>52.3424105</v>
      </c>
      <c r="G33" s="57">
        <v>52.34</v>
      </c>
      <c r="H33" s="68">
        <v>1.4124897514596967E-2</v>
      </c>
      <c r="I33" s="2">
        <v>1.41E-2</v>
      </c>
    </row>
    <row r="34" spans="1:9" ht="12.95" customHeight="1">
      <c r="A34" s="27"/>
      <c r="B34" s="67" t="s">
        <v>139</v>
      </c>
      <c r="C34" s="11" t="s">
        <v>140</v>
      </c>
      <c r="D34" s="11" t="s">
        <v>90</v>
      </c>
      <c r="E34" s="55">
        <v>41624</v>
      </c>
      <c r="F34" s="56">
        <v>47.555419999999998</v>
      </c>
      <c r="G34" s="57">
        <v>47.56</v>
      </c>
      <c r="H34" s="68">
        <v>1.2833100870729194E-2</v>
      </c>
      <c r="I34" s="2">
        <v>1.2800000000000001E-2</v>
      </c>
    </row>
    <row r="35" spans="1:9" ht="12.95" customHeight="1">
      <c r="A35" s="27"/>
      <c r="B35" s="67" t="s">
        <v>187</v>
      </c>
      <c r="C35" s="11" t="s">
        <v>188</v>
      </c>
      <c r="D35" s="11" t="s">
        <v>113</v>
      </c>
      <c r="E35" s="55">
        <v>11850</v>
      </c>
      <c r="F35" s="56">
        <v>44.82855</v>
      </c>
      <c r="G35" s="57">
        <v>44.83</v>
      </c>
      <c r="H35" s="68">
        <v>1.2097239474249774E-2</v>
      </c>
      <c r="I35" s="2">
        <v>1.21E-2</v>
      </c>
    </row>
    <row r="36" spans="1:9" ht="12.95" customHeight="1">
      <c r="A36" s="27"/>
      <c r="B36" s="67" t="s">
        <v>243</v>
      </c>
      <c r="C36" s="11" t="s">
        <v>244</v>
      </c>
      <c r="D36" s="11" t="s">
        <v>245</v>
      </c>
      <c r="E36" s="55">
        <v>10078</v>
      </c>
      <c r="F36" s="56">
        <v>42.891967999999999</v>
      </c>
      <c r="G36" s="57">
        <v>42.89</v>
      </c>
      <c r="H36" s="68">
        <v>1.1574641794522868E-2</v>
      </c>
      <c r="I36" s="2">
        <v>1.1599999999999999E-2</v>
      </c>
    </row>
    <row r="37" spans="1:9" ht="12.95" customHeight="1">
      <c r="A37" s="27"/>
      <c r="B37" s="67" t="s">
        <v>128</v>
      </c>
      <c r="C37" s="11" t="s">
        <v>129</v>
      </c>
      <c r="D37" s="11" t="s">
        <v>50</v>
      </c>
      <c r="E37" s="55">
        <v>8483</v>
      </c>
      <c r="F37" s="56">
        <v>39.407776499999997</v>
      </c>
      <c r="G37" s="57">
        <v>39.409999999999997</v>
      </c>
      <c r="H37" s="68">
        <v>1.0634412879029382E-2</v>
      </c>
      <c r="I37" s="2">
        <v>1.06E-2</v>
      </c>
    </row>
    <row r="38" spans="1:9" ht="12.95" customHeight="1">
      <c r="A38" s="27"/>
      <c r="B38" s="67" t="s">
        <v>108</v>
      </c>
      <c r="C38" s="11" t="s">
        <v>109</v>
      </c>
      <c r="D38" s="11" t="s">
        <v>110</v>
      </c>
      <c r="E38" s="55">
        <v>20000</v>
      </c>
      <c r="F38" s="56">
        <v>33.630000000000003</v>
      </c>
      <c r="G38" s="57">
        <v>33.630000000000003</v>
      </c>
      <c r="H38" s="68">
        <v>9.0752469914601279E-3</v>
      </c>
      <c r="I38" s="2">
        <v>9.1000000000000004E-3</v>
      </c>
    </row>
    <row r="39" spans="1:9" ht="12.95" customHeight="1">
      <c r="A39" s="27"/>
      <c r="B39" s="67" t="s">
        <v>145</v>
      </c>
      <c r="C39" s="11" t="s">
        <v>146</v>
      </c>
      <c r="D39" s="11" t="s">
        <v>82</v>
      </c>
      <c r="E39" s="55">
        <v>5800</v>
      </c>
      <c r="F39" s="56">
        <v>32.018900000000002</v>
      </c>
      <c r="G39" s="57">
        <v>32.020000000000003</v>
      </c>
      <c r="H39" s="68">
        <v>8.6404824827494113E-3</v>
      </c>
      <c r="I39" s="2">
        <v>8.6E-3</v>
      </c>
    </row>
    <row r="40" spans="1:9" ht="12.95" customHeight="1">
      <c r="A40" s="27"/>
      <c r="B40" s="67" t="s">
        <v>176</v>
      </c>
      <c r="C40" s="11" t="s">
        <v>177</v>
      </c>
      <c r="D40" s="11" t="s">
        <v>166</v>
      </c>
      <c r="E40" s="55">
        <v>4000</v>
      </c>
      <c r="F40" s="56">
        <v>15.167999999999999</v>
      </c>
      <c r="G40" s="57">
        <v>15.17</v>
      </c>
      <c r="H40" s="68">
        <v>4.0931711676023552E-3</v>
      </c>
      <c r="I40" s="2">
        <v>4.1000000000000003E-3</v>
      </c>
    </row>
    <row r="41" spans="1:9" ht="12.95" customHeight="1">
      <c r="A41" s="27"/>
      <c r="B41" s="67"/>
      <c r="C41" s="11"/>
      <c r="D41" s="11"/>
      <c r="E41" s="55"/>
      <c r="F41" s="20">
        <f>SUM(F10:F40)</f>
        <v>2694.1276195000009</v>
      </c>
      <c r="G41" s="21"/>
      <c r="H41" s="108">
        <f>SUM(H10:H40)</f>
        <v>0.72702567866419865</v>
      </c>
      <c r="I41" s="2"/>
    </row>
    <row r="42" spans="1:9" ht="12.95" customHeight="1">
      <c r="A42" s="27"/>
      <c r="B42" s="67"/>
      <c r="C42" s="11"/>
      <c r="D42" s="11"/>
      <c r="E42" s="55"/>
      <c r="F42" s="56"/>
      <c r="G42" s="57"/>
      <c r="H42" s="68"/>
      <c r="I42" s="2"/>
    </row>
    <row r="43" spans="1:9" ht="12.95" customHeight="1">
      <c r="A43" s="27"/>
      <c r="B43" s="109" t="s">
        <v>371</v>
      </c>
      <c r="C43" s="11"/>
      <c r="D43" s="11"/>
      <c r="E43" s="55"/>
      <c r="F43" s="56"/>
      <c r="G43" s="57"/>
      <c r="H43" s="68"/>
      <c r="I43" s="2"/>
    </row>
    <row r="44" spans="1:9" ht="12.95" customHeight="1">
      <c r="A44" s="27"/>
      <c r="B44" s="109" t="s">
        <v>370</v>
      </c>
      <c r="C44" s="11"/>
      <c r="D44" s="11"/>
      <c r="E44" s="55"/>
      <c r="F44" s="56"/>
      <c r="G44" s="57"/>
      <c r="H44" s="68"/>
      <c r="I44" s="2"/>
    </row>
    <row r="45" spans="1:9" ht="12.95" customHeight="1">
      <c r="A45" s="27"/>
      <c r="B45" s="67" t="s">
        <v>218</v>
      </c>
      <c r="C45" s="11" t="s">
        <v>219</v>
      </c>
      <c r="D45" s="11" t="s">
        <v>200</v>
      </c>
      <c r="E45" s="55">
        <v>1600</v>
      </c>
      <c r="F45" s="56">
        <v>92.7857348</v>
      </c>
      <c r="G45" s="57">
        <v>92.79</v>
      </c>
      <c r="H45" s="68">
        <v>2.5038758863934502E-2</v>
      </c>
      <c r="I45" s="2"/>
    </row>
    <row r="46" spans="1:9" ht="12.95" customHeight="1">
      <c r="A46" s="27"/>
      <c r="B46" s="67" t="s">
        <v>222</v>
      </c>
      <c r="C46" s="11" t="s">
        <v>223</v>
      </c>
      <c r="D46" s="11" t="s">
        <v>224</v>
      </c>
      <c r="E46" s="55">
        <v>5000</v>
      </c>
      <c r="F46" s="56">
        <v>80.913343499999996</v>
      </c>
      <c r="G46" s="57">
        <v>80.91</v>
      </c>
      <c r="H46" s="68">
        <v>2.1834926469442607E-2</v>
      </c>
      <c r="I46" s="2"/>
    </row>
    <row r="47" spans="1:9" ht="12.95" customHeight="1">
      <c r="A47" s="27"/>
      <c r="B47" s="67" t="s">
        <v>241</v>
      </c>
      <c r="C47" s="11" t="s">
        <v>242</v>
      </c>
      <c r="D47" s="11" t="s">
        <v>200</v>
      </c>
      <c r="E47" s="55">
        <v>350</v>
      </c>
      <c r="F47" s="56">
        <v>44.693304599999998</v>
      </c>
      <c r="G47" s="57">
        <v>44.69</v>
      </c>
      <c r="H47" s="68">
        <v>1.2060742732963458E-2</v>
      </c>
      <c r="I47" s="2"/>
    </row>
    <row r="48" spans="1:9" ht="12.95" customHeight="1">
      <c r="A48" s="27"/>
      <c r="B48" s="67" t="s">
        <v>248</v>
      </c>
      <c r="C48" s="11" t="s">
        <v>249</v>
      </c>
      <c r="D48" s="11" t="s">
        <v>224</v>
      </c>
      <c r="E48" s="55">
        <v>1700</v>
      </c>
      <c r="F48" s="56">
        <v>36.875825900000002</v>
      </c>
      <c r="G48" s="57">
        <v>36.880000000000003</v>
      </c>
      <c r="H48" s="68">
        <v>9.9511515925240091E-3</v>
      </c>
      <c r="I48" s="2"/>
    </row>
    <row r="49" spans="1:9" ht="12.95" customHeight="1">
      <c r="A49" s="27"/>
      <c r="B49" s="67"/>
      <c r="C49" s="11"/>
      <c r="D49" s="11"/>
      <c r="E49" s="55"/>
      <c r="F49" s="20">
        <f>SUM(F45:F48)</f>
        <v>255.2682088</v>
      </c>
      <c r="G49" s="21"/>
      <c r="H49" s="108">
        <f>SUM(H45:H48)</f>
        <v>6.8885579658864576E-2</v>
      </c>
      <c r="I49" s="2"/>
    </row>
    <row r="50" spans="1:9" ht="12.95" customHeight="1">
      <c r="A50" s="27"/>
      <c r="B50" s="109" t="s">
        <v>373</v>
      </c>
      <c r="C50" s="11"/>
      <c r="D50" s="11"/>
      <c r="E50" s="55"/>
      <c r="F50" s="56"/>
      <c r="G50" s="57"/>
      <c r="H50" s="68"/>
      <c r="I50" s="2"/>
    </row>
    <row r="51" spans="1:9" ht="12.95" customHeight="1">
      <c r="A51" s="27"/>
      <c r="B51" s="67" t="s">
        <v>198</v>
      </c>
      <c r="C51" s="11" t="s">
        <v>199</v>
      </c>
      <c r="D51" s="11" t="s">
        <v>200</v>
      </c>
      <c r="E51" s="55">
        <v>10800</v>
      </c>
      <c r="F51" s="56">
        <v>138.4142483</v>
      </c>
      <c r="G51" s="57">
        <v>138.41</v>
      </c>
      <c r="H51" s="68">
        <v>3.7351873043704728E-2</v>
      </c>
      <c r="I51" s="2">
        <v>3.7400000000000003E-2</v>
      </c>
    </row>
    <row r="52" spans="1:9" ht="12.95" customHeight="1">
      <c r="A52" s="27"/>
      <c r="B52" s="67" t="s">
        <v>207</v>
      </c>
      <c r="C52" s="11" t="s">
        <v>208</v>
      </c>
      <c r="D52" s="11" t="s">
        <v>209</v>
      </c>
      <c r="E52" s="55">
        <v>11000</v>
      </c>
      <c r="F52" s="56">
        <v>103.3110463</v>
      </c>
      <c r="G52" s="57">
        <v>103.31</v>
      </c>
      <c r="H52" s="68">
        <v>2.7879074104034285E-2</v>
      </c>
      <c r="I52" s="2">
        <v>2.7900000000000001E-2</v>
      </c>
    </row>
    <row r="53" spans="1:9" ht="12.95" customHeight="1">
      <c r="A53" s="27"/>
      <c r="B53" s="67" t="s">
        <v>213</v>
      </c>
      <c r="C53" s="11" t="s">
        <v>214</v>
      </c>
      <c r="D53" s="11" t="s">
        <v>215</v>
      </c>
      <c r="E53" s="55">
        <v>40800</v>
      </c>
      <c r="F53" s="56">
        <v>94.7060453</v>
      </c>
      <c r="G53" s="57">
        <v>94.71</v>
      </c>
      <c r="H53" s="68">
        <v>2.5556965586735401E-2</v>
      </c>
      <c r="I53" s="2">
        <v>2.5600000000000001E-2</v>
      </c>
    </row>
    <row r="54" spans="1:9" ht="12.95" customHeight="1">
      <c r="A54" s="27"/>
      <c r="B54" s="67" t="s">
        <v>220</v>
      </c>
      <c r="C54" s="11" t="s">
        <v>221</v>
      </c>
      <c r="D54" s="11" t="s">
        <v>209</v>
      </c>
      <c r="E54" s="55">
        <v>21200</v>
      </c>
      <c r="F54" s="56">
        <v>89.084067399999995</v>
      </c>
      <c r="G54" s="57">
        <v>89.08</v>
      </c>
      <c r="H54" s="68">
        <v>2.4039842838503755E-2</v>
      </c>
      <c r="I54" s="2">
        <v>2.4E-2</v>
      </c>
    </row>
    <row r="55" spans="1:9" ht="12.95" customHeight="1">
      <c r="A55" s="27"/>
      <c r="B55" s="67" t="s">
        <v>229</v>
      </c>
      <c r="C55" s="11" t="s">
        <v>230</v>
      </c>
      <c r="D55" s="11" t="s">
        <v>231</v>
      </c>
      <c r="E55" s="55">
        <v>62000</v>
      </c>
      <c r="F55" s="56">
        <v>62.771893800000001</v>
      </c>
      <c r="G55" s="57">
        <v>62.77</v>
      </c>
      <c r="H55" s="68">
        <v>1.6939352969274596E-2</v>
      </c>
      <c r="I55" s="2">
        <v>1.6899999999999998E-2</v>
      </c>
    </row>
    <row r="56" spans="1:9" ht="12.95" customHeight="1">
      <c r="A56" s="27"/>
      <c r="B56" s="67" t="s">
        <v>236</v>
      </c>
      <c r="C56" s="11" t="s">
        <v>237</v>
      </c>
      <c r="D56" s="11" t="s">
        <v>238</v>
      </c>
      <c r="E56" s="55">
        <v>48000</v>
      </c>
      <c r="F56" s="56">
        <v>47.807390400000003</v>
      </c>
      <c r="G56" s="57">
        <v>47.81</v>
      </c>
      <c r="H56" s="68">
        <v>1.2901096517905435E-2</v>
      </c>
      <c r="I56" s="2">
        <v>1.29E-2</v>
      </c>
    </row>
    <row r="57" spans="1:9" ht="12.95" customHeight="1">
      <c r="A57" s="27"/>
      <c r="B57" s="67" t="s">
        <v>239</v>
      </c>
      <c r="C57" s="11" t="s">
        <v>240</v>
      </c>
      <c r="D57" s="11" t="s">
        <v>72</v>
      </c>
      <c r="E57" s="55">
        <v>127000</v>
      </c>
      <c r="F57" s="56">
        <v>46.101041899999998</v>
      </c>
      <c r="G57" s="57">
        <v>46.1</v>
      </c>
      <c r="H57" s="68">
        <v>1.2440628659118415E-2</v>
      </c>
      <c r="I57" s="2">
        <v>1.24E-2</v>
      </c>
    </row>
    <row r="58" spans="1:9" ht="12.95" customHeight="1">
      <c r="A58" s="27"/>
      <c r="B58" s="67" t="s">
        <v>246</v>
      </c>
      <c r="C58" s="11" t="s">
        <v>247</v>
      </c>
      <c r="D58" s="11" t="s">
        <v>72</v>
      </c>
      <c r="E58" s="55">
        <v>58000</v>
      </c>
      <c r="F58" s="56">
        <v>38.097748899999999</v>
      </c>
      <c r="G58" s="57">
        <v>38.1</v>
      </c>
      <c r="H58" s="68">
        <v>1.0280894471784966E-2</v>
      </c>
      <c r="I58" s="2">
        <v>1.03E-2</v>
      </c>
    </row>
    <row r="59" spans="1:9" ht="12.95" customHeight="1">
      <c r="A59" s="27"/>
      <c r="B59" s="67" t="s">
        <v>250</v>
      </c>
      <c r="C59" s="11" t="s">
        <v>251</v>
      </c>
      <c r="D59" s="11" t="s">
        <v>209</v>
      </c>
      <c r="E59" s="55">
        <v>12000</v>
      </c>
      <c r="F59" s="56">
        <v>36.793911000000001</v>
      </c>
      <c r="G59" s="57">
        <v>36.79</v>
      </c>
      <c r="H59" s="68">
        <v>9.9290463903301124E-3</v>
      </c>
      <c r="I59" s="2">
        <v>9.9000000000000008E-3</v>
      </c>
    </row>
    <row r="60" spans="1:9" ht="12.95" customHeight="1">
      <c r="A60" s="27"/>
      <c r="B60" s="67"/>
      <c r="C60" s="11"/>
      <c r="D60" s="11"/>
      <c r="E60" s="55"/>
      <c r="F60" s="12">
        <f>SUM(F51:F59)</f>
        <v>657.08739330000003</v>
      </c>
      <c r="G60" s="58"/>
      <c r="H60" s="69">
        <f>SUM(H51:H59)</f>
        <v>0.17731877458139167</v>
      </c>
      <c r="I60" s="2"/>
    </row>
    <row r="61" spans="1:9" ht="12.95" customHeight="1">
      <c r="A61" s="27"/>
      <c r="B61" s="67"/>
      <c r="C61" s="11"/>
      <c r="D61" s="11"/>
      <c r="E61" s="55"/>
      <c r="F61" s="56"/>
      <c r="G61" s="57"/>
      <c r="H61" s="68"/>
      <c r="I61" s="2"/>
    </row>
    <row r="62" spans="1:9" ht="12.95" customHeight="1">
      <c r="A62" s="25"/>
      <c r="B62" s="65" t="s">
        <v>30</v>
      </c>
      <c r="C62" s="11" t="s">
        <v>1</v>
      </c>
      <c r="D62" s="11" t="s">
        <v>1</v>
      </c>
      <c r="E62" s="11" t="s">
        <v>1</v>
      </c>
      <c r="F62" s="12">
        <v>3606.4832216</v>
      </c>
      <c r="G62" s="58">
        <v>3606.46</v>
      </c>
      <c r="H62" s="69">
        <v>0.9732300329044552</v>
      </c>
      <c r="I62" s="43">
        <v>0.97299999999999998</v>
      </c>
    </row>
    <row r="63" spans="1:9" ht="12.95" customHeight="1">
      <c r="A63" s="25"/>
      <c r="B63" s="65" t="s">
        <v>192</v>
      </c>
      <c r="C63" s="11" t="s">
        <v>1</v>
      </c>
      <c r="D63" s="11" t="s">
        <v>1</v>
      </c>
      <c r="E63" s="11" t="s">
        <v>1</v>
      </c>
      <c r="F63" s="12" t="s">
        <v>193</v>
      </c>
      <c r="G63" s="86" t="s">
        <v>193</v>
      </c>
      <c r="H63" s="69" t="s">
        <v>193</v>
      </c>
      <c r="I63" s="90" t="s">
        <v>193</v>
      </c>
    </row>
    <row r="64" spans="1:9" ht="12.95" customHeight="1">
      <c r="A64" s="25"/>
      <c r="B64" s="65" t="s">
        <v>30</v>
      </c>
      <c r="C64" s="11" t="s">
        <v>1</v>
      </c>
      <c r="D64" s="11" t="s">
        <v>1</v>
      </c>
      <c r="E64" s="11" t="s">
        <v>1</v>
      </c>
      <c r="F64" s="12" t="s">
        <v>193</v>
      </c>
      <c r="G64" s="86" t="s">
        <v>193</v>
      </c>
      <c r="H64" s="69" t="s">
        <v>193</v>
      </c>
      <c r="I64" s="90" t="s">
        <v>193</v>
      </c>
    </row>
    <row r="65" spans="1:9" ht="12.95" customHeight="1">
      <c r="A65" s="25"/>
      <c r="B65" s="65" t="s">
        <v>31</v>
      </c>
      <c r="C65" s="11" t="s">
        <v>1</v>
      </c>
      <c r="D65" s="11" t="s">
        <v>1</v>
      </c>
      <c r="E65" s="11" t="s">
        <v>1</v>
      </c>
      <c r="F65" s="12">
        <v>3606.4832216</v>
      </c>
      <c r="G65" s="58">
        <v>3606.46</v>
      </c>
      <c r="H65" s="69">
        <v>0.9732300329044552</v>
      </c>
      <c r="I65" s="43">
        <v>0.97299999999999998</v>
      </c>
    </row>
    <row r="66" spans="1:9" ht="12.95" customHeight="1">
      <c r="A66" s="25"/>
      <c r="B66" s="65"/>
      <c r="C66" s="11"/>
      <c r="D66" s="11"/>
      <c r="E66" s="11"/>
      <c r="F66" s="12"/>
      <c r="G66" s="58"/>
      <c r="H66" s="69"/>
      <c r="I66" s="45"/>
    </row>
    <row r="67" spans="1:9" ht="12.95" customHeight="1">
      <c r="A67" s="25"/>
      <c r="B67" s="9" t="s">
        <v>365</v>
      </c>
      <c r="C67" s="11"/>
      <c r="D67" s="11"/>
      <c r="E67" s="11"/>
      <c r="F67" s="105"/>
      <c r="G67" s="58"/>
      <c r="H67" s="69"/>
      <c r="I67" s="22"/>
    </row>
    <row r="68" spans="1:9" ht="12.95" customHeight="1">
      <c r="A68" s="27"/>
      <c r="B68" s="13" t="s">
        <v>369</v>
      </c>
      <c r="C68" s="11"/>
      <c r="D68" s="11"/>
      <c r="E68" s="86" t="s">
        <v>193</v>
      </c>
      <c r="F68" s="86" t="s">
        <v>193</v>
      </c>
      <c r="G68" s="86" t="s">
        <v>193</v>
      </c>
      <c r="H68" s="108" t="s">
        <v>193</v>
      </c>
      <c r="I68" s="23" t="s">
        <v>193</v>
      </c>
    </row>
    <row r="69" spans="1:9" ht="12.95" customHeight="1">
      <c r="A69" s="25"/>
      <c r="B69" s="16" t="s">
        <v>367</v>
      </c>
      <c r="C69" s="11"/>
      <c r="D69" s="11"/>
      <c r="E69" s="86" t="s">
        <v>193</v>
      </c>
      <c r="F69" s="86" t="s">
        <v>193</v>
      </c>
      <c r="G69" s="86" t="s">
        <v>193</v>
      </c>
      <c r="H69" s="108" t="s">
        <v>193</v>
      </c>
      <c r="I69" s="23" t="s">
        <v>193</v>
      </c>
    </row>
    <row r="70" spans="1:9" ht="12.95" customHeight="1">
      <c r="A70" s="25"/>
      <c r="B70" s="16" t="s">
        <v>368</v>
      </c>
      <c r="C70" s="11"/>
      <c r="D70" s="11"/>
      <c r="E70" s="86" t="s">
        <v>193</v>
      </c>
      <c r="F70" s="86" t="s">
        <v>193</v>
      </c>
      <c r="G70" s="86" t="s">
        <v>193</v>
      </c>
      <c r="H70" s="108" t="s">
        <v>193</v>
      </c>
      <c r="I70" s="23" t="s">
        <v>193</v>
      </c>
    </row>
    <row r="71" spans="1:9" ht="12.95" customHeight="1">
      <c r="A71" s="25"/>
      <c r="B71" s="16"/>
      <c r="C71" s="11"/>
      <c r="D71" s="11"/>
      <c r="E71" s="11"/>
      <c r="F71" s="12"/>
      <c r="G71" s="58"/>
      <c r="H71" s="69"/>
      <c r="I71" s="103"/>
    </row>
    <row r="72" spans="1:9" ht="12.95" customHeight="1">
      <c r="A72" s="25"/>
      <c r="B72" s="88" t="s">
        <v>11</v>
      </c>
      <c r="C72" s="11"/>
      <c r="D72" s="11"/>
      <c r="E72" s="86" t="s">
        <v>193</v>
      </c>
      <c r="F72" s="86" t="s">
        <v>193</v>
      </c>
      <c r="G72" s="86" t="s">
        <v>193</v>
      </c>
      <c r="H72" s="86" t="s">
        <v>193</v>
      </c>
      <c r="I72" s="103"/>
    </row>
    <row r="73" spans="1:9" ht="12.95" customHeight="1">
      <c r="A73" s="25"/>
      <c r="B73" s="88"/>
      <c r="C73" s="11"/>
      <c r="D73" s="11"/>
      <c r="E73" s="11"/>
      <c r="F73" s="106"/>
      <c r="G73" s="107"/>
      <c r="H73" s="87"/>
      <c r="I73" s="103"/>
    </row>
    <row r="74" spans="1:9" ht="12.95" customHeight="1">
      <c r="A74" s="25"/>
      <c r="B74" s="65" t="s">
        <v>32</v>
      </c>
      <c r="C74" s="11" t="s">
        <v>1</v>
      </c>
      <c r="D74" s="11" t="s">
        <v>1</v>
      </c>
      <c r="E74" s="11" t="s">
        <v>1</v>
      </c>
      <c r="F74" s="53" t="s">
        <v>1</v>
      </c>
      <c r="G74" s="54"/>
      <c r="H74" s="66" t="s">
        <v>1</v>
      </c>
      <c r="I74" s="42" t="s">
        <v>1</v>
      </c>
    </row>
    <row r="75" spans="1:9" ht="12.95" customHeight="1">
      <c r="A75" s="27"/>
      <c r="B75" s="67" t="s">
        <v>33</v>
      </c>
      <c r="C75" s="11" t="s">
        <v>1</v>
      </c>
      <c r="D75" s="11" t="s">
        <v>34</v>
      </c>
      <c r="E75" s="55"/>
      <c r="F75" s="56">
        <v>111.1758</v>
      </c>
      <c r="G75" s="57">
        <v>111.18</v>
      </c>
      <c r="H75" s="68">
        <v>3.0001422672410731E-2</v>
      </c>
      <c r="I75" s="2">
        <v>0.03</v>
      </c>
    </row>
    <row r="76" spans="1:9" ht="12.95" customHeight="1">
      <c r="A76" s="25"/>
      <c r="B76" s="65" t="s">
        <v>30</v>
      </c>
      <c r="C76" s="11" t="s">
        <v>1</v>
      </c>
      <c r="D76" s="11" t="s">
        <v>1</v>
      </c>
      <c r="E76" s="11" t="s">
        <v>1</v>
      </c>
      <c r="F76" s="12">
        <v>111.1758</v>
      </c>
      <c r="G76" s="58">
        <v>111.18</v>
      </c>
      <c r="H76" s="69">
        <v>3.0001422672410731E-2</v>
      </c>
      <c r="I76" s="43">
        <v>0.03</v>
      </c>
    </row>
    <row r="77" spans="1:9" ht="12.95" customHeight="1">
      <c r="A77" s="25"/>
      <c r="B77" s="65"/>
      <c r="C77" s="11"/>
      <c r="D77" s="11"/>
      <c r="E77" s="11"/>
      <c r="F77" s="12"/>
      <c r="G77" s="58"/>
      <c r="H77" s="69"/>
      <c r="I77" s="43"/>
    </row>
    <row r="78" spans="1:9" ht="12.95" customHeight="1">
      <c r="A78" s="25"/>
      <c r="B78" s="65" t="s">
        <v>35</v>
      </c>
      <c r="C78" s="11" t="s">
        <v>1</v>
      </c>
      <c r="D78" s="11" t="s">
        <v>1</v>
      </c>
      <c r="E78" s="11" t="s">
        <v>1</v>
      </c>
      <c r="F78" s="12">
        <v>-11.9747540923</v>
      </c>
      <c r="G78" s="58">
        <v>-11.96</v>
      </c>
      <c r="H78" s="69">
        <v>-3.2314555768659407E-3</v>
      </c>
      <c r="I78" s="43">
        <v>-3.0000000000000001E-3</v>
      </c>
    </row>
    <row r="79" spans="1:9" ht="12.95" customHeight="1">
      <c r="A79" s="25"/>
      <c r="B79" s="65" t="s">
        <v>30</v>
      </c>
      <c r="C79" s="11"/>
      <c r="D79" s="11"/>
      <c r="E79" s="11"/>
      <c r="F79" s="12">
        <v>-11.9747540923</v>
      </c>
      <c r="G79" s="58">
        <v>-11.96</v>
      </c>
      <c r="H79" s="69">
        <v>-3.2314555768659407E-3</v>
      </c>
      <c r="I79" s="45"/>
    </row>
    <row r="80" spans="1:9" ht="12.95" customHeight="1">
      <c r="A80" s="25"/>
      <c r="B80" s="65" t="s">
        <v>31</v>
      </c>
      <c r="C80" s="11"/>
      <c r="D80" s="11"/>
      <c r="E80" s="11"/>
      <c r="F80" s="12">
        <f>F76+F79</f>
        <v>99.201045907699992</v>
      </c>
      <c r="G80" s="12">
        <f t="shared" ref="G80:H80" si="0">G76+G79</f>
        <v>99.22</v>
      </c>
      <c r="H80" s="69">
        <f t="shared" si="0"/>
        <v>2.676996709554479E-2</v>
      </c>
      <c r="I80" s="45"/>
    </row>
    <row r="81" spans="1:9" ht="12.95" customHeight="1" thickBot="1">
      <c r="A81" s="25"/>
      <c r="B81" s="70" t="s">
        <v>36</v>
      </c>
      <c r="C81" s="71" t="s">
        <v>1</v>
      </c>
      <c r="D81" s="71" t="s">
        <v>1</v>
      </c>
      <c r="E81" s="71" t="s">
        <v>1</v>
      </c>
      <c r="F81" s="72">
        <v>3705.6842675077</v>
      </c>
      <c r="G81" s="73">
        <v>3705.68</v>
      </c>
      <c r="H81" s="74">
        <v>1</v>
      </c>
      <c r="I81" s="46">
        <v>1</v>
      </c>
    </row>
    <row r="82" spans="1:9" s="28" customFormat="1" ht="12.95" customHeight="1">
      <c r="A82" s="25"/>
      <c r="B82" s="32"/>
      <c r="C82" s="26"/>
      <c r="D82" s="26"/>
      <c r="E82" s="26"/>
      <c r="F82" s="154"/>
      <c r="G82" s="155"/>
      <c r="H82" s="156"/>
      <c r="I82" s="157"/>
    </row>
    <row r="83" spans="1:9" s="28" customFormat="1" ht="12.95" customHeight="1">
      <c r="A83" s="25"/>
      <c r="B83" s="32" t="s">
        <v>37</v>
      </c>
      <c r="C83" s="26"/>
      <c r="D83" s="26"/>
      <c r="E83" s="26"/>
      <c r="F83" s="154"/>
      <c r="G83" s="155"/>
      <c r="H83" s="156"/>
      <c r="I83" s="157"/>
    </row>
    <row r="84" spans="1:9" s="28" customFormat="1" ht="12.95" customHeight="1">
      <c r="A84" s="25"/>
      <c r="B84" s="32" t="s">
        <v>38</v>
      </c>
      <c r="C84" s="25"/>
      <c r="D84" s="25"/>
      <c r="E84" s="25"/>
      <c r="F84" s="30"/>
      <c r="G84" s="25"/>
      <c r="H84" s="31"/>
      <c r="I84" s="25"/>
    </row>
    <row r="85" spans="1:9" s="28" customFormat="1" ht="12.95" customHeight="1">
      <c r="A85" s="25"/>
      <c r="B85" s="32" t="s">
        <v>374</v>
      </c>
      <c r="C85" s="25"/>
      <c r="D85" s="25"/>
      <c r="E85" s="25"/>
      <c r="F85" s="30"/>
      <c r="G85" s="25"/>
      <c r="H85" s="31"/>
      <c r="I85" s="25"/>
    </row>
    <row r="86" spans="1:9" s="28" customFormat="1" ht="12.95" customHeight="1">
      <c r="A86" s="25"/>
      <c r="B86" s="111" t="s">
        <v>375</v>
      </c>
      <c r="C86" s="25"/>
      <c r="D86" s="25"/>
      <c r="E86" s="25"/>
      <c r="F86" s="30"/>
      <c r="G86" s="25"/>
      <c r="H86" s="31"/>
      <c r="I86" s="25"/>
    </row>
    <row r="87" spans="1:9" s="28" customFormat="1" ht="12.95" customHeight="1" thickBot="1">
      <c r="A87" s="25"/>
      <c r="C87" s="25"/>
      <c r="D87" s="25"/>
      <c r="E87" s="25"/>
      <c r="F87" s="30"/>
      <c r="G87" s="25"/>
      <c r="H87" s="31"/>
      <c r="I87" s="25"/>
    </row>
    <row r="88" spans="1:9" s="28" customFormat="1" ht="13.5" thickBot="1">
      <c r="B88" s="112" t="s">
        <v>381</v>
      </c>
      <c r="C88" s="113">
        <v>0.6069</v>
      </c>
      <c r="F88" s="33"/>
      <c r="H88" s="34"/>
    </row>
    <row r="89" spans="1:9" s="28" customFormat="1">
      <c r="B89" s="102" t="s">
        <v>382</v>
      </c>
      <c r="C89" s="102"/>
      <c r="F89" s="33"/>
      <c r="H89" s="34"/>
    </row>
    <row r="90" spans="1:9" s="28" customFormat="1">
      <c r="F90" s="33"/>
      <c r="H90" s="34"/>
    </row>
    <row r="91" spans="1:9" s="28" customFormat="1">
      <c r="F91" s="33"/>
      <c r="H91" s="34"/>
    </row>
    <row r="92" spans="1:9" s="28" customFormat="1">
      <c r="F92" s="33"/>
      <c r="H92" s="34"/>
    </row>
    <row r="93" spans="1:9" s="28" customFormat="1">
      <c r="F93" s="33"/>
      <c r="H93" s="34"/>
    </row>
    <row r="94" spans="1:9" s="28" customFormat="1">
      <c r="F94" s="33"/>
      <c r="H94" s="34"/>
    </row>
    <row r="95" spans="1:9" s="28" customFormat="1">
      <c r="F95" s="33"/>
      <c r="H95" s="34"/>
    </row>
    <row r="96" spans="1:9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792"/>
  <sheetViews>
    <sheetView zoomScaleNormal="100" workbookViewId="0">
      <selection activeCell="F35" sqref="F35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7" width="9.140625" style="28"/>
  </cols>
  <sheetData>
    <row r="1" spans="1:9" ht="15.95" customHeight="1">
      <c r="A1" s="25"/>
      <c r="B1" s="173" t="s">
        <v>252</v>
      </c>
      <c r="C1" s="174"/>
      <c r="D1" s="174"/>
      <c r="E1" s="174"/>
      <c r="F1" s="174"/>
      <c r="G1" s="174"/>
      <c r="H1" s="175"/>
      <c r="I1" s="1"/>
    </row>
    <row r="2" spans="1:9" ht="12.95" customHeight="1" thickBot="1">
      <c r="A2" s="25"/>
      <c r="B2" s="170" t="s">
        <v>384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85"/>
      <c r="C3" s="85"/>
      <c r="D3" s="85"/>
      <c r="E3" s="85"/>
      <c r="F3" s="85"/>
      <c r="G3" s="85"/>
      <c r="H3" s="8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253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 ht="12.95" customHeight="1">
      <c r="A7" s="25"/>
      <c r="B7" s="139" t="s">
        <v>363</v>
      </c>
      <c r="C7" s="140"/>
      <c r="D7" s="141"/>
      <c r="E7" s="141"/>
      <c r="F7" s="142"/>
      <c r="G7" s="143"/>
      <c r="H7" s="144"/>
      <c r="I7" s="42" t="s">
        <v>1</v>
      </c>
    </row>
    <row r="8" spans="1:9" ht="12.95" customHeight="1">
      <c r="A8" s="25"/>
      <c r="B8" s="120" t="s">
        <v>364</v>
      </c>
      <c r="C8" s="115"/>
      <c r="D8" s="116"/>
      <c r="E8" s="121" t="s">
        <v>193</v>
      </c>
      <c r="F8" s="121" t="s">
        <v>193</v>
      </c>
      <c r="G8" s="121" t="s">
        <v>193</v>
      </c>
      <c r="H8" s="122" t="s">
        <v>193</v>
      </c>
      <c r="I8" s="42" t="s">
        <v>1</v>
      </c>
    </row>
    <row r="9" spans="1:9" ht="12.95" customHeight="1">
      <c r="A9" s="27"/>
      <c r="B9" s="120" t="s">
        <v>192</v>
      </c>
      <c r="C9" s="115"/>
      <c r="D9" s="116"/>
      <c r="E9" s="121" t="s">
        <v>193</v>
      </c>
      <c r="F9" s="121" t="s">
        <v>193</v>
      </c>
      <c r="G9" s="121" t="s">
        <v>193</v>
      </c>
      <c r="H9" s="122" t="s">
        <v>193</v>
      </c>
      <c r="I9" s="2">
        <v>0.98299999999999998</v>
      </c>
    </row>
    <row r="10" spans="1:9" ht="12.95" customHeight="1">
      <c r="A10" s="25"/>
      <c r="B10" s="123"/>
      <c r="C10" s="115"/>
      <c r="D10" s="116"/>
      <c r="E10" s="116"/>
      <c r="F10" s="117"/>
      <c r="G10" s="118"/>
      <c r="H10" s="119"/>
      <c r="I10" s="43">
        <v>0.98299999999999998</v>
      </c>
    </row>
    <row r="11" spans="1:9" ht="12.95" customHeight="1">
      <c r="A11" s="25"/>
      <c r="B11" s="114" t="s">
        <v>365</v>
      </c>
      <c r="C11" s="115"/>
      <c r="D11" s="116"/>
      <c r="E11" s="116"/>
      <c r="F11" s="117"/>
      <c r="G11" s="118"/>
      <c r="H11" s="119"/>
      <c r="I11" s="43">
        <v>0.98299999999999998</v>
      </c>
    </row>
    <row r="12" spans="1:9" ht="12.95" customHeight="1">
      <c r="A12" s="25"/>
      <c r="B12" s="124" t="s">
        <v>369</v>
      </c>
      <c r="C12" s="115"/>
      <c r="D12" s="116"/>
      <c r="E12" s="121" t="s">
        <v>193</v>
      </c>
      <c r="F12" s="121" t="s">
        <v>193</v>
      </c>
      <c r="G12" s="121" t="s">
        <v>193</v>
      </c>
      <c r="H12" s="122" t="s">
        <v>193</v>
      </c>
      <c r="I12" s="42" t="s">
        <v>1</v>
      </c>
    </row>
    <row r="13" spans="1:9" ht="12.95" customHeight="1">
      <c r="A13" s="27"/>
      <c r="B13" s="124" t="s">
        <v>367</v>
      </c>
      <c r="C13" s="115"/>
      <c r="D13" s="116"/>
      <c r="E13" s="121" t="s">
        <v>193</v>
      </c>
      <c r="F13" s="121" t="s">
        <v>193</v>
      </c>
      <c r="G13" s="121" t="s">
        <v>193</v>
      </c>
      <c r="H13" s="122" t="s">
        <v>193</v>
      </c>
      <c r="I13" s="2">
        <v>2.3E-2</v>
      </c>
    </row>
    <row r="14" spans="1:9" ht="12.95" customHeight="1">
      <c r="A14" s="25"/>
      <c r="B14" s="124" t="s">
        <v>368</v>
      </c>
      <c r="C14" s="115"/>
      <c r="D14" s="116"/>
      <c r="E14" s="121" t="s">
        <v>193</v>
      </c>
      <c r="F14" s="121" t="s">
        <v>193</v>
      </c>
      <c r="G14" s="121" t="s">
        <v>193</v>
      </c>
      <c r="H14" s="122" t="s">
        <v>193</v>
      </c>
      <c r="I14" s="43">
        <v>2.3E-2</v>
      </c>
    </row>
    <row r="15" spans="1:9" ht="12.95" customHeight="1">
      <c r="A15" s="25"/>
      <c r="B15" s="123"/>
      <c r="C15" s="115"/>
      <c r="D15" s="116"/>
      <c r="E15" s="116"/>
      <c r="F15" s="125"/>
      <c r="G15" s="116"/>
      <c r="H15" s="126"/>
      <c r="I15" s="43">
        <v>2.3E-2</v>
      </c>
    </row>
    <row r="16" spans="1:9" ht="12.95" customHeight="1">
      <c r="A16" s="25"/>
      <c r="B16" s="127" t="s">
        <v>11</v>
      </c>
      <c r="C16" s="128"/>
      <c r="D16" s="129"/>
      <c r="E16" s="121" t="s">
        <v>193</v>
      </c>
      <c r="F16" s="121" t="s">
        <v>193</v>
      </c>
      <c r="G16" s="121" t="s">
        <v>193</v>
      </c>
      <c r="H16" s="122" t="s">
        <v>193</v>
      </c>
      <c r="I16" s="43">
        <v>-6.0000000000000001E-3</v>
      </c>
    </row>
    <row r="17" spans="1:9" ht="12.95" customHeight="1" thickBot="1">
      <c r="A17" s="25"/>
      <c r="B17" s="127"/>
      <c r="C17" s="128"/>
      <c r="D17" s="129"/>
      <c r="E17" s="129"/>
      <c r="F17" s="130"/>
      <c r="G17" s="129"/>
      <c r="H17" s="131"/>
      <c r="I17" s="46">
        <v>1</v>
      </c>
    </row>
    <row r="18" spans="1:9" ht="12.95" customHeight="1">
      <c r="A18" s="25"/>
      <c r="B18" s="65" t="s">
        <v>254</v>
      </c>
      <c r="C18" s="11" t="s">
        <v>1</v>
      </c>
      <c r="D18" s="11" t="s">
        <v>1</v>
      </c>
      <c r="E18" s="11" t="s">
        <v>1</v>
      </c>
      <c r="F18" s="53" t="s">
        <v>1</v>
      </c>
      <c r="G18" s="54"/>
      <c r="H18" s="66" t="s">
        <v>1</v>
      </c>
      <c r="I18" s="1"/>
    </row>
    <row r="19" spans="1:9" ht="12.95" customHeight="1">
      <c r="A19" s="25"/>
      <c r="B19" s="65" t="s">
        <v>255</v>
      </c>
      <c r="C19" s="11" t="s">
        <v>1</v>
      </c>
      <c r="D19" s="11" t="s">
        <v>1</v>
      </c>
      <c r="E19" s="11" t="s">
        <v>1</v>
      </c>
      <c r="F19" s="53" t="s">
        <v>1</v>
      </c>
      <c r="G19" s="54"/>
      <c r="H19" s="66" t="s">
        <v>1</v>
      </c>
      <c r="I19" s="1"/>
    </row>
    <row r="20" spans="1:9" ht="12.95" customHeight="1">
      <c r="A20" s="25"/>
      <c r="B20" s="67" t="s">
        <v>256</v>
      </c>
      <c r="C20" s="11" t="s">
        <v>257</v>
      </c>
      <c r="D20" s="11" t="s">
        <v>1</v>
      </c>
      <c r="E20" s="55">
        <v>263343.09663839999</v>
      </c>
      <c r="F20" s="56">
        <v>2075.3862429999999</v>
      </c>
      <c r="G20" s="57">
        <v>2075.39</v>
      </c>
      <c r="H20" s="68">
        <v>0.98304423966561982</v>
      </c>
      <c r="I20" s="1"/>
    </row>
    <row r="21" spans="1:9" ht="12.95" customHeight="1">
      <c r="A21" s="25"/>
      <c r="B21" s="65" t="s">
        <v>30</v>
      </c>
      <c r="C21" s="11" t="s">
        <v>1</v>
      </c>
      <c r="D21" s="11" t="s">
        <v>1</v>
      </c>
      <c r="E21" s="11" t="s">
        <v>1</v>
      </c>
      <c r="F21" s="12">
        <v>2075.3862429999999</v>
      </c>
      <c r="G21" s="58">
        <v>2075.39</v>
      </c>
      <c r="H21" s="69">
        <v>0.98304423966561982</v>
      </c>
      <c r="I21" s="1"/>
    </row>
    <row r="22" spans="1:9">
      <c r="B22" s="65" t="s">
        <v>31</v>
      </c>
      <c r="C22" s="11" t="s">
        <v>1</v>
      </c>
      <c r="D22" s="11" t="s">
        <v>1</v>
      </c>
      <c r="E22" s="11" t="s">
        <v>1</v>
      </c>
      <c r="F22" s="12">
        <v>2075.3862429999999</v>
      </c>
      <c r="G22" s="58">
        <v>2075.39</v>
      </c>
      <c r="H22" s="69">
        <v>0.98304423966561982</v>
      </c>
    </row>
    <row r="23" spans="1:9">
      <c r="B23" s="65"/>
      <c r="C23" s="11"/>
      <c r="D23" s="11"/>
      <c r="E23" s="11"/>
      <c r="F23" s="12"/>
      <c r="G23" s="58"/>
      <c r="H23" s="69"/>
    </row>
    <row r="24" spans="1:9">
      <c r="B24" s="65" t="s">
        <v>32</v>
      </c>
      <c r="C24" s="11" t="s">
        <v>1</v>
      </c>
      <c r="D24" s="11" t="s">
        <v>1</v>
      </c>
      <c r="E24" s="11" t="s">
        <v>1</v>
      </c>
      <c r="F24" s="53" t="s">
        <v>1</v>
      </c>
      <c r="G24" s="54"/>
      <c r="H24" s="66" t="s">
        <v>1</v>
      </c>
    </row>
    <row r="25" spans="1:9">
      <c r="B25" s="67" t="s">
        <v>33</v>
      </c>
      <c r="C25" s="11" t="s">
        <v>1</v>
      </c>
      <c r="D25" s="11" t="s">
        <v>34</v>
      </c>
      <c r="E25" s="55"/>
      <c r="F25" s="56">
        <v>48.654699999999998</v>
      </c>
      <c r="G25" s="57">
        <v>48.65</v>
      </c>
      <c r="H25" s="68">
        <v>2.3046178863805274E-2</v>
      </c>
    </row>
    <row r="26" spans="1:9">
      <c r="B26" s="65" t="s">
        <v>30</v>
      </c>
      <c r="C26" s="11" t="s">
        <v>1</v>
      </c>
      <c r="D26" s="11" t="s">
        <v>1</v>
      </c>
      <c r="E26" s="11" t="s">
        <v>1</v>
      </c>
      <c r="F26" s="12">
        <v>48.654699999999998</v>
      </c>
      <c r="G26" s="58">
        <v>48.65</v>
      </c>
      <c r="H26" s="69">
        <v>2.3046178863805274E-2</v>
      </c>
    </row>
    <row r="27" spans="1:9">
      <c r="B27" s="65"/>
      <c r="C27" s="11"/>
      <c r="D27" s="11"/>
      <c r="E27" s="11"/>
      <c r="F27" s="12"/>
      <c r="G27" s="58"/>
      <c r="H27" s="69"/>
    </row>
    <row r="28" spans="1:9">
      <c r="B28" s="65" t="s">
        <v>35</v>
      </c>
      <c r="C28" s="11" t="s">
        <v>1</v>
      </c>
      <c r="D28" s="11" t="s">
        <v>1</v>
      </c>
      <c r="E28" s="11" t="s">
        <v>1</v>
      </c>
      <c r="F28" s="12">
        <v>-12.857987789399999</v>
      </c>
      <c r="G28" s="58">
        <v>-12.86</v>
      </c>
      <c r="H28" s="69">
        <v>-6.0904185294251229E-3</v>
      </c>
    </row>
    <row r="29" spans="1:9">
      <c r="B29" s="65" t="s">
        <v>30</v>
      </c>
      <c r="C29" s="11"/>
      <c r="D29" s="11"/>
      <c r="E29" s="11"/>
      <c r="F29" s="12">
        <v>-12.857987789399999</v>
      </c>
      <c r="G29" s="58">
        <v>-12.86</v>
      </c>
      <c r="H29" s="69">
        <v>-6.0904185294251229E-3</v>
      </c>
    </row>
    <row r="30" spans="1:9" ht="13.5" thickBot="1">
      <c r="B30" s="132" t="s">
        <v>31</v>
      </c>
      <c r="C30" s="17"/>
      <c r="D30" s="17"/>
      <c r="E30" s="17"/>
      <c r="F30" s="18">
        <f>F26+F29</f>
        <v>35.796712210599999</v>
      </c>
      <c r="G30" s="18">
        <f t="shared" ref="G30:H30" si="0">G26+G29</f>
        <v>35.79</v>
      </c>
      <c r="H30" s="133">
        <f t="shared" si="0"/>
        <v>1.6955760334380152E-2</v>
      </c>
    </row>
    <row r="31" spans="1:9" ht="13.5" thickBot="1">
      <c r="B31" s="134" t="s">
        <v>36</v>
      </c>
      <c r="C31" s="135" t="s">
        <v>1</v>
      </c>
      <c r="D31" s="135" t="s">
        <v>1</v>
      </c>
      <c r="E31" s="135" t="s">
        <v>1</v>
      </c>
      <c r="F31" s="136">
        <v>2111.1829552106001</v>
      </c>
      <c r="G31" s="137">
        <v>2111.1799999999998</v>
      </c>
      <c r="H31" s="138">
        <v>1</v>
      </c>
    </row>
    <row r="32" spans="1:9" s="28" customFormat="1">
      <c r="B32" s="26" t="s">
        <v>1</v>
      </c>
      <c r="C32" s="25"/>
      <c r="D32" s="25"/>
      <c r="E32" s="25"/>
      <c r="F32" s="30"/>
      <c r="G32" s="25"/>
      <c r="H32" s="31"/>
    </row>
    <row r="33" spans="2:8" s="28" customFormat="1">
      <c r="B33" s="32" t="s">
        <v>34</v>
      </c>
      <c r="C33" s="25"/>
      <c r="D33" s="25"/>
      <c r="E33" s="25"/>
      <c r="F33" s="30"/>
      <c r="G33" s="25"/>
      <c r="H33" s="31"/>
    </row>
    <row r="34" spans="2:8" s="28" customFormat="1">
      <c r="B34" s="32" t="s">
        <v>1</v>
      </c>
      <c r="C34" s="25"/>
      <c r="D34" s="25"/>
      <c r="E34" s="25"/>
      <c r="F34" s="30"/>
      <c r="G34" s="25"/>
      <c r="H34" s="31"/>
    </row>
    <row r="35" spans="2:8" s="28" customFormat="1">
      <c r="B35" s="32" t="s">
        <v>1</v>
      </c>
      <c r="C35" s="25"/>
      <c r="D35" s="25"/>
      <c r="E35" s="25"/>
      <c r="F35" s="30"/>
      <c r="G35" s="25"/>
      <c r="H35" s="31"/>
    </row>
    <row r="36" spans="2:8" s="28" customFormat="1">
      <c r="F36" s="33"/>
      <c r="H36" s="34"/>
    </row>
    <row r="37" spans="2:8" s="28" customFormat="1">
      <c r="F37" s="33"/>
      <c r="H37" s="34"/>
    </row>
    <row r="38" spans="2:8" s="28" customFormat="1">
      <c r="F38" s="33"/>
      <c r="H38" s="34"/>
    </row>
    <row r="39" spans="2:8" s="28" customFormat="1">
      <c r="F39" s="33"/>
      <c r="H39" s="34"/>
    </row>
    <row r="40" spans="2:8" s="28" customFormat="1">
      <c r="F40" s="33"/>
      <c r="H40" s="34"/>
    </row>
    <row r="41" spans="2:8" s="28" customFormat="1">
      <c r="F41" s="33"/>
      <c r="H41" s="34"/>
    </row>
    <row r="42" spans="2:8" s="28" customFormat="1">
      <c r="F42" s="33"/>
      <c r="H42" s="34"/>
    </row>
    <row r="43" spans="2:8" s="28" customFormat="1">
      <c r="F43" s="33"/>
      <c r="H43" s="34"/>
    </row>
    <row r="44" spans="2:8" s="28" customFormat="1">
      <c r="F44" s="33"/>
      <c r="H44" s="34"/>
    </row>
    <row r="45" spans="2:8" s="28" customFormat="1">
      <c r="F45" s="33"/>
      <c r="H45" s="34"/>
    </row>
    <row r="46" spans="2:8" s="28" customFormat="1">
      <c r="F46" s="33"/>
      <c r="H46" s="34"/>
    </row>
    <row r="47" spans="2:8" s="28" customFormat="1">
      <c r="F47" s="33"/>
      <c r="H47" s="34"/>
    </row>
    <row r="48" spans="2:8" s="28" customFormat="1">
      <c r="F48" s="33"/>
      <c r="H48" s="34"/>
    </row>
    <row r="49" spans="6:8" s="28" customFormat="1">
      <c r="F49" s="33"/>
      <c r="H49" s="34"/>
    </row>
    <row r="50" spans="6:8" s="28" customFormat="1">
      <c r="F50" s="33"/>
      <c r="H50" s="34"/>
    </row>
    <row r="51" spans="6:8" s="28" customFormat="1">
      <c r="F51" s="33"/>
      <c r="H51" s="34"/>
    </row>
    <row r="52" spans="6:8" s="28" customFormat="1">
      <c r="F52" s="33"/>
      <c r="H52" s="34"/>
    </row>
    <row r="53" spans="6:8" s="28" customFormat="1">
      <c r="F53" s="33"/>
      <c r="H53" s="34"/>
    </row>
    <row r="54" spans="6:8" s="28" customFormat="1">
      <c r="F54" s="33"/>
      <c r="H54" s="34"/>
    </row>
    <row r="55" spans="6:8" s="28" customFormat="1">
      <c r="F55" s="33"/>
      <c r="H55" s="34"/>
    </row>
    <row r="56" spans="6:8" s="28" customFormat="1">
      <c r="F56" s="33"/>
      <c r="H56" s="34"/>
    </row>
    <row r="57" spans="6:8" s="28" customFormat="1">
      <c r="F57" s="33"/>
      <c r="H57" s="34"/>
    </row>
    <row r="58" spans="6:8" s="28" customFormat="1">
      <c r="F58" s="33"/>
      <c r="H58" s="34"/>
    </row>
    <row r="59" spans="6:8" s="28" customFormat="1">
      <c r="F59" s="33"/>
      <c r="H59" s="34"/>
    </row>
    <row r="60" spans="6:8" s="28" customFormat="1">
      <c r="F60" s="33"/>
      <c r="H60" s="34"/>
    </row>
    <row r="61" spans="6:8" s="28" customFormat="1">
      <c r="F61" s="33"/>
      <c r="H61" s="34"/>
    </row>
    <row r="62" spans="6:8" s="28" customFormat="1">
      <c r="F62" s="33"/>
      <c r="H62" s="34"/>
    </row>
    <row r="63" spans="6:8" s="28" customFormat="1">
      <c r="F63" s="33"/>
      <c r="H63" s="34"/>
    </row>
    <row r="64" spans="6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816"/>
  <sheetViews>
    <sheetView zoomScaleNormal="100" workbookViewId="0">
      <selection activeCell="D74" sqref="D7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3" width="9.140625" style="28"/>
  </cols>
  <sheetData>
    <row r="1" spans="1:9" ht="15.95" customHeight="1">
      <c r="A1" s="25"/>
      <c r="B1" s="173" t="s">
        <v>258</v>
      </c>
      <c r="C1" s="174"/>
      <c r="D1" s="174"/>
      <c r="E1" s="174"/>
      <c r="F1" s="174"/>
      <c r="G1" s="174"/>
      <c r="H1" s="175"/>
      <c r="I1" s="1"/>
    </row>
    <row r="2" spans="1:9" ht="12.95" customHeight="1" thickBot="1">
      <c r="A2" s="25"/>
      <c r="B2" s="170" t="s">
        <v>383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85"/>
      <c r="C3" s="85"/>
      <c r="D3" s="85"/>
      <c r="E3" s="85"/>
      <c r="F3" s="85"/>
      <c r="G3" s="85"/>
      <c r="H3" s="8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40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>
      <c r="A7" s="25"/>
      <c r="B7" s="145" t="s">
        <v>41</v>
      </c>
      <c r="C7" s="146"/>
      <c r="D7" s="77"/>
      <c r="E7" s="77"/>
      <c r="F7" s="78"/>
      <c r="G7" s="77"/>
      <c r="H7" s="79"/>
      <c r="I7" s="104"/>
    </row>
    <row r="8" spans="1:9">
      <c r="A8" s="25"/>
      <c r="B8" s="93" t="s">
        <v>42</v>
      </c>
      <c r="C8" s="47"/>
      <c r="D8" s="48"/>
      <c r="E8" s="48"/>
      <c r="F8" s="49"/>
      <c r="G8" s="48"/>
      <c r="H8" s="64"/>
      <c r="I8" s="104"/>
    </row>
    <row r="9" spans="1:9">
      <c r="A9" s="25"/>
      <c r="B9" s="93" t="s">
        <v>372</v>
      </c>
      <c r="C9" s="47"/>
      <c r="D9" s="48"/>
      <c r="E9" s="48"/>
      <c r="F9" s="49"/>
      <c r="G9" s="48"/>
      <c r="H9" s="64"/>
      <c r="I9" s="104"/>
    </row>
    <row r="10" spans="1:9" ht="12.95" customHeight="1">
      <c r="A10" s="27"/>
      <c r="B10" s="67" t="s">
        <v>259</v>
      </c>
      <c r="C10" s="11" t="s">
        <v>260</v>
      </c>
      <c r="D10" s="11" t="s">
        <v>184</v>
      </c>
      <c r="E10" s="55">
        <v>26000</v>
      </c>
      <c r="F10" s="56">
        <v>85.760999999999996</v>
      </c>
      <c r="G10" s="57">
        <v>85.76</v>
      </c>
      <c r="H10" s="68">
        <v>9.0640526320506107E-2</v>
      </c>
      <c r="I10" s="2">
        <v>9.06E-2</v>
      </c>
    </row>
    <row r="11" spans="1:9" ht="12.95" customHeight="1">
      <c r="A11" s="27"/>
      <c r="B11" s="67" t="s">
        <v>264</v>
      </c>
      <c r="C11" s="11" t="s">
        <v>265</v>
      </c>
      <c r="D11" s="11" t="s">
        <v>50</v>
      </c>
      <c r="E11" s="55">
        <v>9300</v>
      </c>
      <c r="F11" s="56">
        <v>81.561000000000007</v>
      </c>
      <c r="G11" s="57">
        <v>81.56</v>
      </c>
      <c r="H11" s="68">
        <v>8.6201559767572655E-2</v>
      </c>
      <c r="I11" s="2">
        <v>8.6199999999999999E-2</v>
      </c>
    </row>
    <row r="12" spans="1:9" ht="12.95" customHeight="1">
      <c r="A12" s="27"/>
      <c r="B12" s="67" t="s">
        <v>278</v>
      </c>
      <c r="C12" s="11" t="s">
        <v>279</v>
      </c>
      <c r="D12" s="11" t="s">
        <v>280</v>
      </c>
      <c r="E12" s="55">
        <v>19000</v>
      </c>
      <c r="F12" s="56">
        <v>37.325499999999998</v>
      </c>
      <c r="G12" s="57">
        <v>37.33</v>
      </c>
      <c r="H12" s="68">
        <v>3.9449201445599408E-2</v>
      </c>
      <c r="I12" s="2">
        <v>3.9399999999999998E-2</v>
      </c>
    </row>
    <row r="13" spans="1:9" ht="12.95" customHeight="1">
      <c r="A13" s="27"/>
      <c r="B13" s="67" t="s">
        <v>281</v>
      </c>
      <c r="C13" s="11" t="s">
        <v>282</v>
      </c>
      <c r="D13" s="11" t="s">
        <v>283</v>
      </c>
      <c r="E13" s="55">
        <v>9500</v>
      </c>
      <c r="F13" s="56">
        <v>37.149749999999997</v>
      </c>
      <c r="G13" s="57">
        <v>37.15</v>
      </c>
      <c r="H13" s="68">
        <v>3.9263451833295111E-2</v>
      </c>
      <c r="I13" s="2">
        <v>3.9300000000000002E-2</v>
      </c>
    </row>
    <row r="14" spans="1:9" ht="12.95" customHeight="1">
      <c r="A14" s="27"/>
      <c r="B14" s="67" t="s">
        <v>300</v>
      </c>
      <c r="C14" s="11" t="s">
        <v>301</v>
      </c>
      <c r="D14" s="11" t="s">
        <v>50</v>
      </c>
      <c r="E14" s="55">
        <v>2400</v>
      </c>
      <c r="F14" s="56">
        <v>20.403600000000001</v>
      </c>
      <c r="G14" s="57">
        <v>20.399999999999999</v>
      </c>
      <c r="H14" s="68">
        <v>2.1564499514150702E-2</v>
      </c>
      <c r="I14" s="2">
        <v>2.1600000000000001E-2</v>
      </c>
    </row>
    <row r="15" spans="1:9" ht="12.95" customHeight="1">
      <c r="A15" s="27"/>
      <c r="B15" s="67" t="s">
        <v>304</v>
      </c>
      <c r="C15" s="11" t="s">
        <v>305</v>
      </c>
      <c r="D15" s="11" t="s">
        <v>280</v>
      </c>
      <c r="E15" s="55">
        <v>12000</v>
      </c>
      <c r="F15" s="56">
        <v>15.51</v>
      </c>
      <c r="G15" s="57">
        <v>15.51</v>
      </c>
      <c r="H15" s="68">
        <v>1.6392469341904244E-2</v>
      </c>
      <c r="I15" s="2">
        <v>1.6400000000000001E-2</v>
      </c>
    </row>
    <row r="16" spans="1:9" ht="12.95" customHeight="1">
      <c r="A16" s="27"/>
      <c r="B16" s="67" t="s">
        <v>322</v>
      </c>
      <c r="C16" s="11" t="s">
        <v>323</v>
      </c>
      <c r="D16" s="11" t="s">
        <v>184</v>
      </c>
      <c r="E16" s="55">
        <v>5000</v>
      </c>
      <c r="F16" s="56">
        <v>9.6300000000000008</v>
      </c>
      <c r="G16" s="57">
        <v>9.6300000000000008</v>
      </c>
      <c r="H16" s="68">
        <v>1.0177916167797412E-2</v>
      </c>
      <c r="I16" s="2">
        <v>1.0200000000000001E-2</v>
      </c>
    </row>
    <row r="17" spans="1:9" ht="12.95" customHeight="1">
      <c r="A17" s="27"/>
      <c r="B17" s="67" t="s">
        <v>182</v>
      </c>
      <c r="C17" s="11" t="s">
        <v>183</v>
      </c>
      <c r="D17" s="11" t="s">
        <v>184</v>
      </c>
      <c r="E17" s="55">
        <v>1500</v>
      </c>
      <c r="F17" s="56">
        <v>6.9742499999999996</v>
      </c>
      <c r="G17" s="57">
        <v>6.97</v>
      </c>
      <c r="H17" s="68">
        <v>7.3710624956657422E-3</v>
      </c>
      <c r="I17" s="2">
        <v>7.4000000000000003E-3</v>
      </c>
    </row>
    <row r="18" spans="1:9" ht="12.95" customHeight="1">
      <c r="A18" s="27"/>
      <c r="B18" s="67"/>
      <c r="C18" s="11"/>
      <c r="D18" s="11"/>
      <c r="E18" s="55"/>
      <c r="F18" s="20">
        <f>SUM(F10:F17)</f>
        <v>294.31509999999997</v>
      </c>
      <c r="G18" s="21"/>
      <c r="H18" s="108">
        <f>SUM(H10:H17)</f>
        <v>0.31106068688649136</v>
      </c>
      <c r="I18" s="2"/>
    </row>
    <row r="19" spans="1:9" ht="12.95" customHeight="1">
      <c r="A19" s="27"/>
      <c r="B19" s="67"/>
      <c r="C19" s="11"/>
      <c r="D19" s="11"/>
      <c r="E19" s="55"/>
      <c r="F19" s="56"/>
      <c r="G19" s="57"/>
      <c r="H19" s="68"/>
      <c r="I19" s="2"/>
    </row>
    <row r="20" spans="1:9" ht="12.95" customHeight="1">
      <c r="A20" s="27"/>
      <c r="B20" s="109" t="s">
        <v>371</v>
      </c>
      <c r="C20" s="11"/>
      <c r="D20" s="11"/>
      <c r="E20" s="55"/>
      <c r="F20" s="56"/>
      <c r="G20" s="57"/>
      <c r="H20" s="68"/>
      <c r="I20" s="2"/>
    </row>
    <row r="21" spans="1:9" ht="12.95" customHeight="1">
      <c r="A21" s="27"/>
      <c r="B21" s="109" t="s">
        <v>373</v>
      </c>
      <c r="C21" s="11"/>
      <c r="D21" s="11"/>
      <c r="E21" s="55"/>
      <c r="F21" s="56"/>
      <c r="G21" s="57"/>
      <c r="H21" s="68"/>
      <c r="I21" s="2"/>
    </row>
    <row r="22" spans="1:9" ht="12.95" customHeight="1">
      <c r="A22" s="27"/>
      <c r="B22" s="67" t="s">
        <v>261</v>
      </c>
      <c r="C22" s="11" t="s">
        <v>262</v>
      </c>
      <c r="D22" s="11" t="s">
        <v>263</v>
      </c>
      <c r="E22" s="55">
        <v>5700</v>
      </c>
      <c r="F22" s="56">
        <v>82.376695799999993</v>
      </c>
      <c r="G22" s="57">
        <v>82.38</v>
      </c>
      <c r="H22" s="68">
        <v>8.7063666046993685E-2</v>
      </c>
      <c r="I22" s="2">
        <v>8.7099999999999997E-2</v>
      </c>
    </row>
    <row r="23" spans="1:9" ht="12.95" customHeight="1">
      <c r="A23" s="27"/>
      <c r="B23" s="67" t="s">
        <v>266</v>
      </c>
      <c r="C23" s="11" t="s">
        <v>267</v>
      </c>
      <c r="D23" s="11" t="s">
        <v>268</v>
      </c>
      <c r="E23" s="55">
        <v>92000</v>
      </c>
      <c r="F23" s="56">
        <v>69.593995199999995</v>
      </c>
      <c r="G23" s="57">
        <v>69.59</v>
      </c>
      <c r="H23" s="68">
        <v>7.355367070900265E-2</v>
      </c>
      <c r="I23" s="2">
        <v>7.3599999999999999E-2</v>
      </c>
    </row>
    <row r="24" spans="1:9" ht="12.95" customHeight="1">
      <c r="A24" s="27"/>
      <c r="B24" s="67" t="s">
        <v>269</v>
      </c>
      <c r="C24" s="11" t="s">
        <v>270</v>
      </c>
      <c r="D24" s="11" t="s">
        <v>268</v>
      </c>
      <c r="E24" s="55">
        <v>116000</v>
      </c>
      <c r="F24" s="56">
        <v>65.214943599999998</v>
      </c>
      <c r="G24" s="57">
        <v>65.209999999999994</v>
      </c>
      <c r="H24" s="68">
        <v>6.8925465093295571E-2</v>
      </c>
      <c r="I24" s="2">
        <v>6.8900000000000003E-2</v>
      </c>
    </row>
    <row r="25" spans="1:9" ht="12.95" customHeight="1">
      <c r="A25" s="27"/>
      <c r="B25" s="67" t="s">
        <v>271</v>
      </c>
      <c r="C25" s="11" t="s">
        <v>272</v>
      </c>
      <c r="D25" s="11" t="s">
        <v>273</v>
      </c>
      <c r="E25" s="55">
        <v>63000</v>
      </c>
      <c r="F25" s="56">
        <v>62.850914299999999</v>
      </c>
      <c r="G25" s="57">
        <v>62.85</v>
      </c>
      <c r="H25" s="68">
        <v>6.6426930094996839E-2</v>
      </c>
      <c r="I25" s="2">
        <v>6.6400000000000001E-2</v>
      </c>
    </row>
    <row r="26" spans="1:9" ht="12.95" customHeight="1">
      <c r="A26" s="27"/>
      <c r="B26" s="67" t="s">
        <v>274</v>
      </c>
      <c r="C26" s="11" t="s">
        <v>275</v>
      </c>
      <c r="D26" s="11" t="s">
        <v>263</v>
      </c>
      <c r="E26" s="55">
        <v>1643</v>
      </c>
      <c r="F26" s="56">
        <v>46.703034100000004</v>
      </c>
      <c r="G26" s="57">
        <v>46.7</v>
      </c>
      <c r="H26" s="68">
        <v>4.9360287212002474E-2</v>
      </c>
      <c r="I26" s="2">
        <v>4.9399999999999999E-2</v>
      </c>
    </row>
    <row r="27" spans="1:9" ht="12.95" customHeight="1">
      <c r="A27" s="27"/>
      <c r="B27" s="67" t="s">
        <v>276</v>
      </c>
      <c r="C27" s="11" t="s">
        <v>277</v>
      </c>
      <c r="D27" s="11" t="s">
        <v>273</v>
      </c>
      <c r="E27" s="55">
        <v>2300</v>
      </c>
      <c r="F27" s="56">
        <v>41.148054100000003</v>
      </c>
      <c r="G27" s="57">
        <v>41.15</v>
      </c>
      <c r="H27" s="68">
        <v>4.3489246635284799E-2</v>
      </c>
      <c r="I27" s="2">
        <v>4.3499999999999997E-2</v>
      </c>
    </row>
    <row r="28" spans="1:9" ht="12.95" customHeight="1">
      <c r="A28" s="27"/>
      <c r="B28" s="67" t="s">
        <v>284</v>
      </c>
      <c r="C28" s="11" t="s">
        <v>285</v>
      </c>
      <c r="D28" s="11" t="s">
        <v>286</v>
      </c>
      <c r="E28" s="55">
        <v>4842</v>
      </c>
      <c r="F28" s="56">
        <v>34.2907777</v>
      </c>
      <c r="G28" s="57">
        <v>34.29</v>
      </c>
      <c r="H28" s="68">
        <v>3.6241813162946723E-2</v>
      </c>
      <c r="I28" s="2">
        <v>3.6200000000000003E-2</v>
      </c>
    </row>
    <row r="29" spans="1:9" ht="12.95" customHeight="1">
      <c r="A29" s="27"/>
      <c r="B29" s="67" t="s">
        <v>287</v>
      </c>
      <c r="C29" s="11" t="s">
        <v>288</v>
      </c>
      <c r="D29" s="11" t="s">
        <v>268</v>
      </c>
      <c r="E29" s="55">
        <v>4560</v>
      </c>
      <c r="F29" s="56">
        <v>29.643361200000001</v>
      </c>
      <c r="G29" s="57">
        <v>29.64</v>
      </c>
      <c r="H29" s="68">
        <v>3.1329973543648859E-2</v>
      </c>
      <c r="I29" s="2">
        <v>3.1300000000000001E-2</v>
      </c>
    </row>
    <row r="30" spans="1:9" ht="12.95" customHeight="1">
      <c r="A30" s="27"/>
      <c r="B30" s="67" t="s">
        <v>289</v>
      </c>
      <c r="C30" s="11" t="s">
        <v>290</v>
      </c>
      <c r="D30" s="11" t="s">
        <v>291</v>
      </c>
      <c r="E30" s="55">
        <v>16000</v>
      </c>
      <c r="F30" s="56">
        <v>25.102172500000002</v>
      </c>
      <c r="G30" s="57">
        <v>25.1</v>
      </c>
      <c r="H30" s="68">
        <v>2.6530405746063301E-2</v>
      </c>
      <c r="I30" s="2">
        <v>2.6499999999999999E-2</v>
      </c>
    </row>
    <row r="31" spans="1:9" ht="12.95" customHeight="1">
      <c r="A31" s="27"/>
      <c r="B31" s="67" t="s">
        <v>292</v>
      </c>
      <c r="C31" s="11" t="s">
        <v>293</v>
      </c>
      <c r="D31" s="11" t="s">
        <v>294</v>
      </c>
      <c r="E31" s="55">
        <v>9000</v>
      </c>
      <c r="F31" s="56">
        <v>24.076552499999998</v>
      </c>
      <c r="G31" s="57">
        <v>24.08</v>
      </c>
      <c r="H31" s="68">
        <v>2.5446431251772917E-2</v>
      </c>
      <c r="I31" s="2">
        <v>2.5399999999999999E-2</v>
      </c>
    </row>
    <row r="32" spans="1:9" ht="12.95" customHeight="1">
      <c r="A32" s="27"/>
      <c r="B32" s="67" t="s">
        <v>295</v>
      </c>
      <c r="C32" s="11" t="s">
        <v>296</v>
      </c>
      <c r="D32" s="11" t="s">
        <v>297</v>
      </c>
      <c r="E32" s="55">
        <v>2048</v>
      </c>
      <c r="F32" s="56">
        <v>21.895772000000001</v>
      </c>
      <c r="G32" s="57">
        <v>21.9</v>
      </c>
      <c r="H32" s="68">
        <v>2.3141571323489707E-2</v>
      </c>
      <c r="I32" s="2">
        <v>2.3099999999999999E-2</v>
      </c>
    </row>
    <row r="33" spans="1:9" ht="12.95" customHeight="1">
      <c r="A33" s="27"/>
      <c r="B33" s="67" t="s">
        <v>298</v>
      </c>
      <c r="C33" s="11" t="s">
        <v>299</v>
      </c>
      <c r="D33" s="11" t="s">
        <v>273</v>
      </c>
      <c r="E33" s="55">
        <v>5342</v>
      </c>
      <c r="F33" s="56">
        <v>21.524961300000001</v>
      </c>
      <c r="G33" s="57">
        <v>21.52</v>
      </c>
      <c r="H33" s="68">
        <v>2.2749662681877839E-2</v>
      </c>
      <c r="I33" s="2">
        <v>2.2700000000000001E-2</v>
      </c>
    </row>
    <row r="34" spans="1:9" ht="12.95" customHeight="1">
      <c r="A34" s="27"/>
      <c r="B34" s="67" t="s">
        <v>302</v>
      </c>
      <c r="C34" s="11" t="s">
        <v>303</v>
      </c>
      <c r="D34" s="11" t="s">
        <v>273</v>
      </c>
      <c r="E34" s="55">
        <v>5043</v>
      </c>
      <c r="F34" s="56">
        <v>18.719192400000001</v>
      </c>
      <c r="G34" s="57">
        <v>18.72</v>
      </c>
      <c r="H34" s="68">
        <v>1.9784254514649061E-2</v>
      </c>
      <c r="I34" s="2">
        <v>1.9800000000000002E-2</v>
      </c>
    </row>
    <row r="35" spans="1:9" ht="12.95" customHeight="1">
      <c r="A35" s="27"/>
      <c r="B35" s="67" t="s">
        <v>306</v>
      </c>
      <c r="C35" s="11" t="s">
        <v>307</v>
      </c>
      <c r="D35" s="11" t="s">
        <v>273</v>
      </c>
      <c r="E35" s="55">
        <v>22000</v>
      </c>
      <c r="F35" s="56">
        <v>15.247660099999999</v>
      </c>
      <c r="G35" s="57">
        <v>15.25</v>
      </c>
      <c r="H35" s="68">
        <v>1.6115203141523312E-2</v>
      </c>
      <c r="I35" s="2">
        <v>1.61E-2</v>
      </c>
    </row>
    <row r="36" spans="1:9" ht="12.95" customHeight="1">
      <c r="A36" s="27"/>
      <c r="B36" s="67" t="s">
        <v>308</v>
      </c>
      <c r="C36" s="11" t="s">
        <v>309</v>
      </c>
      <c r="D36" s="11" t="s">
        <v>263</v>
      </c>
      <c r="E36" s="55">
        <v>12000</v>
      </c>
      <c r="F36" s="56">
        <v>15.1916873</v>
      </c>
      <c r="G36" s="57">
        <v>15.19</v>
      </c>
      <c r="H36" s="68">
        <v>1.6056045668410446E-2</v>
      </c>
      <c r="I36" s="2">
        <v>1.61E-2</v>
      </c>
    </row>
    <row r="37" spans="1:9" ht="12.95" customHeight="1">
      <c r="A37" s="27"/>
      <c r="B37" s="67" t="s">
        <v>310</v>
      </c>
      <c r="C37" s="11" t="s">
        <v>311</v>
      </c>
      <c r="D37" s="11" t="s">
        <v>297</v>
      </c>
      <c r="E37" s="55">
        <v>100</v>
      </c>
      <c r="F37" s="56">
        <v>14.306330000000001</v>
      </c>
      <c r="G37" s="57">
        <v>14.31</v>
      </c>
      <c r="H37" s="68">
        <v>1.5120314372673431E-2</v>
      </c>
      <c r="I37" s="2">
        <v>1.5100000000000001E-2</v>
      </c>
    </row>
    <row r="38" spans="1:9" ht="12.95" customHeight="1">
      <c r="A38" s="27"/>
      <c r="B38" s="67" t="s">
        <v>312</v>
      </c>
      <c r="C38" s="11" t="s">
        <v>313</v>
      </c>
      <c r="D38" s="11" t="s">
        <v>314</v>
      </c>
      <c r="E38" s="55">
        <v>100</v>
      </c>
      <c r="F38" s="56">
        <v>13.990959999999999</v>
      </c>
      <c r="G38" s="57">
        <v>13.99</v>
      </c>
      <c r="H38" s="68">
        <v>1.4787000829388046E-2</v>
      </c>
      <c r="I38" s="2">
        <v>1.4800000000000001E-2</v>
      </c>
    </row>
    <row r="39" spans="1:9" ht="12.95" customHeight="1">
      <c r="A39" s="27"/>
      <c r="B39" s="67" t="s">
        <v>315</v>
      </c>
      <c r="C39" s="11" t="s">
        <v>316</v>
      </c>
      <c r="D39" s="11" t="s">
        <v>294</v>
      </c>
      <c r="E39" s="55">
        <v>20000</v>
      </c>
      <c r="F39" s="56">
        <v>12.98194</v>
      </c>
      <c r="G39" s="57">
        <v>12.98</v>
      </c>
      <c r="H39" s="68">
        <v>1.3720570821949734E-2</v>
      </c>
      <c r="I39" s="2">
        <v>1.37E-2</v>
      </c>
    </row>
    <row r="40" spans="1:9" ht="12.95" customHeight="1">
      <c r="A40" s="27"/>
      <c r="B40" s="67" t="s">
        <v>317</v>
      </c>
      <c r="C40" s="11" t="s">
        <v>318</v>
      </c>
      <c r="D40" s="11" t="s">
        <v>319</v>
      </c>
      <c r="E40" s="55">
        <v>200</v>
      </c>
      <c r="F40" s="56">
        <v>12.9015</v>
      </c>
      <c r="G40" s="57">
        <v>12.9</v>
      </c>
      <c r="H40" s="68">
        <v>1.3635554043493075E-2</v>
      </c>
      <c r="I40" s="2">
        <v>1.3599999999999999E-2</v>
      </c>
    </row>
    <row r="41" spans="1:9" ht="12.95" customHeight="1">
      <c r="A41" s="27"/>
      <c r="B41" s="67" t="s">
        <v>320</v>
      </c>
      <c r="C41" s="11" t="s">
        <v>321</v>
      </c>
      <c r="D41" s="11" t="s">
        <v>294</v>
      </c>
      <c r="E41" s="55">
        <v>16000</v>
      </c>
      <c r="F41" s="56">
        <v>10.8916562</v>
      </c>
      <c r="G41" s="57">
        <v>10.89</v>
      </c>
      <c r="H41" s="68">
        <v>1.1511356566154821E-2</v>
      </c>
      <c r="I41" s="2">
        <v>1.15E-2</v>
      </c>
    </row>
    <row r="42" spans="1:9" ht="12.95" customHeight="1">
      <c r="A42" s="27"/>
      <c r="B42" s="67" t="s">
        <v>324</v>
      </c>
      <c r="C42" s="11" t="s">
        <v>325</v>
      </c>
      <c r="D42" s="11" t="s">
        <v>314</v>
      </c>
      <c r="E42" s="55">
        <v>2700</v>
      </c>
      <c r="F42" s="56">
        <v>8.4530627999999997</v>
      </c>
      <c r="G42" s="57">
        <v>8.4499999999999993</v>
      </c>
      <c r="H42" s="68">
        <v>8.9340150092966624E-3</v>
      </c>
      <c r="I42" s="2">
        <v>8.8999999999999999E-3</v>
      </c>
    </row>
    <row r="43" spans="1:9" ht="12.95" customHeight="1">
      <c r="A43" s="27"/>
      <c r="B43" s="67" t="s">
        <v>326</v>
      </c>
      <c r="C43" s="11" t="s">
        <v>327</v>
      </c>
      <c r="D43" s="11" t="s">
        <v>286</v>
      </c>
      <c r="E43" s="55">
        <v>4729</v>
      </c>
      <c r="F43" s="56">
        <v>5.0813199999999998</v>
      </c>
      <c r="G43" s="57">
        <v>5.08</v>
      </c>
      <c r="H43" s="68">
        <v>5.3704308392266194E-3</v>
      </c>
      <c r="I43" s="2">
        <v>5.4000000000000003E-3</v>
      </c>
    </row>
    <row r="44" spans="1:9" ht="12.95" customHeight="1">
      <c r="A44" s="27"/>
      <c r="B44" s="67"/>
      <c r="C44" s="11"/>
      <c r="D44" s="11"/>
      <c r="E44" s="55"/>
      <c r="F44" s="105">
        <f>SUM(F22:F43)</f>
        <v>652.18654310000011</v>
      </c>
      <c r="G44" s="58"/>
      <c r="H44" s="69">
        <f>SUM(H22:H43)</f>
        <v>0.68929386930814052</v>
      </c>
      <c r="I44" s="2"/>
    </row>
    <row r="45" spans="1:9" ht="12.95" customHeight="1">
      <c r="A45" s="27"/>
      <c r="B45" s="67"/>
      <c r="C45" s="11"/>
      <c r="D45" s="11"/>
      <c r="E45" s="55"/>
      <c r="F45" s="56"/>
      <c r="G45" s="57"/>
      <c r="H45" s="68"/>
      <c r="I45" s="2"/>
    </row>
    <row r="46" spans="1:9" ht="12.95" customHeight="1">
      <c r="A46" s="25"/>
      <c r="B46" s="65" t="s">
        <v>30</v>
      </c>
      <c r="C46" s="11" t="s">
        <v>1</v>
      </c>
      <c r="D46" s="11" t="s">
        <v>1</v>
      </c>
      <c r="E46" s="11" t="s">
        <v>1</v>
      </c>
      <c r="F46" s="12">
        <v>946.50164310000002</v>
      </c>
      <c r="G46" s="58">
        <v>946.48</v>
      </c>
      <c r="H46" s="69">
        <v>1.0003545561946319</v>
      </c>
      <c r="I46" s="43">
        <v>1.0002</v>
      </c>
    </row>
    <row r="47" spans="1:9" ht="12.95" customHeight="1">
      <c r="A47" s="25"/>
      <c r="B47" s="65" t="s">
        <v>192</v>
      </c>
      <c r="C47" s="11" t="s">
        <v>1</v>
      </c>
      <c r="D47" s="11" t="s">
        <v>1</v>
      </c>
      <c r="E47" s="11" t="s">
        <v>1</v>
      </c>
      <c r="F47" s="12" t="s">
        <v>193</v>
      </c>
      <c r="G47" s="86" t="s">
        <v>193</v>
      </c>
      <c r="H47" s="69" t="s">
        <v>193</v>
      </c>
      <c r="I47" s="90" t="s">
        <v>193</v>
      </c>
    </row>
    <row r="48" spans="1:9" ht="12.95" customHeight="1">
      <c r="A48" s="25"/>
      <c r="B48" s="65" t="s">
        <v>30</v>
      </c>
      <c r="C48" s="11" t="s">
        <v>1</v>
      </c>
      <c r="D48" s="11" t="s">
        <v>1</v>
      </c>
      <c r="E48" s="11" t="s">
        <v>1</v>
      </c>
      <c r="F48" s="12" t="s">
        <v>193</v>
      </c>
      <c r="G48" s="86" t="s">
        <v>193</v>
      </c>
      <c r="H48" s="69" t="s">
        <v>193</v>
      </c>
      <c r="I48" s="90" t="s">
        <v>193</v>
      </c>
    </row>
    <row r="49" spans="1:9" ht="12.95" customHeight="1">
      <c r="A49" s="25"/>
      <c r="B49" s="65" t="s">
        <v>31</v>
      </c>
      <c r="C49" s="11" t="s">
        <v>1</v>
      </c>
      <c r="D49" s="11" t="s">
        <v>1</v>
      </c>
      <c r="E49" s="11" t="s">
        <v>1</v>
      </c>
      <c r="F49" s="12">
        <v>946.50164310000002</v>
      </c>
      <c r="G49" s="58">
        <v>946.48</v>
      </c>
      <c r="H49" s="69">
        <v>1.0003545561946319</v>
      </c>
      <c r="I49" s="43">
        <v>1.0002</v>
      </c>
    </row>
    <row r="50" spans="1:9" ht="12.95" customHeight="1">
      <c r="A50" s="25"/>
      <c r="B50" s="65"/>
      <c r="C50" s="11"/>
      <c r="D50" s="11"/>
      <c r="E50" s="11"/>
      <c r="F50" s="12"/>
      <c r="G50" s="58"/>
      <c r="H50" s="69"/>
      <c r="I50" s="45"/>
    </row>
    <row r="51" spans="1:9" ht="12.95" customHeight="1">
      <c r="A51" s="25"/>
      <c r="B51" s="9" t="s">
        <v>365</v>
      </c>
      <c r="C51" s="10"/>
      <c r="D51" s="11"/>
      <c r="E51" s="11"/>
      <c r="F51" s="105"/>
      <c r="G51" s="58"/>
      <c r="H51" s="69"/>
      <c r="I51" s="22"/>
    </row>
    <row r="52" spans="1:9" ht="12.95" customHeight="1">
      <c r="A52" s="27"/>
      <c r="B52" s="13" t="s">
        <v>369</v>
      </c>
      <c r="C52" s="10"/>
      <c r="D52" s="11"/>
      <c r="E52" s="21" t="s">
        <v>193</v>
      </c>
      <c r="F52" s="21" t="s">
        <v>193</v>
      </c>
      <c r="G52" s="21" t="s">
        <v>193</v>
      </c>
      <c r="H52" s="147" t="s">
        <v>193</v>
      </c>
      <c r="I52" s="23" t="s">
        <v>193</v>
      </c>
    </row>
    <row r="53" spans="1:9" ht="12.95" customHeight="1">
      <c r="A53" s="25"/>
      <c r="B53" s="16" t="s">
        <v>367</v>
      </c>
      <c r="C53" s="10"/>
      <c r="D53" s="11"/>
      <c r="E53" s="21" t="s">
        <v>193</v>
      </c>
      <c r="F53" s="21" t="s">
        <v>193</v>
      </c>
      <c r="G53" s="21" t="s">
        <v>193</v>
      </c>
      <c r="H53" s="147" t="s">
        <v>193</v>
      </c>
      <c r="I53" s="23" t="s">
        <v>193</v>
      </c>
    </row>
    <row r="54" spans="1:9" ht="12.95" customHeight="1">
      <c r="A54" s="25"/>
      <c r="B54" s="16" t="s">
        <v>368</v>
      </c>
      <c r="C54" s="10"/>
      <c r="D54" s="11"/>
      <c r="E54" s="21" t="s">
        <v>193</v>
      </c>
      <c r="F54" s="21" t="s">
        <v>193</v>
      </c>
      <c r="G54" s="21" t="s">
        <v>193</v>
      </c>
      <c r="H54" s="147" t="s">
        <v>193</v>
      </c>
      <c r="I54" s="23" t="s">
        <v>193</v>
      </c>
    </row>
    <row r="55" spans="1:9" ht="12.95" customHeight="1">
      <c r="A55" s="25"/>
      <c r="B55" s="16"/>
      <c r="C55" s="10"/>
      <c r="D55" s="11"/>
      <c r="E55" s="107"/>
      <c r="F55" s="107"/>
      <c r="G55" s="107"/>
      <c r="H55" s="15"/>
      <c r="I55" s="103"/>
    </row>
    <row r="56" spans="1:9" ht="12.95" customHeight="1">
      <c r="A56" s="25"/>
      <c r="B56" s="127" t="s">
        <v>11</v>
      </c>
      <c r="C56" s="10"/>
      <c r="D56" s="11"/>
      <c r="E56" s="21" t="s">
        <v>193</v>
      </c>
      <c r="F56" s="21" t="s">
        <v>193</v>
      </c>
      <c r="G56" s="21" t="s">
        <v>193</v>
      </c>
      <c r="H56" s="147" t="s">
        <v>193</v>
      </c>
      <c r="I56" s="103"/>
    </row>
    <row r="57" spans="1:9" ht="12.95" customHeight="1">
      <c r="A57" s="25"/>
      <c r="B57" s="127"/>
      <c r="C57" s="10"/>
      <c r="D57" s="11"/>
      <c r="E57" s="107"/>
      <c r="F57" s="107"/>
      <c r="G57" s="107"/>
      <c r="H57" s="15"/>
      <c r="I57" s="103"/>
    </row>
    <row r="58" spans="1:9" ht="12.95" customHeight="1">
      <c r="A58" s="25"/>
      <c r="B58" s="65" t="s">
        <v>32</v>
      </c>
      <c r="C58" s="11" t="s">
        <v>1</v>
      </c>
      <c r="D58" s="11" t="s">
        <v>1</v>
      </c>
      <c r="E58" s="11" t="s">
        <v>1</v>
      </c>
      <c r="F58" s="53" t="s">
        <v>1</v>
      </c>
      <c r="G58" s="54"/>
      <c r="H58" s="66" t="s">
        <v>1</v>
      </c>
      <c r="I58" s="42" t="s">
        <v>1</v>
      </c>
    </row>
    <row r="59" spans="1:9" ht="12.95" customHeight="1">
      <c r="A59" s="27"/>
      <c r="B59" s="67" t="s">
        <v>33</v>
      </c>
      <c r="C59" s="11" t="s">
        <v>1</v>
      </c>
      <c r="D59" s="11" t="s">
        <v>34</v>
      </c>
      <c r="E59" s="55"/>
      <c r="F59" s="56">
        <v>4.0423999999999998</v>
      </c>
      <c r="G59" s="57">
        <v>4.04</v>
      </c>
      <c r="H59" s="68">
        <v>4.2723996175186149E-3</v>
      </c>
      <c r="I59" s="2">
        <v>4.3E-3</v>
      </c>
    </row>
    <row r="60" spans="1:9" ht="12.95" customHeight="1">
      <c r="A60" s="25"/>
      <c r="B60" s="65" t="s">
        <v>30</v>
      </c>
      <c r="C60" s="11" t="s">
        <v>1</v>
      </c>
      <c r="D60" s="11" t="s">
        <v>1</v>
      </c>
      <c r="E60" s="11" t="s">
        <v>1</v>
      </c>
      <c r="F60" s="12">
        <v>4.0423999999999998</v>
      </c>
      <c r="G60" s="58">
        <v>4.04</v>
      </c>
      <c r="H60" s="69">
        <v>4.2723996175186149E-3</v>
      </c>
      <c r="I60" s="43">
        <v>4.3E-3</v>
      </c>
    </row>
    <row r="61" spans="1:9" ht="12.95" customHeight="1">
      <c r="A61" s="25"/>
      <c r="B61" s="65"/>
      <c r="C61" s="11"/>
      <c r="D61" s="11"/>
      <c r="E61" s="11"/>
      <c r="F61" s="12"/>
      <c r="G61" s="58"/>
      <c r="H61" s="69"/>
      <c r="I61" s="43"/>
    </row>
    <row r="62" spans="1:9" ht="12.95" customHeight="1">
      <c r="A62" s="25"/>
      <c r="B62" s="65" t="s">
        <v>35</v>
      </c>
      <c r="C62" s="11" t="s">
        <v>1</v>
      </c>
      <c r="D62" s="11" t="s">
        <v>1</v>
      </c>
      <c r="E62" s="11" t="s">
        <v>1</v>
      </c>
      <c r="F62" s="12">
        <v>-4.3778690781999998</v>
      </c>
      <c r="G62" s="58">
        <v>-4.3499999999999996</v>
      </c>
      <c r="H62" s="69">
        <v>-4.6269558121505771E-3</v>
      </c>
      <c r="I62" s="43">
        <v>-4.4999999999999997E-3</v>
      </c>
    </row>
    <row r="63" spans="1:9" ht="12.95" customHeight="1">
      <c r="A63" s="25"/>
      <c r="B63" s="65" t="s">
        <v>30</v>
      </c>
      <c r="C63" s="11"/>
      <c r="D63" s="11"/>
      <c r="E63" s="11"/>
      <c r="F63" s="12">
        <v>-4.3778690781999998</v>
      </c>
      <c r="G63" s="58">
        <v>-4.3499999999999996</v>
      </c>
      <c r="H63" s="69">
        <v>-4.6269558121505771E-3</v>
      </c>
      <c r="I63" s="45"/>
    </row>
    <row r="64" spans="1:9" ht="12.95" customHeight="1" thickBot="1">
      <c r="A64" s="25"/>
      <c r="B64" s="65" t="s">
        <v>31</v>
      </c>
      <c r="C64" s="17"/>
      <c r="D64" s="17"/>
      <c r="E64" s="17"/>
      <c r="F64" s="18">
        <f>F60+F63</f>
        <v>-0.33546907820000005</v>
      </c>
      <c r="G64" s="18">
        <f t="shared" ref="G64:H64" si="0">G60+G63</f>
        <v>-0.30999999999999961</v>
      </c>
      <c r="H64" s="69">
        <f t="shared" si="0"/>
        <v>-3.5455619463196225E-4</v>
      </c>
      <c r="I64" s="45"/>
    </row>
    <row r="65" spans="1:9" ht="12.95" customHeight="1" thickBot="1">
      <c r="A65" s="25"/>
      <c r="B65" s="134" t="s">
        <v>36</v>
      </c>
      <c r="C65" s="135" t="s">
        <v>1</v>
      </c>
      <c r="D65" s="135" t="s">
        <v>1</v>
      </c>
      <c r="E65" s="135" t="s">
        <v>1</v>
      </c>
      <c r="F65" s="136">
        <v>946.16617402179997</v>
      </c>
      <c r="G65" s="137">
        <v>946.17</v>
      </c>
      <c r="H65" s="138">
        <v>1</v>
      </c>
      <c r="I65" s="46">
        <v>1</v>
      </c>
    </row>
    <row r="66" spans="1:9" s="28" customFormat="1" ht="12.95" customHeight="1">
      <c r="A66" s="25"/>
      <c r="B66" s="26" t="s">
        <v>1</v>
      </c>
      <c r="C66" s="25"/>
      <c r="D66" s="25"/>
      <c r="E66" s="25"/>
      <c r="F66" s="30"/>
      <c r="G66" s="25"/>
      <c r="H66" s="31"/>
      <c r="I66" s="25"/>
    </row>
    <row r="67" spans="1:9" s="28" customFormat="1" ht="12.95" customHeight="1">
      <c r="A67" s="25"/>
      <c r="B67" s="32" t="s">
        <v>34</v>
      </c>
      <c r="C67" s="25"/>
      <c r="D67" s="25"/>
      <c r="E67" s="25"/>
      <c r="F67" s="30"/>
      <c r="G67" s="25"/>
      <c r="H67" s="31"/>
      <c r="I67" s="25"/>
    </row>
    <row r="68" spans="1:9" s="28" customFormat="1" ht="12.95" customHeight="1">
      <c r="A68" s="25"/>
      <c r="B68" s="32" t="s">
        <v>374</v>
      </c>
      <c r="C68" s="25"/>
      <c r="D68" s="25"/>
      <c r="E68" s="25"/>
      <c r="F68" s="30"/>
      <c r="G68" s="25"/>
      <c r="H68" s="31"/>
      <c r="I68" s="25"/>
    </row>
    <row r="69" spans="1:9" s="28" customFormat="1" ht="12.95" customHeight="1">
      <c r="A69" s="25"/>
      <c r="B69" s="111" t="s">
        <v>375</v>
      </c>
      <c r="C69" s="25"/>
      <c r="D69" s="25"/>
      <c r="E69" s="25"/>
      <c r="F69" s="30"/>
      <c r="G69" s="25"/>
      <c r="H69" s="31"/>
      <c r="I69" s="25"/>
    </row>
    <row r="70" spans="1:9" s="28" customFormat="1" ht="13.5" thickBot="1">
      <c r="F70" s="33"/>
      <c r="H70" s="34"/>
    </row>
    <row r="71" spans="1:9" s="28" customFormat="1" ht="13.5" thickBot="1">
      <c r="B71" s="112" t="s">
        <v>381</v>
      </c>
      <c r="C71" s="113">
        <v>0.1114</v>
      </c>
      <c r="F71" s="33"/>
      <c r="H71" s="34"/>
    </row>
    <row r="72" spans="1:9" s="28" customFormat="1">
      <c r="B72" s="102" t="s">
        <v>382</v>
      </c>
      <c r="C72" s="102"/>
      <c r="F72" s="33"/>
      <c r="H72" s="34"/>
    </row>
    <row r="73" spans="1:9" s="28" customFormat="1">
      <c r="F73" s="33"/>
      <c r="H73" s="34"/>
    </row>
    <row r="74" spans="1:9" s="28" customFormat="1">
      <c r="F74" s="33"/>
      <c r="H74" s="34"/>
    </row>
    <row r="75" spans="1:9" s="28" customFormat="1">
      <c r="F75" s="33"/>
      <c r="H75" s="34"/>
    </row>
    <row r="76" spans="1:9" s="28" customFormat="1">
      <c r="F76" s="33"/>
      <c r="H76" s="34"/>
    </row>
    <row r="77" spans="1:9" s="28" customFormat="1">
      <c r="F77" s="33"/>
      <c r="H77" s="34"/>
    </row>
    <row r="78" spans="1:9" s="28" customFormat="1">
      <c r="F78" s="33"/>
      <c r="H78" s="34"/>
    </row>
    <row r="79" spans="1:9" s="28" customFormat="1">
      <c r="F79" s="33"/>
      <c r="H79" s="34"/>
    </row>
    <row r="80" spans="1:9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  <row r="793" spans="6:8" s="28" customFormat="1">
      <c r="F793" s="33"/>
      <c r="H793" s="34"/>
    </row>
    <row r="794" spans="6:8" s="28" customFormat="1">
      <c r="F794" s="33"/>
      <c r="H794" s="34"/>
    </row>
    <row r="795" spans="6:8" s="28" customFormat="1">
      <c r="F795" s="33"/>
      <c r="H795" s="34"/>
    </row>
    <row r="796" spans="6:8" s="28" customFormat="1">
      <c r="F796" s="33"/>
      <c r="H796" s="34"/>
    </row>
    <row r="797" spans="6:8" s="28" customFormat="1">
      <c r="F797" s="33"/>
      <c r="H797" s="34"/>
    </row>
    <row r="798" spans="6:8" s="28" customFormat="1">
      <c r="F798" s="33"/>
      <c r="H798" s="34"/>
    </row>
    <row r="799" spans="6:8" s="28" customFormat="1">
      <c r="F799" s="33"/>
      <c r="H799" s="34"/>
    </row>
    <row r="800" spans="6:8" s="28" customFormat="1">
      <c r="F800" s="33"/>
      <c r="H800" s="34"/>
    </row>
    <row r="801" spans="6:8" s="28" customFormat="1">
      <c r="F801" s="33"/>
      <c r="H801" s="34"/>
    </row>
    <row r="802" spans="6:8" s="28" customFormat="1">
      <c r="F802" s="33"/>
      <c r="H802" s="34"/>
    </row>
    <row r="803" spans="6:8" s="28" customFormat="1">
      <c r="F803" s="33"/>
      <c r="H803" s="34"/>
    </row>
    <row r="804" spans="6:8" s="28" customFormat="1">
      <c r="F804" s="33"/>
      <c r="H804" s="34"/>
    </row>
    <row r="805" spans="6:8" s="28" customFormat="1">
      <c r="F805" s="33"/>
      <c r="H805" s="34"/>
    </row>
    <row r="806" spans="6:8" s="28" customFormat="1">
      <c r="F806" s="33"/>
      <c r="H806" s="34"/>
    </row>
    <row r="807" spans="6:8" s="28" customFormat="1">
      <c r="F807" s="33"/>
      <c r="H807" s="34"/>
    </row>
    <row r="808" spans="6:8" s="28" customFormat="1">
      <c r="F808" s="33"/>
      <c r="H808" s="34"/>
    </row>
    <row r="809" spans="6:8" s="28" customFormat="1">
      <c r="F809" s="33"/>
      <c r="H809" s="34"/>
    </row>
    <row r="810" spans="6:8" s="28" customFormat="1">
      <c r="F810" s="33"/>
      <c r="H810" s="34"/>
    </row>
    <row r="811" spans="6:8" s="28" customFormat="1">
      <c r="F811" s="33"/>
      <c r="H811" s="34"/>
    </row>
    <row r="812" spans="6:8" s="28" customFormat="1">
      <c r="F812" s="33"/>
      <c r="H812" s="34"/>
    </row>
    <row r="813" spans="6:8" s="28" customFormat="1">
      <c r="F813" s="33"/>
      <c r="H813" s="34"/>
    </row>
    <row r="814" spans="6:8" s="28" customFormat="1">
      <c r="F814" s="33"/>
      <c r="H814" s="34"/>
    </row>
    <row r="815" spans="6:8" s="28" customFormat="1">
      <c r="F815" s="33"/>
      <c r="H815" s="34"/>
    </row>
    <row r="816" spans="6:8" s="28" customFormat="1">
      <c r="F816" s="33"/>
      <c r="H816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33"/>
  <sheetViews>
    <sheetView zoomScaleNormal="100" workbookViewId="0">
      <selection activeCell="E70" sqref="E70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7" width="9.140625" style="28"/>
  </cols>
  <sheetData>
    <row r="1" spans="1:9" ht="15.95" customHeight="1">
      <c r="A1" s="25"/>
      <c r="B1" s="173" t="s">
        <v>328</v>
      </c>
      <c r="C1" s="174"/>
      <c r="D1" s="174"/>
      <c r="E1" s="174"/>
      <c r="F1" s="174"/>
      <c r="G1" s="174"/>
      <c r="H1" s="175"/>
      <c r="I1" s="1"/>
    </row>
    <row r="2" spans="1:9" ht="12.95" customHeight="1" thickBot="1">
      <c r="A2" s="25"/>
      <c r="B2" s="179" t="s">
        <v>383</v>
      </c>
      <c r="C2" s="180"/>
      <c r="D2" s="180"/>
      <c r="E2" s="180"/>
      <c r="F2" s="180"/>
      <c r="G2" s="180"/>
      <c r="H2" s="181"/>
      <c r="I2" s="1"/>
    </row>
    <row r="3" spans="1:9" s="28" customFormat="1" ht="12.95" customHeight="1">
      <c r="A3" s="25"/>
      <c r="B3" s="148"/>
      <c r="C3" s="148"/>
      <c r="D3" s="148"/>
      <c r="E3" s="148"/>
      <c r="F3" s="148"/>
      <c r="G3" s="148"/>
      <c r="H3" s="148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376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 ht="12.95" customHeight="1">
      <c r="A7" s="25"/>
      <c r="B7" s="95" t="s">
        <v>41</v>
      </c>
      <c r="C7" s="96" t="s">
        <v>1</v>
      </c>
      <c r="D7" s="96" t="s">
        <v>1</v>
      </c>
      <c r="E7" s="96" t="s">
        <v>1</v>
      </c>
      <c r="F7" s="97" t="s">
        <v>1</v>
      </c>
      <c r="G7" s="98"/>
      <c r="H7" s="99" t="s">
        <v>1</v>
      </c>
      <c r="I7" s="42" t="s">
        <v>1</v>
      </c>
    </row>
    <row r="8" spans="1:9" ht="12.95" customHeight="1">
      <c r="A8" s="25"/>
      <c r="B8" s="65" t="s">
        <v>42</v>
      </c>
      <c r="C8" s="11" t="s">
        <v>1</v>
      </c>
      <c r="D8" s="11" t="s">
        <v>1</v>
      </c>
      <c r="E8" s="11" t="s">
        <v>1</v>
      </c>
      <c r="F8" s="53" t="s">
        <v>1</v>
      </c>
      <c r="G8" s="54"/>
      <c r="H8" s="66" t="s">
        <v>1</v>
      </c>
      <c r="I8" s="42" t="s">
        <v>1</v>
      </c>
    </row>
    <row r="9" spans="1:9" ht="12.95" customHeight="1">
      <c r="A9" s="27"/>
      <c r="B9" s="67" t="s">
        <v>196</v>
      </c>
      <c r="C9" s="11" t="s">
        <v>197</v>
      </c>
      <c r="D9" s="11" t="s">
        <v>45</v>
      </c>
      <c r="E9" s="55">
        <v>822000</v>
      </c>
      <c r="F9" s="56">
        <v>8635.5210000000006</v>
      </c>
      <c r="G9" s="57">
        <v>8635.52</v>
      </c>
      <c r="H9" s="68">
        <v>7.6521108400249976E-2</v>
      </c>
      <c r="I9" s="2">
        <v>7.6499999999999999E-2</v>
      </c>
    </row>
    <row r="10" spans="1:9" ht="12.95" customHeight="1">
      <c r="A10" s="27"/>
      <c r="B10" s="67" t="s">
        <v>51</v>
      </c>
      <c r="C10" s="11" t="s">
        <v>52</v>
      </c>
      <c r="D10" s="11" t="s">
        <v>45</v>
      </c>
      <c r="E10" s="55">
        <v>2102500</v>
      </c>
      <c r="F10" s="56">
        <v>6670.1812499999996</v>
      </c>
      <c r="G10" s="57">
        <v>6670.18</v>
      </c>
      <c r="H10" s="68">
        <v>5.910583304476532E-2</v>
      </c>
      <c r="I10" s="2">
        <v>5.91E-2</v>
      </c>
    </row>
    <row r="11" spans="1:9" ht="12.95" customHeight="1">
      <c r="A11" s="27"/>
      <c r="B11" s="67" t="s">
        <v>329</v>
      </c>
      <c r="C11" s="11" t="s">
        <v>330</v>
      </c>
      <c r="D11" s="11" t="s">
        <v>61</v>
      </c>
      <c r="E11" s="55">
        <v>298750</v>
      </c>
      <c r="F11" s="56">
        <v>4942.6693750000004</v>
      </c>
      <c r="G11" s="57">
        <v>4942.67</v>
      </c>
      <c r="H11" s="68">
        <v>4.3797998873602507E-2</v>
      </c>
      <c r="I11" s="2">
        <v>4.3799999999999999E-2</v>
      </c>
    </row>
    <row r="12" spans="1:9" ht="12.95" customHeight="1">
      <c r="A12" s="27"/>
      <c r="B12" s="67" t="s">
        <v>331</v>
      </c>
      <c r="C12" s="11" t="s">
        <v>332</v>
      </c>
      <c r="D12" s="11" t="s">
        <v>72</v>
      </c>
      <c r="E12" s="55">
        <v>450200</v>
      </c>
      <c r="F12" s="56">
        <v>4349.3822</v>
      </c>
      <c r="G12" s="57">
        <v>4349.38</v>
      </c>
      <c r="H12" s="68">
        <v>3.8540760516976066E-2</v>
      </c>
      <c r="I12" s="2">
        <v>3.85E-2</v>
      </c>
    </row>
    <row r="13" spans="1:9" ht="12.95" customHeight="1">
      <c r="A13" s="27"/>
      <c r="B13" s="67" t="s">
        <v>333</v>
      </c>
      <c r="C13" s="11" t="s">
        <v>334</v>
      </c>
      <c r="D13" s="11" t="s">
        <v>77</v>
      </c>
      <c r="E13" s="55">
        <v>164700</v>
      </c>
      <c r="F13" s="56">
        <v>4299.1641</v>
      </c>
      <c r="G13" s="57">
        <v>4299.16</v>
      </c>
      <c r="H13" s="68">
        <v>3.8095767716454294E-2</v>
      </c>
      <c r="I13" s="2">
        <v>3.8100000000000002E-2</v>
      </c>
    </row>
    <row r="14" spans="1:9" ht="12.95" customHeight="1">
      <c r="A14" s="27"/>
      <c r="B14" s="67" t="s">
        <v>203</v>
      </c>
      <c r="C14" s="11" t="s">
        <v>204</v>
      </c>
      <c r="D14" s="11" t="s">
        <v>134</v>
      </c>
      <c r="E14" s="55">
        <v>106850</v>
      </c>
      <c r="F14" s="56">
        <v>4045.02045</v>
      </c>
      <c r="G14" s="57">
        <v>4045.02</v>
      </c>
      <c r="H14" s="68">
        <v>3.5843749130559453E-2</v>
      </c>
      <c r="I14" s="2">
        <v>3.5799999999999998E-2</v>
      </c>
    </row>
    <row r="15" spans="1:9" ht="12.95" customHeight="1">
      <c r="A15" s="27"/>
      <c r="B15" s="67" t="s">
        <v>216</v>
      </c>
      <c r="C15" s="11" t="s">
        <v>217</v>
      </c>
      <c r="D15" s="11" t="s">
        <v>45</v>
      </c>
      <c r="E15" s="55">
        <v>1304350</v>
      </c>
      <c r="F15" s="56">
        <v>3628.0495249999999</v>
      </c>
      <c r="G15" s="57">
        <v>3628.05</v>
      </c>
      <c r="H15" s="68">
        <v>3.2148884935141772E-2</v>
      </c>
      <c r="I15" s="2">
        <v>3.2099999999999997E-2</v>
      </c>
    </row>
    <row r="16" spans="1:9" ht="12.95" customHeight="1">
      <c r="A16" s="27"/>
      <c r="B16" s="67" t="s">
        <v>335</v>
      </c>
      <c r="C16" s="11" t="s">
        <v>336</v>
      </c>
      <c r="D16" s="11" t="s">
        <v>77</v>
      </c>
      <c r="E16" s="55">
        <v>170906</v>
      </c>
      <c r="F16" s="56">
        <v>3457.6847389999998</v>
      </c>
      <c r="G16" s="57">
        <v>3457.68</v>
      </c>
      <c r="H16" s="68">
        <v>3.0639247907208962E-2</v>
      </c>
      <c r="I16" s="2">
        <v>3.0599999999999999E-2</v>
      </c>
    </row>
    <row r="17" spans="1:9" ht="12.95" customHeight="1">
      <c r="A17" s="27"/>
      <c r="B17" s="67" t="s">
        <v>48</v>
      </c>
      <c r="C17" s="11" t="s">
        <v>49</v>
      </c>
      <c r="D17" s="11" t="s">
        <v>50</v>
      </c>
      <c r="E17" s="55">
        <v>495250</v>
      </c>
      <c r="F17" s="56">
        <v>3342.1946250000001</v>
      </c>
      <c r="G17" s="57">
        <v>3342.19</v>
      </c>
      <c r="H17" s="68">
        <v>2.9615866511627707E-2</v>
      </c>
      <c r="I17" s="2">
        <v>2.9600000000000001E-2</v>
      </c>
    </row>
    <row r="18" spans="1:9" ht="12.95" customHeight="1">
      <c r="A18" s="27"/>
      <c r="B18" s="67" t="s">
        <v>264</v>
      </c>
      <c r="C18" s="11" t="s">
        <v>265</v>
      </c>
      <c r="D18" s="11" t="s">
        <v>50</v>
      </c>
      <c r="E18" s="55">
        <v>372900</v>
      </c>
      <c r="F18" s="56">
        <v>3270.3330000000001</v>
      </c>
      <c r="G18" s="57">
        <v>3270.33</v>
      </c>
      <c r="H18" s="68">
        <v>2.8979086032900007E-2</v>
      </c>
      <c r="I18" s="2">
        <v>2.9000000000000001E-2</v>
      </c>
    </row>
    <row r="19" spans="1:9" ht="12.95" customHeight="1">
      <c r="A19" s="27"/>
      <c r="B19" s="67" t="s">
        <v>337</v>
      </c>
      <c r="C19" s="11" t="s">
        <v>338</v>
      </c>
      <c r="D19" s="11" t="s">
        <v>45</v>
      </c>
      <c r="E19" s="55">
        <v>547000</v>
      </c>
      <c r="F19" s="56">
        <v>3202.1379999999999</v>
      </c>
      <c r="G19" s="57">
        <v>3202.14</v>
      </c>
      <c r="H19" s="68">
        <v>2.8374796264239256E-2</v>
      </c>
      <c r="I19" s="2">
        <v>2.8400000000000002E-2</v>
      </c>
    </row>
    <row r="20" spans="1:9" ht="12.95" customHeight="1">
      <c r="A20" s="27"/>
      <c r="B20" s="67" t="s">
        <v>205</v>
      </c>
      <c r="C20" s="11" t="s">
        <v>206</v>
      </c>
      <c r="D20" s="11" t="s">
        <v>45</v>
      </c>
      <c r="E20" s="55">
        <v>359100</v>
      </c>
      <c r="F20" s="56">
        <v>3138.3544499999998</v>
      </c>
      <c r="G20" s="57">
        <v>3138.35</v>
      </c>
      <c r="H20" s="68">
        <v>2.7809597251498418E-2</v>
      </c>
      <c r="I20" s="2">
        <v>2.7799999999999998E-2</v>
      </c>
    </row>
    <row r="21" spans="1:9" ht="12.95" customHeight="1">
      <c r="A21" s="27"/>
      <c r="B21" s="67" t="s">
        <v>83</v>
      </c>
      <c r="C21" s="11" t="s">
        <v>84</v>
      </c>
      <c r="D21" s="11" t="s">
        <v>85</v>
      </c>
      <c r="E21" s="55">
        <v>386100</v>
      </c>
      <c r="F21" s="56">
        <v>3038.8000499999998</v>
      </c>
      <c r="G21" s="57">
        <v>3038.8</v>
      </c>
      <c r="H21" s="68">
        <v>2.6927425459649167E-2</v>
      </c>
      <c r="I21" s="2">
        <v>2.69E-2</v>
      </c>
    </row>
    <row r="22" spans="1:9" ht="12.95" customHeight="1">
      <c r="A22" s="27"/>
      <c r="B22" s="67" t="s">
        <v>201</v>
      </c>
      <c r="C22" s="11" t="s">
        <v>202</v>
      </c>
      <c r="D22" s="11" t="s">
        <v>85</v>
      </c>
      <c r="E22" s="55">
        <v>895500</v>
      </c>
      <c r="F22" s="56">
        <v>2929.1804999999999</v>
      </c>
      <c r="G22" s="57">
        <v>2929.18</v>
      </c>
      <c r="H22" s="68">
        <v>2.5956064325985476E-2</v>
      </c>
      <c r="I22" s="2">
        <v>2.5999999999999999E-2</v>
      </c>
    </row>
    <row r="23" spans="1:9" ht="12.95" customHeight="1">
      <c r="A23" s="27"/>
      <c r="B23" s="67" t="s">
        <v>211</v>
      </c>
      <c r="C23" s="11" t="s">
        <v>212</v>
      </c>
      <c r="D23" s="11" t="s">
        <v>55</v>
      </c>
      <c r="E23" s="55">
        <v>234275</v>
      </c>
      <c r="F23" s="56">
        <v>2895.7561375</v>
      </c>
      <c r="G23" s="57">
        <v>2895.76</v>
      </c>
      <c r="H23" s="68">
        <v>2.5659884249986383E-2</v>
      </c>
      <c r="I23" s="2">
        <v>2.5700000000000001E-2</v>
      </c>
    </row>
    <row r="24" spans="1:9" ht="12.95" customHeight="1">
      <c r="A24" s="27"/>
      <c r="B24" s="67" t="s">
        <v>243</v>
      </c>
      <c r="C24" s="11" t="s">
        <v>244</v>
      </c>
      <c r="D24" s="11" t="s">
        <v>245</v>
      </c>
      <c r="E24" s="55">
        <v>565291</v>
      </c>
      <c r="F24" s="56">
        <v>2405.8784959999998</v>
      </c>
      <c r="G24" s="57">
        <v>2405.88</v>
      </c>
      <c r="H24" s="68">
        <v>2.1318978807445012E-2</v>
      </c>
      <c r="I24" s="2">
        <v>2.1299999999999999E-2</v>
      </c>
    </row>
    <row r="25" spans="1:9" ht="12.95" customHeight="1">
      <c r="A25" s="27"/>
      <c r="B25" s="67" t="s">
        <v>59</v>
      </c>
      <c r="C25" s="11" t="s">
        <v>60</v>
      </c>
      <c r="D25" s="11" t="s">
        <v>61</v>
      </c>
      <c r="E25" s="55">
        <v>699719</v>
      </c>
      <c r="F25" s="56">
        <v>2329.7144105000002</v>
      </c>
      <c r="G25" s="57">
        <v>2329.71</v>
      </c>
      <c r="H25" s="68">
        <v>2.0644073350929836E-2</v>
      </c>
      <c r="I25" s="2">
        <v>2.06E-2</v>
      </c>
    </row>
    <row r="26" spans="1:9" ht="12.95" customHeight="1">
      <c r="A26" s="27"/>
      <c r="B26" s="67" t="s">
        <v>377</v>
      </c>
      <c r="C26" s="11" t="s">
        <v>210</v>
      </c>
      <c r="D26" s="11" t="s">
        <v>134</v>
      </c>
      <c r="E26" s="55">
        <v>749662</v>
      </c>
      <c r="F26" s="56">
        <v>2256.8574509999999</v>
      </c>
      <c r="G26" s="57">
        <v>2256.86</v>
      </c>
      <c r="H26" s="68">
        <v>1.9998473010705762E-2</v>
      </c>
      <c r="I26" s="2">
        <v>0.02</v>
      </c>
    </row>
    <row r="27" spans="1:9" ht="12.95" customHeight="1">
      <c r="A27" s="27"/>
      <c r="B27" s="67" t="s">
        <v>56</v>
      </c>
      <c r="C27" s="11" t="s">
        <v>57</v>
      </c>
      <c r="D27" s="11" t="s">
        <v>58</v>
      </c>
      <c r="E27" s="55">
        <v>248678</v>
      </c>
      <c r="F27" s="56">
        <v>2202.2923679999999</v>
      </c>
      <c r="G27" s="57">
        <v>2202.29</v>
      </c>
      <c r="H27" s="68">
        <v>1.9514960709466306E-2</v>
      </c>
      <c r="I27" s="2">
        <v>1.95E-2</v>
      </c>
    </row>
    <row r="28" spans="1:9" ht="12.95" customHeight="1">
      <c r="A28" s="27"/>
      <c r="B28" s="67" t="s">
        <v>339</v>
      </c>
      <c r="C28" s="11" t="s">
        <v>340</v>
      </c>
      <c r="D28" s="11" t="s">
        <v>90</v>
      </c>
      <c r="E28" s="55">
        <v>74000</v>
      </c>
      <c r="F28" s="56">
        <v>2201.7220000000002</v>
      </c>
      <c r="G28" s="57">
        <v>2201.7199999999998</v>
      </c>
      <c r="H28" s="68">
        <v>1.9509906562582058E-2</v>
      </c>
      <c r="I28" s="2">
        <v>1.95E-2</v>
      </c>
    </row>
    <row r="29" spans="1:9" ht="12.95" customHeight="1">
      <c r="A29" s="27"/>
      <c r="B29" s="67" t="s">
        <v>341</v>
      </c>
      <c r="C29" s="11" t="s">
        <v>342</v>
      </c>
      <c r="D29" s="11" t="s">
        <v>77</v>
      </c>
      <c r="E29" s="55">
        <v>214000</v>
      </c>
      <c r="F29" s="56">
        <v>2163.0050000000001</v>
      </c>
      <c r="G29" s="57">
        <v>2163.0100000000002</v>
      </c>
      <c r="H29" s="68">
        <v>1.9166827348955865E-2</v>
      </c>
      <c r="I29" s="2">
        <v>1.9199999999999998E-2</v>
      </c>
    </row>
    <row r="30" spans="1:9" ht="12.95" customHeight="1">
      <c r="A30" s="27"/>
      <c r="B30" s="67" t="s">
        <v>73</v>
      </c>
      <c r="C30" s="11" t="s">
        <v>74</v>
      </c>
      <c r="D30" s="11" t="s">
        <v>72</v>
      </c>
      <c r="E30" s="55">
        <v>246900</v>
      </c>
      <c r="F30" s="56">
        <v>2161.1156999999998</v>
      </c>
      <c r="G30" s="57">
        <v>2161.12</v>
      </c>
      <c r="H30" s="68">
        <v>1.9150085877294734E-2</v>
      </c>
      <c r="I30" s="2">
        <v>1.9199999999999998E-2</v>
      </c>
    </row>
    <row r="31" spans="1:9" ht="12.95" customHeight="1">
      <c r="A31" s="27"/>
      <c r="B31" s="67" t="s">
        <v>227</v>
      </c>
      <c r="C31" s="11" t="s">
        <v>228</v>
      </c>
      <c r="D31" s="11" t="s">
        <v>134</v>
      </c>
      <c r="E31" s="55">
        <v>69400</v>
      </c>
      <c r="F31" s="56">
        <v>1871.6139000000001</v>
      </c>
      <c r="G31" s="57">
        <v>1871.61</v>
      </c>
      <c r="H31" s="68">
        <v>1.658475153095159E-2</v>
      </c>
      <c r="I31" s="2">
        <v>1.66E-2</v>
      </c>
    </row>
    <row r="32" spans="1:9" ht="12.95" customHeight="1">
      <c r="A32" s="27"/>
      <c r="B32" s="67" t="s">
        <v>75</v>
      </c>
      <c r="C32" s="11" t="s">
        <v>76</v>
      </c>
      <c r="D32" s="11" t="s">
        <v>77</v>
      </c>
      <c r="E32" s="55">
        <v>228631</v>
      </c>
      <c r="F32" s="56">
        <v>1867.2293770000001</v>
      </c>
      <c r="G32" s="57">
        <v>1867.23</v>
      </c>
      <c r="H32" s="68">
        <v>1.6545899380656735E-2</v>
      </c>
      <c r="I32" s="2">
        <v>1.6500000000000001E-2</v>
      </c>
    </row>
    <row r="33" spans="1:9" ht="12.95" customHeight="1">
      <c r="A33" s="27"/>
      <c r="B33" s="67" t="s">
        <v>67</v>
      </c>
      <c r="C33" s="11" t="s">
        <v>68</v>
      </c>
      <c r="D33" s="11" t="s">
        <v>69</v>
      </c>
      <c r="E33" s="55">
        <v>458046</v>
      </c>
      <c r="F33" s="56">
        <v>1642.3239329999999</v>
      </c>
      <c r="G33" s="57">
        <v>1642.32</v>
      </c>
      <c r="H33" s="68">
        <v>1.4552966486378514E-2</v>
      </c>
      <c r="I33" s="2">
        <v>1.46E-2</v>
      </c>
    </row>
    <row r="34" spans="1:9" ht="12.95" customHeight="1">
      <c r="A34" s="27"/>
      <c r="B34" s="67" t="s">
        <v>46</v>
      </c>
      <c r="C34" s="11" t="s">
        <v>47</v>
      </c>
      <c r="D34" s="11" t="s">
        <v>45</v>
      </c>
      <c r="E34" s="55">
        <v>182000</v>
      </c>
      <c r="F34" s="56">
        <v>1605.7860000000001</v>
      </c>
      <c r="G34" s="57">
        <v>1605.79</v>
      </c>
      <c r="H34" s="68">
        <v>1.4229196428750946E-2</v>
      </c>
      <c r="I34" s="2">
        <v>1.4200000000000001E-2</v>
      </c>
    </row>
    <row r="35" spans="1:9" ht="12.95" customHeight="1">
      <c r="A35" s="27"/>
      <c r="B35" s="67" t="s">
        <v>88</v>
      </c>
      <c r="C35" s="11" t="s">
        <v>89</v>
      </c>
      <c r="D35" s="11" t="s">
        <v>90</v>
      </c>
      <c r="E35" s="55">
        <v>234750</v>
      </c>
      <c r="F35" s="56">
        <v>1499.7003749999999</v>
      </c>
      <c r="G35" s="57">
        <v>1499.7</v>
      </c>
      <c r="H35" s="68">
        <v>1.3289150123457581E-2</v>
      </c>
      <c r="I35" s="2">
        <v>1.3299999999999999E-2</v>
      </c>
    </row>
    <row r="36" spans="1:9" ht="12.95" customHeight="1">
      <c r="A36" s="27"/>
      <c r="B36" s="67" t="s">
        <v>91</v>
      </c>
      <c r="C36" s="11" t="s">
        <v>92</v>
      </c>
      <c r="D36" s="11" t="s">
        <v>85</v>
      </c>
      <c r="E36" s="55">
        <v>132831</v>
      </c>
      <c r="F36" s="56">
        <v>1488.1721084999999</v>
      </c>
      <c r="G36" s="57">
        <v>1488.17</v>
      </c>
      <c r="H36" s="68">
        <v>1.3186995808678719E-2</v>
      </c>
      <c r="I36" s="2">
        <v>1.32E-2</v>
      </c>
    </row>
    <row r="37" spans="1:9" ht="12.95" customHeight="1">
      <c r="A37" s="27"/>
      <c r="B37" s="67" t="s">
        <v>108</v>
      </c>
      <c r="C37" s="11" t="s">
        <v>109</v>
      </c>
      <c r="D37" s="11" t="s">
        <v>110</v>
      </c>
      <c r="E37" s="55">
        <v>853000</v>
      </c>
      <c r="F37" s="56">
        <v>1434.3195000000001</v>
      </c>
      <c r="G37" s="57">
        <v>1434.32</v>
      </c>
      <c r="H37" s="68">
        <v>1.2709796888930307E-2</v>
      </c>
      <c r="I37" s="2">
        <v>1.2699999999999999E-2</v>
      </c>
    </row>
    <row r="38" spans="1:9" ht="12.95" customHeight="1">
      <c r="A38" s="27"/>
      <c r="B38" s="67" t="s">
        <v>80</v>
      </c>
      <c r="C38" s="11" t="s">
        <v>81</v>
      </c>
      <c r="D38" s="11" t="s">
        <v>82</v>
      </c>
      <c r="E38" s="55">
        <v>320000</v>
      </c>
      <c r="F38" s="56">
        <v>1383.2</v>
      </c>
      <c r="G38" s="57">
        <v>1383.2</v>
      </c>
      <c r="H38" s="68">
        <v>1.2256816599626793E-2</v>
      </c>
      <c r="I38" s="2">
        <v>1.23E-2</v>
      </c>
    </row>
    <row r="39" spans="1:9" ht="12.95" customHeight="1">
      <c r="A39" s="27"/>
      <c r="B39" s="67" t="s">
        <v>70</v>
      </c>
      <c r="C39" s="11" t="s">
        <v>71</v>
      </c>
      <c r="D39" s="11" t="s">
        <v>72</v>
      </c>
      <c r="E39" s="55">
        <v>60005</v>
      </c>
      <c r="F39" s="56">
        <v>1328.0906649999999</v>
      </c>
      <c r="G39" s="57">
        <v>1328.09</v>
      </c>
      <c r="H39" s="68">
        <v>1.1768481570692152E-2</v>
      </c>
      <c r="I39" s="2">
        <v>1.18E-2</v>
      </c>
    </row>
    <row r="40" spans="1:9" ht="12.95" customHeight="1">
      <c r="A40" s="27"/>
      <c r="B40" s="67" t="s">
        <v>78</v>
      </c>
      <c r="C40" s="11" t="s">
        <v>79</v>
      </c>
      <c r="D40" s="11" t="s">
        <v>72</v>
      </c>
      <c r="E40" s="55">
        <v>201300</v>
      </c>
      <c r="F40" s="56">
        <v>1317.9111</v>
      </c>
      <c r="G40" s="57">
        <v>1317.91</v>
      </c>
      <c r="H40" s="68">
        <v>1.1678278374286007E-2</v>
      </c>
      <c r="I40" s="2">
        <v>1.17E-2</v>
      </c>
    </row>
    <row r="41" spans="1:9" ht="12.95" customHeight="1">
      <c r="A41" s="27"/>
      <c r="B41" s="67" t="s">
        <v>53</v>
      </c>
      <c r="C41" s="11" t="s">
        <v>54</v>
      </c>
      <c r="D41" s="11" t="s">
        <v>55</v>
      </c>
      <c r="E41" s="55">
        <v>81589</v>
      </c>
      <c r="F41" s="56">
        <v>1249.3315625</v>
      </c>
      <c r="G41" s="57">
        <v>1249.33</v>
      </c>
      <c r="H41" s="68">
        <v>1.1070581140607055E-2</v>
      </c>
      <c r="I41" s="2">
        <v>1.11E-2</v>
      </c>
    </row>
    <row r="42" spans="1:9" ht="12.95" customHeight="1">
      <c r="A42" s="27"/>
      <c r="B42" s="67" t="s">
        <v>147</v>
      </c>
      <c r="C42" s="11" t="s">
        <v>148</v>
      </c>
      <c r="D42" s="11" t="s">
        <v>72</v>
      </c>
      <c r="E42" s="55">
        <v>63056</v>
      </c>
      <c r="F42" s="56">
        <v>1147.5561439999999</v>
      </c>
      <c r="G42" s="57">
        <v>1147.56</v>
      </c>
      <c r="H42" s="68">
        <v>1.0168728451983021E-2</v>
      </c>
      <c r="I42" s="2">
        <v>1.0200000000000001E-2</v>
      </c>
    </row>
    <row r="43" spans="1:9" ht="12.95" customHeight="1">
      <c r="A43" s="27"/>
      <c r="B43" s="67" t="s">
        <v>130</v>
      </c>
      <c r="C43" s="11" t="s">
        <v>131</v>
      </c>
      <c r="D43" s="11" t="s">
        <v>82</v>
      </c>
      <c r="E43" s="55">
        <v>183589</v>
      </c>
      <c r="F43" s="56">
        <v>1063.8982550000001</v>
      </c>
      <c r="G43" s="57">
        <v>1063.9000000000001</v>
      </c>
      <c r="H43" s="68">
        <v>9.4274188781072726E-3</v>
      </c>
      <c r="I43" s="2">
        <v>9.4000000000000004E-3</v>
      </c>
    </row>
    <row r="44" spans="1:9" ht="12.95" customHeight="1">
      <c r="A44" s="27"/>
      <c r="B44" s="67" t="s">
        <v>126</v>
      </c>
      <c r="C44" s="11" t="s">
        <v>127</v>
      </c>
      <c r="D44" s="11" t="s">
        <v>58</v>
      </c>
      <c r="E44" s="55">
        <v>675500</v>
      </c>
      <c r="F44" s="56">
        <v>1038.2435</v>
      </c>
      <c r="G44" s="57">
        <v>1038.24</v>
      </c>
      <c r="H44" s="68">
        <v>9.2000868748225995E-3</v>
      </c>
      <c r="I44" s="2">
        <v>9.1999999999999998E-3</v>
      </c>
    </row>
    <row r="45" spans="1:9" ht="12.95" customHeight="1">
      <c r="A45" s="27"/>
      <c r="B45" s="67" t="s">
        <v>62</v>
      </c>
      <c r="C45" s="11" t="s">
        <v>63</v>
      </c>
      <c r="D45" s="11" t="s">
        <v>45</v>
      </c>
      <c r="E45" s="55">
        <v>722016</v>
      </c>
      <c r="F45" s="56">
        <v>1031.7608640000001</v>
      </c>
      <c r="G45" s="57">
        <v>1031.76</v>
      </c>
      <c r="H45" s="68">
        <v>9.142642918392483E-3</v>
      </c>
      <c r="I45" s="2">
        <v>9.1000000000000004E-3</v>
      </c>
    </row>
    <row r="46" spans="1:9" ht="12.95" customHeight="1">
      <c r="A46" s="27"/>
      <c r="B46" s="67" t="s">
        <v>86</v>
      </c>
      <c r="C46" s="11" t="s">
        <v>87</v>
      </c>
      <c r="D46" s="11" t="s">
        <v>66</v>
      </c>
      <c r="E46" s="55">
        <v>82800</v>
      </c>
      <c r="F46" s="56">
        <v>1019.7234</v>
      </c>
      <c r="G46" s="57">
        <v>1019.72</v>
      </c>
      <c r="H46" s="68">
        <v>9.0359765009744592E-3</v>
      </c>
      <c r="I46" s="2">
        <v>8.9999999999999993E-3</v>
      </c>
    </row>
    <row r="47" spans="1:9" ht="12.95" customHeight="1">
      <c r="A47" s="27"/>
      <c r="B47" s="67" t="s">
        <v>111</v>
      </c>
      <c r="C47" s="11" t="s">
        <v>112</v>
      </c>
      <c r="D47" s="11" t="s">
        <v>113</v>
      </c>
      <c r="E47" s="55">
        <v>261213</v>
      </c>
      <c r="F47" s="56">
        <v>923.25734850000003</v>
      </c>
      <c r="G47" s="57">
        <v>923.26</v>
      </c>
      <c r="H47" s="68">
        <v>8.181171193480493E-3</v>
      </c>
      <c r="I47" s="2">
        <v>8.2000000000000007E-3</v>
      </c>
    </row>
    <row r="48" spans="1:9" ht="12.95" customHeight="1">
      <c r="A48" s="27"/>
      <c r="B48" s="67" t="s">
        <v>343</v>
      </c>
      <c r="C48" s="11" t="s">
        <v>344</v>
      </c>
      <c r="D48" s="11" t="s">
        <v>345</v>
      </c>
      <c r="E48" s="55">
        <v>280400</v>
      </c>
      <c r="F48" s="56">
        <v>921.11400000000003</v>
      </c>
      <c r="G48" s="57">
        <v>921.11</v>
      </c>
      <c r="H48" s="68">
        <v>8.1621785463769757E-3</v>
      </c>
      <c r="I48" s="2">
        <v>8.2000000000000007E-3</v>
      </c>
    </row>
    <row r="49" spans="1:9" ht="12.95" customHeight="1">
      <c r="A49" s="27"/>
      <c r="B49" s="67" t="s">
        <v>158</v>
      </c>
      <c r="C49" s="11" t="s">
        <v>159</v>
      </c>
      <c r="D49" s="11" t="s">
        <v>160</v>
      </c>
      <c r="E49" s="55">
        <v>370000</v>
      </c>
      <c r="F49" s="56">
        <v>913.34500000000003</v>
      </c>
      <c r="G49" s="57">
        <v>913.35</v>
      </c>
      <c r="H49" s="68">
        <v>8.0933358568436465E-3</v>
      </c>
      <c r="I49" s="2">
        <v>8.0999999999999996E-3</v>
      </c>
    </row>
    <row r="50" spans="1:9" ht="12.95" customHeight="1">
      <c r="A50" s="27"/>
      <c r="B50" s="67" t="s">
        <v>281</v>
      </c>
      <c r="C50" s="11" t="s">
        <v>282</v>
      </c>
      <c r="D50" s="11" t="s">
        <v>283</v>
      </c>
      <c r="E50" s="55">
        <v>211000</v>
      </c>
      <c r="F50" s="56">
        <v>825.1155</v>
      </c>
      <c r="G50" s="57">
        <v>825.12</v>
      </c>
      <c r="H50" s="68">
        <v>7.3115163078436678E-3</v>
      </c>
      <c r="I50" s="2">
        <v>7.3000000000000001E-3</v>
      </c>
    </row>
    <row r="51" spans="1:9" ht="12.95" customHeight="1">
      <c r="A51" s="27"/>
      <c r="B51" s="67" t="s">
        <v>234</v>
      </c>
      <c r="C51" s="11" t="s">
        <v>235</v>
      </c>
      <c r="D51" s="11" t="s">
        <v>85</v>
      </c>
      <c r="E51" s="55">
        <v>40629</v>
      </c>
      <c r="F51" s="56">
        <v>814.12390200000004</v>
      </c>
      <c r="G51" s="57">
        <v>814.12</v>
      </c>
      <c r="H51" s="68">
        <v>7.2141175218236962E-3</v>
      </c>
      <c r="I51" s="2">
        <v>7.1999999999999998E-3</v>
      </c>
    </row>
    <row r="52" spans="1:9" ht="12.95" customHeight="1">
      <c r="A52" s="27"/>
      <c r="B52" s="67" t="s">
        <v>135</v>
      </c>
      <c r="C52" s="11" t="s">
        <v>136</v>
      </c>
      <c r="D52" s="11" t="s">
        <v>55</v>
      </c>
      <c r="E52" s="55">
        <v>73000</v>
      </c>
      <c r="F52" s="56">
        <v>800.44500000000005</v>
      </c>
      <c r="G52" s="57">
        <v>800.45</v>
      </c>
      <c r="H52" s="68">
        <v>7.0929059883518423E-3</v>
      </c>
      <c r="I52" s="2">
        <v>7.1000000000000004E-3</v>
      </c>
    </row>
    <row r="53" spans="1:9" ht="12.95" customHeight="1">
      <c r="A53" s="27"/>
      <c r="B53" s="67" t="s">
        <v>118</v>
      </c>
      <c r="C53" s="11" t="s">
        <v>119</v>
      </c>
      <c r="D53" s="11" t="s">
        <v>66</v>
      </c>
      <c r="E53" s="55">
        <v>492854</v>
      </c>
      <c r="F53" s="56">
        <v>794.48064799999997</v>
      </c>
      <c r="G53" s="57">
        <v>794.48</v>
      </c>
      <c r="H53" s="68">
        <v>7.0400546518859537E-3</v>
      </c>
      <c r="I53" s="2">
        <v>7.0000000000000001E-3</v>
      </c>
    </row>
    <row r="54" spans="1:9" ht="12.95" customHeight="1">
      <c r="A54" s="27"/>
      <c r="B54" s="67" t="s">
        <v>167</v>
      </c>
      <c r="C54" s="11" t="s">
        <v>168</v>
      </c>
      <c r="D54" s="11" t="s">
        <v>77</v>
      </c>
      <c r="E54" s="55">
        <v>129600</v>
      </c>
      <c r="F54" s="56">
        <v>718.50239999999997</v>
      </c>
      <c r="G54" s="57">
        <v>718.5</v>
      </c>
      <c r="H54" s="68">
        <v>6.3667959392652469E-3</v>
      </c>
      <c r="I54" s="2">
        <v>6.4000000000000003E-3</v>
      </c>
    </row>
    <row r="55" spans="1:9" ht="12.95" customHeight="1">
      <c r="A55" s="27"/>
      <c r="B55" s="67" t="s">
        <v>139</v>
      </c>
      <c r="C55" s="11" t="s">
        <v>140</v>
      </c>
      <c r="D55" s="11" t="s">
        <v>90</v>
      </c>
      <c r="E55" s="55">
        <v>541102</v>
      </c>
      <c r="F55" s="56">
        <v>618.20903499999997</v>
      </c>
      <c r="G55" s="57">
        <v>618.21</v>
      </c>
      <c r="H55" s="68">
        <v>5.4780760282151977E-3</v>
      </c>
      <c r="I55" s="2">
        <v>5.4999999999999997E-3</v>
      </c>
    </row>
    <row r="56" spans="1:9" ht="12.95" customHeight="1">
      <c r="A56" s="27"/>
      <c r="B56" s="67" t="s">
        <v>120</v>
      </c>
      <c r="C56" s="11" t="s">
        <v>121</v>
      </c>
      <c r="D56" s="11" t="s">
        <v>66</v>
      </c>
      <c r="E56" s="55">
        <v>55000</v>
      </c>
      <c r="F56" s="56">
        <v>559.57000000000005</v>
      </c>
      <c r="G56" s="57">
        <v>559.57000000000005</v>
      </c>
      <c r="H56" s="68">
        <v>4.9584636094947687E-3</v>
      </c>
      <c r="I56" s="2">
        <v>5.0000000000000001E-3</v>
      </c>
    </row>
    <row r="57" spans="1:9" ht="12.95" customHeight="1">
      <c r="A57" s="27"/>
      <c r="B57" s="67" t="s">
        <v>164</v>
      </c>
      <c r="C57" s="11" t="s">
        <v>165</v>
      </c>
      <c r="D57" s="11" t="s">
        <v>166</v>
      </c>
      <c r="E57" s="55">
        <v>514879</v>
      </c>
      <c r="F57" s="56">
        <v>493.76896099999999</v>
      </c>
      <c r="G57" s="57">
        <v>493.77</v>
      </c>
      <c r="H57" s="68">
        <v>4.3753872162849003E-3</v>
      </c>
      <c r="I57" s="2">
        <v>4.4000000000000003E-3</v>
      </c>
    </row>
    <row r="58" spans="1:9" ht="12.95" customHeight="1">
      <c r="A58" s="27"/>
      <c r="B58" s="67" t="s">
        <v>173</v>
      </c>
      <c r="C58" s="11" t="s">
        <v>174</v>
      </c>
      <c r="D58" s="11" t="s">
        <v>175</v>
      </c>
      <c r="E58" s="55">
        <v>87287</v>
      </c>
      <c r="F58" s="56">
        <v>478.50733400000001</v>
      </c>
      <c r="G58" s="57">
        <v>478.51</v>
      </c>
      <c r="H58" s="68">
        <v>4.2401508345968489E-3</v>
      </c>
      <c r="I58" s="2">
        <v>4.1999999999999997E-3</v>
      </c>
    </row>
    <row r="59" spans="1:9" ht="12.95" customHeight="1">
      <c r="A59" s="27"/>
      <c r="B59" s="67" t="s">
        <v>161</v>
      </c>
      <c r="C59" s="11" t="s">
        <v>162</v>
      </c>
      <c r="D59" s="11" t="s">
        <v>163</v>
      </c>
      <c r="E59" s="55">
        <v>83900</v>
      </c>
      <c r="F59" s="56">
        <v>474.53840000000002</v>
      </c>
      <c r="G59" s="57">
        <v>474.54</v>
      </c>
      <c r="H59" s="68">
        <v>4.2049813029788451E-3</v>
      </c>
      <c r="I59" s="2">
        <v>4.1999999999999997E-3</v>
      </c>
    </row>
    <row r="60" spans="1:9" ht="12.95" customHeight="1">
      <c r="A60" s="27"/>
      <c r="B60" s="67" t="s">
        <v>259</v>
      </c>
      <c r="C60" s="11" t="s">
        <v>260</v>
      </c>
      <c r="D60" s="11" t="s">
        <v>184</v>
      </c>
      <c r="E60" s="55">
        <v>112096</v>
      </c>
      <c r="F60" s="56">
        <v>369.74865599999998</v>
      </c>
      <c r="G60" s="57">
        <v>369.75</v>
      </c>
      <c r="H60" s="68">
        <v>3.2764180628618396E-3</v>
      </c>
      <c r="I60" s="2">
        <v>3.3E-3</v>
      </c>
    </row>
    <row r="61" spans="1:9" ht="12.95" customHeight="1">
      <c r="A61" s="27"/>
      <c r="B61" s="67" t="s">
        <v>180</v>
      </c>
      <c r="C61" s="11" t="s">
        <v>181</v>
      </c>
      <c r="D61" s="11" t="s">
        <v>50</v>
      </c>
      <c r="E61" s="55">
        <v>203818</v>
      </c>
      <c r="F61" s="56">
        <v>304.70791000000003</v>
      </c>
      <c r="G61" s="57">
        <v>304.70999999999998</v>
      </c>
      <c r="H61" s="68">
        <v>2.7000787805997592E-3</v>
      </c>
      <c r="I61" s="2">
        <v>2.7000000000000001E-3</v>
      </c>
    </row>
    <row r="62" spans="1:9" ht="12.95" customHeight="1">
      <c r="A62" s="27"/>
      <c r="B62" s="67" t="s">
        <v>141</v>
      </c>
      <c r="C62" s="11" t="s">
        <v>142</v>
      </c>
      <c r="D62" s="11" t="s">
        <v>85</v>
      </c>
      <c r="E62" s="55">
        <v>58670</v>
      </c>
      <c r="F62" s="56">
        <v>291.41388999999998</v>
      </c>
      <c r="G62" s="57">
        <v>291.41000000000003</v>
      </c>
      <c r="H62" s="68">
        <v>2.582277764830694E-3</v>
      </c>
      <c r="I62" s="2">
        <v>2.5999999999999999E-3</v>
      </c>
    </row>
    <row r="63" spans="1:9" ht="12.95" customHeight="1">
      <c r="A63" s="27"/>
      <c r="B63" s="67" t="s">
        <v>185</v>
      </c>
      <c r="C63" s="11" t="s">
        <v>186</v>
      </c>
      <c r="D63" s="11" t="s">
        <v>134</v>
      </c>
      <c r="E63" s="55">
        <v>271</v>
      </c>
      <c r="F63" s="56">
        <v>51.209379499999997</v>
      </c>
      <c r="G63" s="57">
        <v>51.21</v>
      </c>
      <c r="H63" s="68">
        <v>4.5377672983819257E-4</v>
      </c>
      <c r="I63" s="2">
        <v>5.0000000000000001E-4</v>
      </c>
    </row>
    <row r="64" spans="1:9" ht="12.95" customHeight="1">
      <c r="A64" s="27"/>
      <c r="B64" s="67" t="s">
        <v>176</v>
      </c>
      <c r="C64" s="11" t="s">
        <v>177</v>
      </c>
      <c r="D64" s="11" t="s">
        <v>166</v>
      </c>
      <c r="E64" s="55">
        <v>3600</v>
      </c>
      <c r="F64" s="56">
        <v>13.651199999999999</v>
      </c>
      <c r="G64" s="57">
        <v>13.65</v>
      </c>
      <c r="H64" s="68">
        <v>1.2096606041413048E-4</v>
      </c>
      <c r="I64" s="2">
        <v>1E-4</v>
      </c>
    </row>
    <row r="65" spans="1:9" ht="12.95" customHeight="1">
      <c r="A65" s="27"/>
      <c r="B65" s="67" t="s">
        <v>346</v>
      </c>
      <c r="C65" s="11" t="s">
        <v>347</v>
      </c>
      <c r="D65" s="11" t="s">
        <v>45</v>
      </c>
      <c r="E65" s="55">
        <v>3500</v>
      </c>
      <c r="F65" s="56">
        <v>5.6909999999999998</v>
      </c>
      <c r="G65" s="57">
        <v>5.69</v>
      </c>
      <c r="H65" s="68">
        <v>5.0429108782877442E-5</v>
      </c>
      <c r="I65" s="2">
        <v>1E-4</v>
      </c>
    </row>
    <row r="66" spans="1:9" ht="12.95" customHeight="1">
      <c r="A66" s="27"/>
      <c r="B66" s="67" t="s">
        <v>348</v>
      </c>
      <c r="C66" s="11" t="s">
        <v>349</v>
      </c>
      <c r="D66" s="11" t="s">
        <v>72</v>
      </c>
      <c r="E66" s="55">
        <v>220</v>
      </c>
      <c r="F66" s="56">
        <v>4.03315</v>
      </c>
      <c r="G66" s="57">
        <v>4.03</v>
      </c>
      <c r="H66" s="68" t="s">
        <v>189</v>
      </c>
      <c r="I66" s="89" t="s">
        <v>189</v>
      </c>
    </row>
    <row r="67" spans="1:9" ht="12.95" customHeight="1">
      <c r="A67" s="27"/>
      <c r="B67" s="67" t="s">
        <v>187</v>
      </c>
      <c r="C67" s="11" t="s">
        <v>188</v>
      </c>
      <c r="D67" s="11" t="s">
        <v>113</v>
      </c>
      <c r="E67" s="55">
        <v>200</v>
      </c>
      <c r="F67" s="56">
        <v>0.75660000000000005</v>
      </c>
      <c r="G67" s="57">
        <v>0.76</v>
      </c>
      <c r="H67" s="68" t="s">
        <v>189</v>
      </c>
      <c r="I67" s="89" t="s">
        <v>189</v>
      </c>
    </row>
    <row r="68" spans="1:9" ht="12.95" customHeight="1">
      <c r="A68" s="25"/>
      <c r="B68" s="65" t="s">
        <v>30</v>
      </c>
      <c r="C68" s="11" t="s">
        <v>1</v>
      </c>
      <c r="D68" s="11" t="s">
        <v>1</v>
      </c>
      <c r="E68" s="11" t="s">
        <v>1</v>
      </c>
      <c r="F68" s="12">
        <v>109930.06482499999</v>
      </c>
      <c r="G68" s="58">
        <v>109930.05</v>
      </c>
      <c r="H68" s="69">
        <v>0.97411266869947177</v>
      </c>
      <c r="I68" s="43">
        <v>0.97419999999999995</v>
      </c>
    </row>
    <row r="69" spans="1:9" ht="12.95" customHeight="1">
      <c r="A69" s="25"/>
      <c r="B69" s="65"/>
      <c r="C69" s="11"/>
      <c r="D69" s="11"/>
      <c r="E69" s="11"/>
      <c r="F69" s="12"/>
      <c r="G69" s="58"/>
      <c r="H69" s="69"/>
      <c r="I69" s="43"/>
    </row>
    <row r="70" spans="1:9" ht="12.95" customHeight="1">
      <c r="A70" s="25"/>
      <c r="B70" s="65" t="s">
        <v>192</v>
      </c>
      <c r="C70" s="11" t="s">
        <v>1</v>
      </c>
      <c r="D70" s="11" t="s">
        <v>1</v>
      </c>
      <c r="E70" s="11" t="s">
        <v>1</v>
      </c>
      <c r="F70" s="12" t="s">
        <v>193</v>
      </c>
      <c r="G70" s="86" t="s">
        <v>193</v>
      </c>
      <c r="H70" s="69" t="s">
        <v>193</v>
      </c>
      <c r="I70" s="90" t="s">
        <v>193</v>
      </c>
    </row>
    <row r="71" spans="1:9" ht="12.95" customHeight="1">
      <c r="A71" s="25"/>
      <c r="B71" s="65" t="s">
        <v>30</v>
      </c>
      <c r="C71" s="11" t="s">
        <v>1</v>
      </c>
      <c r="D71" s="11" t="s">
        <v>1</v>
      </c>
      <c r="E71" s="11" t="s">
        <v>1</v>
      </c>
      <c r="F71" s="12" t="s">
        <v>193</v>
      </c>
      <c r="G71" s="86" t="s">
        <v>193</v>
      </c>
      <c r="H71" s="69" t="s">
        <v>193</v>
      </c>
      <c r="I71" s="90" t="s">
        <v>193</v>
      </c>
    </row>
    <row r="72" spans="1:9" ht="12.95" customHeight="1">
      <c r="A72" s="25"/>
      <c r="B72" s="65" t="s">
        <v>31</v>
      </c>
      <c r="C72" s="11" t="s">
        <v>1</v>
      </c>
      <c r="D72" s="11" t="s">
        <v>1</v>
      </c>
      <c r="E72" s="11" t="s">
        <v>1</v>
      </c>
      <c r="F72" s="12">
        <v>109930.06482499999</v>
      </c>
      <c r="G72" s="58">
        <v>109930.05</v>
      </c>
      <c r="H72" s="69">
        <v>0.97411266869947177</v>
      </c>
      <c r="I72" s="43">
        <v>0.97419999999999995</v>
      </c>
    </row>
    <row r="73" spans="1:9" ht="12.95" customHeight="1">
      <c r="A73" s="25"/>
      <c r="B73" s="65"/>
      <c r="C73" s="11"/>
      <c r="D73" s="11"/>
      <c r="E73" s="11"/>
      <c r="F73" s="12"/>
      <c r="G73" s="58"/>
      <c r="H73" s="69"/>
      <c r="I73" s="45"/>
    </row>
    <row r="74" spans="1:9" ht="12.95" customHeight="1">
      <c r="A74" s="25"/>
      <c r="B74" s="9" t="s">
        <v>365</v>
      </c>
      <c r="C74" s="10"/>
      <c r="D74" s="11"/>
      <c r="E74" s="11"/>
      <c r="F74" s="12"/>
      <c r="G74" s="12"/>
      <c r="H74" s="69"/>
      <c r="I74" s="22"/>
    </row>
    <row r="75" spans="1:9" ht="12.95" customHeight="1">
      <c r="A75" s="27"/>
      <c r="B75" s="13" t="s">
        <v>369</v>
      </c>
      <c r="C75" s="10"/>
      <c r="D75" s="11"/>
      <c r="E75" s="159" t="s">
        <v>193</v>
      </c>
      <c r="F75" s="160" t="s">
        <v>193</v>
      </c>
      <c r="G75" s="159" t="s">
        <v>193</v>
      </c>
      <c r="H75" s="160" t="s">
        <v>193</v>
      </c>
      <c r="I75" s="23" t="s">
        <v>193</v>
      </c>
    </row>
    <row r="76" spans="1:9" ht="12.95" customHeight="1">
      <c r="A76" s="25"/>
      <c r="B76" s="16" t="s">
        <v>367</v>
      </c>
      <c r="C76" s="10"/>
      <c r="D76" s="11"/>
      <c r="E76" s="159" t="s">
        <v>193</v>
      </c>
      <c r="F76" s="160" t="s">
        <v>193</v>
      </c>
      <c r="G76" s="159" t="s">
        <v>193</v>
      </c>
      <c r="H76" s="160" t="s">
        <v>193</v>
      </c>
      <c r="I76" s="23" t="s">
        <v>193</v>
      </c>
    </row>
    <row r="77" spans="1:9" ht="12.95" customHeight="1">
      <c r="A77" s="25"/>
      <c r="B77" s="16" t="s">
        <v>368</v>
      </c>
      <c r="C77" s="10"/>
      <c r="D77" s="11"/>
      <c r="E77" s="159" t="s">
        <v>193</v>
      </c>
      <c r="F77" s="160" t="s">
        <v>193</v>
      </c>
      <c r="G77" s="159" t="s">
        <v>193</v>
      </c>
      <c r="H77" s="160" t="s">
        <v>193</v>
      </c>
      <c r="I77" s="91" t="s">
        <v>193</v>
      </c>
    </row>
    <row r="78" spans="1:9" ht="12.95" customHeight="1">
      <c r="A78" s="25"/>
      <c r="B78" s="65"/>
      <c r="C78" s="10"/>
      <c r="D78" s="11"/>
      <c r="E78" s="11"/>
      <c r="F78" s="12"/>
      <c r="G78" s="12"/>
      <c r="H78" s="69"/>
      <c r="I78" s="92"/>
    </row>
    <row r="79" spans="1:9" ht="12.95" customHeight="1">
      <c r="A79" s="25"/>
      <c r="B79" s="65" t="s">
        <v>32</v>
      </c>
      <c r="C79" s="11" t="s">
        <v>1</v>
      </c>
      <c r="D79" s="11" t="s">
        <v>1</v>
      </c>
      <c r="E79" s="11" t="s">
        <v>1</v>
      </c>
      <c r="F79" s="53" t="s">
        <v>1</v>
      </c>
      <c r="G79" s="54"/>
      <c r="H79" s="66" t="s">
        <v>1</v>
      </c>
      <c r="I79" s="42" t="s">
        <v>1</v>
      </c>
    </row>
    <row r="80" spans="1:9" ht="12.95" customHeight="1">
      <c r="A80" s="27"/>
      <c r="B80" s="67" t="s">
        <v>33</v>
      </c>
      <c r="C80" s="11" t="s">
        <v>1</v>
      </c>
      <c r="D80" s="11" t="s">
        <v>34</v>
      </c>
      <c r="E80" s="55"/>
      <c r="F80" s="56">
        <v>1822.8548499999999</v>
      </c>
      <c r="G80" s="57">
        <v>1822.85</v>
      </c>
      <c r="H80" s="68">
        <v>1.6152687669310446E-2</v>
      </c>
      <c r="I80" s="2">
        <v>1.6199999999999999E-2</v>
      </c>
    </row>
    <row r="81" spans="1:9" ht="12.95" customHeight="1">
      <c r="A81" s="25"/>
      <c r="B81" s="65" t="s">
        <v>30</v>
      </c>
      <c r="C81" s="11" t="s">
        <v>1</v>
      </c>
      <c r="D81" s="11" t="s">
        <v>1</v>
      </c>
      <c r="E81" s="11" t="s">
        <v>1</v>
      </c>
      <c r="F81" s="12">
        <v>1822.8548499999999</v>
      </c>
      <c r="G81" s="58">
        <v>1822.85</v>
      </c>
      <c r="H81" s="69">
        <v>1.6152687669310446E-2</v>
      </c>
      <c r="I81" s="43">
        <v>1.6199999999999999E-2</v>
      </c>
    </row>
    <row r="82" spans="1:9" ht="12.95" customHeight="1">
      <c r="A82" s="25"/>
      <c r="B82" s="65"/>
      <c r="C82" s="11"/>
      <c r="D82" s="11"/>
      <c r="E82" s="11"/>
      <c r="F82" s="12"/>
      <c r="G82" s="58"/>
      <c r="H82" s="69"/>
      <c r="I82" s="43"/>
    </row>
    <row r="83" spans="1:9" ht="12.95" customHeight="1">
      <c r="A83" s="25"/>
      <c r="B83" s="65" t="s">
        <v>35</v>
      </c>
      <c r="C83" s="11" t="s">
        <v>1</v>
      </c>
      <c r="D83" s="11" t="s">
        <v>1</v>
      </c>
      <c r="E83" s="11" t="s">
        <v>1</v>
      </c>
      <c r="F83" s="12">
        <v>1098.5690257542001</v>
      </c>
      <c r="G83" s="58">
        <v>1098.5899999999999</v>
      </c>
      <c r="H83" s="69">
        <v>9.734643631217758E-3</v>
      </c>
      <c r="I83" s="43">
        <v>9.5999999999999992E-3</v>
      </c>
    </row>
    <row r="84" spans="1:9" ht="12.95" customHeight="1">
      <c r="A84" s="25"/>
      <c r="B84" s="65" t="s">
        <v>30</v>
      </c>
      <c r="C84" s="11"/>
      <c r="D84" s="11"/>
      <c r="E84" s="11"/>
      <c r="F84" s="12">
        <v>1098.5690257542001</v>
      </c>
      <c r="G84" s="58">
        <v>1098.5899999999999</v>
      </c>
      <c r="H84" s="69">
        <v>9.734643631217758E-3</v>
      </c>
      <c r="I84" s="45"/>
    </row>
    <row r="85" spans="1:9" ht="12.95" customHeight="1" thickBot="1">
      <c r="A85" s="25"/>
      <c r="B85" s="132" t="s">
        <v>31</v>
      </c>
      <c r="C85" s="17"/>
      <c r="D85" s="17"/>
      <c r="E85" s="17"/>
      <c r="F85" s="18">
        <f>F81+F84</f>
        <v>2921.4238757541998</v>
      </c>
      <c r="G85" s="18">
        <f t="shared" ref="G85:H85" si="0">G81+G84</f>
        <v>2921.4399999999996</v>
      </c>
      <c r="H85" s="133">
        <f t="shared" si="0"/>
        <v>2.5887331300528206E-2</v>
      </c>
      <c r="I85" s="45"/>
    </row>
    <row r="86" spans="1:9" ht="12.95" customHeight="1" thickBot="1">
      <c r="A86" s="25"/>
      <c r="B86" s="134" t="s">
        <v>36</v>
      </c>
      <c r="C86" s="135" t="s">
        <v>1</v>
      </c>
      <c r="D86" s="135" t="s">
        <v>1</v>
      </c>
      <c r="E86" s="135" t="s">
        <v>1</v>
      </c>
      <c r="F86" s="136">
        <v>112851.4887007542</v>
      </c>
      <c r="G86" s="137">
        <v>112851.49</v>
      </c>
      <c r="H86" s="138">
        <v>1</v>
      </c>
      <c r="I86" s="46">
        <v>1</v>
      </c>
    </row>
    <row r="87" spans="1:9" s="28" customFormat="1" ht="12.95" customHeight="1">
      <c r="A87" s="25"/>
      <c r="B87" s="26" t="s">
        <v>1</v>
      </c>
      <c r="C87" s="25"/>
      <c r="D87" s="25"/>
      <c r="E87" s="25"/>
      <c r="F87" s="30"/>
      <c r="G87" s="25"/>
      <c r="H87" s="31"/>
      <c r="I87" s="25"/>
    </row>
    <row r="88" spans="1:9" s="28" customFormat="1" ht="12.95" customHeight="1">
      <c r="A88" s="25"/>
      <c r="B88" s="26"/>
      <c r="C88" s="25"/>
      <c r="D88" s="25"/>
      <c r="E88" s="25"/>
      <c r="F88" s="30"/>
      <c r="G88" s="25"/>
      <c r="H88" s="31"/>
      <c r="I88" s="25"/>
    </row>
    <row r="89" spans="1:9" s="28" customFormat="1" ht="12.95" customHeight="1">
      <c r="A89" s="25"/>
      <c r="B89" s="32" t="s">
        <v>37</v>
      </c>
      <c r="C89" s="25"/>
      <c r="D89" s="25"/>
      <c r="E89" s="25"/>
      <c r="F89" s="30"/>
      <c r="G89" s="25"/>
      <c r="H89" s="31"/>
      <c r="I89" s="25"/>
    </row>
    <row r="90" spans="1:9" s="28" customFormat="1" ht="12.95" customHeight="1">
      <c r="A90" s="25"/>
      <c r="B90" s="32" t="s">
        <v>38</v>
      </c>
      <c r="C90" s="25"/>
      <c r="D90" s="25"/>
      <c r="E90" s="25"/>
      <c r="F90" s="30"/>
      <c r="G90" s="25"/>
      <c r="H90" s="31"/>
      <c r="I90" s="25"/>
    </row>
    <row r="91" spans="1:9" s="28" customFormat="1" ht="12.95" customHeight="1">
      <c r="A91" s="25"/>
      <c r="B91" s="32" t="s">
        <v>194</v>
      </c>
      <c r="C91" s="25"/>
      <c r="D91" s="25"/>
      <c r="E91" s="25"/>
      <c r="F91" s="30"/>
      <c r="G91" s="25"/>
      <c r="H91" s="31"/>
      <c r="I91" s="25"/>
    </row>
    <row r="92" spans="1:9" s="28" customFormat="1" ht="12.95" customHeight="1">
      <c r="A92" s="25"/>
      <c r="B92" s="32" t="s">
        <v>374</v>
      </c>
      <c r="C92" s="25"/>
      <c r="D92" s="25"/>
      <c r="E92" s="25"/>
      <c r="F92" s="30"/>
      <c r="G92" s="25"/>
      <c r="H92" s="31"/>
      <c r="I92" s="25"/>
    </row>
    <row r="93" spans="1:9" s="28" customFormat="1" ht="12.95" customHeight="1" thickBot="1">
      <c r="A93" s="25"/>
      <c r="B93" s="32" t="s">
        <v>1</v>
      </c>
      <c r="C93" s="25"/>
      <c r="D93" s="25"/>
      <c r="E93" s="25"/>
      <c r="F93" s="30"/>
      <c r="G93" s="25"/>
      <c r="H93" s="31"/>
      <c r="I93" s="25"/>
    </row>
    <row r="94" spans="1:9" s="28" customFormat="1" ht="15.75" thickBot="1">
      <c r="B94" s="149" t="s">
        <v>381</v>
      </c>
      <c r="C94" s="101">
        <v>0.57979999999999998</v>
      </c>
      <c r="F94" s="33"/>
      <c r="H94" s="34"/>
    </row>
    <row r="95" spans="1:9" s="28" customFormat="1">
      <c r="B95" s="150" t="s">
        <v>382</v>
      </c>
      <c r="C95" s="150"/>
      <c r="F95" s="33"/>
      <c r="H95" s="34"/>
    </row>
    <row r="96" spans="1:9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  <row r="793" spans="6:8" s="28" customFormat="1">
      <c r="F793" s="33"/>
      <c r="H793" s="34"/>
    </row>
    <row r="794" spans="6:8" s="28" customFormat="1">
      <c r="F794" s="33"/>
      <c r="H794" s="34"/>
    </row>
    <row r="795" spans="6:8" s="28" customFormat="1">
      <c r="F795" s="33"/>
      <c r="H795" s="34"/>
    </row>
    <row r="796" spans="6:8" s="28" customFormat="1">
      <c r="F796" s="33"/>
      <c r="H796" s="34"/>
    </row>
    <row r="797" spans="6:8" s="28" customFormat="1">
      <c r="F797" s="33"/>
      <c r="H797" s="34"/>
    </row>
    <row r="798" spans="6:8" s="28" customFormat="1">
      <c r="F798" s="33"/>
      <c r="H798" s="34"/>
    </row>
    <row r="799" spans="6:8" s="28" customFormat="1">
      <c r="F799" s="33"/>
      <c r="H799" s="34"/>
    </row>
    <row r="800" spans="6:8" s="28" customFormat="1">
      <c r="F800" s="33"/>
      <c r="H800" s="34"/>
    </row>
    <row r="801" spans="6:8" s="28" customFormat="1">
      <c r="F801" s="33"/>
      <c r="H801" s="34"/>
    </row>
    <row r="802" spans="6:8" s="28" customFormat="1">
      <c r="F802" s="33"/>
      <c r="H802" s="34"/>
    </row>
    <row r="803" spans="6:8" s="28" customFormat="1">
      <c r="F803" s="33"/>
      <c r="H803" s="34"/>
    </row>
    <row r="804" spans="6:8" s="28" customFormat="1">
      <c r="F804" s="33"/>
      <c r="H804" s="34"/>
    </row>
    <row r="805" spans="6:8" s="28" customFormat="1">
      <c r="F805" s="33"/>
      <c r="H805" s="34"/>
    </row>
    <row r="806" spans="6:8" s="28" customFormat="1">
      <c r="F806" s="33"/>
      <c r="H806" s="34"/>
    </row>
    <row r="807" spans="6:8" s="28" customFormat="1">
      <c r="F807" s="33"/>
      <c r="H807" s="34"/>
    </row>
    <row r="808" spans="6:8" s="28" customFormat="1">
      <c r="F808" s="33"/>
      <c r="H808" s="34"/>
    </row>
    <row r="809" spans="6:8" s="28" customFormat="1">
      <c r="F809" s="33"/>
      <c r="H809" s="34"/>
    </row>
    <row r="810" spans="6:8" s="28" customFormat="1">
      <c r="F810" s="33"/>
      <c r="H810" s="34"/>
    </row>
    <row r="811" spans="6:8" s="28" customFormat="1">
      <c r="F811" s="33"/>
      <c r="H811" s="34"/>
    </row>
    <row r="812" spans="6:8" s="28" customFormat="1">
      <c r="F812" s="33"/>
      <c r="H812" s="34"/>
    </row>
    <row r="813" spans="6:8" s="28" customFormat="1">
      <c r="F813" s="33"/>
      <c r="H813" s="34"/>
    </row>
    <row r="814" spans="6:8" s="28" customFormat="1">
      <c r="F814" s="33"/>
      <c r="H814" s="34"/>
    </row>
    <row r="815" spans="6:8" s="28" customFormat="1">
      <c r="F815" s="33"/>
      <c r="H815" s="34"/>
    </row>
    <row r="816" spans="6:8" s="28" customFormat="1">
      <c r="F816" s="33"/>
      <c r="H816" s="34"/>
    </row>
    <row r="817" spans="6:8" s="28" customFormat="1">
      <c r="F817" s="33"/>
      <c r="H817" s="34"/>
    </row>
    <row r="818" spans="6:8" s="28" customFormat="1">
      <c r="F818" s="33"/>
      <c r="H818" s="34"/>
    </row>
    <row r="819" spans="6:8" s="28" customFormat="1">
      <c r="F819" s="33"/>
      <c r="H819" s="34"/>
    </row>
    <row r="820" spans="6:8" s="28" customFormat="1">
      <c r="F820" s="33"/>
      <c r="H820" s="34"/>
    </row>
    <row r="821" spans="6:8" s="28" customFormat="1">
      <c r="F821" s="33"/>
      <c r="H821" s="34"/>
    </row>
    <row r="822" spans="6:8" s="28" customFormat="1">
      <c r="F822" s="33"/>
      <c r="H822" s="34"/>
    </row>
    <row r="823" spans="6:8" s="28" customFormat="1">
      <c r="F823" s="33"/>
      <c r="H823" s="34"/>
    </row>
    <row r="824" spans="6:8" s="28" customFormat="1">
      <c r="F824" s="33"/>
      <c r="H824" s="34"/>
    </row>
    <row r="825" spans="6:8" s="28" customFormat="1">
      <c r="F825" s="33"/>
      <c r="H825" s="34"/>
    </row>
    <row r="826" spans="6:8" s="28" customFormat="1">
      <c r="F826" s="33"/>
      <c r="H826" s="34"/>
    </row>
    <row r="827" spans="6:8" s="28" customFormat="1">
      <c r="F827" s="33"/>
      <c r="H827" s="34"/>
    </row>
    <row r="828" spans="6:8" s="28" customFormat="1">
      <c r="F828" s="33"/>
      <c r="H828" s="34"/>
    </row>
    <row r="829" spans="6:8" s="28" customFormat="1">
      <c r="F829" s="33"/>
      <c r="H829" s="34"/>
    </row>
    <row r="830" spans="6:8" s="28" customFormat="1">
      <c r="F830" s="33"/>
      <c r="H830" s="34"/>
    </row>
    <row r="831" spans="6:8" s="28" customFormat="1">
      <c r="F831" s="33"/>
      <c r="H831" s="34"/>
    </row>
    <row r="832" spans="6:8" s="28" customFormat="1">
      <c r="F832" s="33"/>
      <c r="H832" s="34"/>
    </row>
    <row r="833" spans="6:8" s="28" customFormat="1">
      <c r="F833" s="33"/>
      <c r="H833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95"/>
  <sheetViews>
    <sheetView zoomScaleNormal="100" workbookViewId="0">
      <selection activeCell="J40" sqref="J40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1" width="9.140625" style="28"/>
  </cols>
  <sheetData>
    <row r="1" spans="1:9" ht="15.95" customHeight="1">
      <c r="A1" s="25"/>
      <c r="B1" s="167" t="s">
        <v>350</v>
      </c>
      <c r="C1" s="168"/>
      <c r="D1" s="168"/>
      <c r="E1" s="168"/>
      <c r="F1" s="168"/>
      <c r="G1" s="168"/>
      <c r="H1" s="169"/>
      <c r="I1" s="1"/>
    </row>
    <row r="2" spans="1:9" ht="12.95" customHeight="1" thickBot="1">
      <c r="A2" s="25"/>
      <c r="B2" s="170" t="s">
        <v>385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85"/>
      <c r="C3" s="85"/>
      <c r="D3" s="85"/>
      <c r="E3" s="85"/>
      <c r="F3" s="85"/>
      <c r="G3" s="85"/>
      <c r="H3" s="8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9" t="s">
        <v>3</v>
      </c>
      <c r="C6" s="60" t="s">
        <v>4</v>
      </c>
      <c r="D6" s="61" t="s">
        <v>5</v>
      </c>
      <c r="E6" s="61" t="s">
        <v>6</v>
      </c>
      <c r="F6" s="62" t="s">
        <v>7</v>
      </c>
      <c r="G6" s="61" t="s">
        <v>8</v>
      </c>
      <c r="H6" s="63" t="s">
        <v>9</v>
      </c>
      <c r="I6" s="41" t="s">
        <v>10</v>
      </c>
    </row>
    <row r="7" spans="1:9" ht="12.95" customHeight="1">
      <c r="A7" s="25"/>
      <c r="B7" s="9" t="s">
        <v>363</v>
      </c>
      <c r="C7" s="50"/>
      <c r="D7" s="48"/>
      <c r="E7" s="48"/>
      <c r="F7" s="49"/>
      <c r="G7" s="48"/>
      <c r="H7" s="158"/>
      <c r="I7" s="19"/>
    </row>
    <row r="8" spans="1:9" ht="12.95" customHeight="1">
      <c r="A8" s="25"/>
      <c r="B8" s="13" t="s">
        <v>364</v>
      </c>
      <c r="C8" s="51"/>
      <c r="D8" s="48"/>
      <c r="E8" s="35" t="s">
        <v>193</v>
      </c>
      <c r="F8" s="35" t="s">
        <v>193</v>
      </c>
      <c r="G8" s="35" t="s">
        <v>193</v>
      </c>
      <c r="H8" s="36" t="s">
        <v>193</v>
      </c>
      <c r="I8" s="7" t="s">
        <v>193</v>
      </c>
    </row>
    <row r="9" spans="1:9" ht="12.95" customHeight="1">
      <c r="A9" s="27"/>
      <c r="B9" s="16" t="s">
        <v>192</v>
      </c>
      <c r="C9" s="52"/>
      <c r="D9" s="48"/>
      <c r="E9" s="35" t="s">
        <v>193</v>
      </c>
      <c r="F9" s="35" t="s">
        <v>193</v>
      </c>
      <c r="G9" s="35" t="s">
        <v>193</v>
      </c>
      <c r="H9" s="36" t="s">
        <v>193</v>
      </c>
      <c r="I9" s="7" t="s">
        <v>193</v>
      </c>
    </row>
    <row r="10" spans="1:9" ht="12.95" customHeight="1">
      <c r="A10" s="27"/>
      <c r="B10" s="93"/>
      <c r="C10" s="47"/>
      <c r="D10" s="48"/>
      <c r="E10" s="37"/>
      <c r="F10" s="37"/>
      <c r="G10" s="37"/>
      <c r="H10" s="152"/>
      <c r="I10" s="8"/>
    </row>
    <row r="11" spans="1:9" ht="12.95" customHeight="1">
      <c r="A11" s="27"/>
      <c r="B11" s="9" t="s">
        <v>365</v>
      </c>
      <c r="C11" s="50"/>
      <c r="D11" s="48"/>
      <c r="E11" s="37"/>
      <c r="F11" s="37"/>
      <c r="G11" s="37"/>
      <c r="H11" s="152"/>
      <c r="I11" s="8"/>
    </row>
    <row r="12" spans="1:9" ht="12.95" customHeight="1">
      <c r="A12" s="27"/>
      <c r="B12" s="13" t="s">
        <v>369</v>
      </c>
      <c r="C12" s="51"/>
      <c r="D12" s="48"/>
      <c r="E12" s="35" t="s">
        <v>193</v>
      </c>
      <c r="F12" s="35" t="s">
        <v>193</v>
      </c>
      <c r="G12" s="35" t="s">
        <v>193</v>
      </c>
      <c r="H12" s="36" t="s">
        <v>193</v>
      </c>
      <c r="I12" s="7" t="s">
        <v>193</v>
      </c>
    </row>
    <row r="13" spans="1:9" ht="12.95" customHeight="1">
      <c r="A13" s="27"/>
      <c r="B13" s="16" t="s">
        <v>367</v>
      </c>
      <c r="C13" s="52"/>
      <c r="D13" s="48"/>
      <c r="E13" s="35" t="s">
        <v>193</v>
      </c>
      <c r="F13" s="35" t="s">
        <v>193</v>
      </c>
      <c r="G13" s="35" t="s">
        <v>193</v>
      </c>
      <c r="H13" s="36" t="s">
        <v>193</v>
      </c>
      <c r="I13" s="7" t="s">
        <v>193</v>
      </c>
    </row>
    <row r="14" spans="1:9" ht="12.95" customHeight="1">
      <c r="A14" s="25"/>
      <c r="B14" s="16" t="s">
        <v>368</v>
      </c>
      <c r="C14" s="52"/>
      <c r="D14" s="48"/>
      <c r="E14" s="35" t="s">
        <v>193</v>
      </c>
      <c r="F14" s="35" t="s">
        <v>193</v>
      </c>
      <c r="G14" s="35" t="s">
        <v>193</v>
      </c>
      <c r="H14" s="36" t="s">
        <v>193</v>
      </c>
      <c r="I14" s="7" t="s">
        <v>193</v>
      </c>
    </row>
    <row r="15" spans="1:9" ht="12.95" customHeight="1">
      <c r="A15" s="25"/>
      <c r="B15" s="16"/>
      <c r="C15" s="52"/>
      <c r="D15" s="48"/>
      <c r="E15" s="35"/>
      <c r="F15" s="35"/>
      <c r="G15" s="35"/>
      <c r="H15" s="36"/>
      <c r="I15" s="151"/>
    </row>
    <row r="16" spans="1:9" ht="12.95" customHeight="1">
      <c r="A16" s="25"/>
      <c r="B16" s="65" t="s">
        <v>11</v>
      </c>
      <c r="C16" s="11" t="s">
        <v>1</v>
      </c>
      <c r="D16" s="11" t="s">
        <v>1</v>
      </c>
      <c r="E16" s="35" t="s">
        <v>193</v>
      </c>
      <c r="F16" s="35" t="s">
        <v>193</v>
      </c>
      <c r="G16" s="35" t="s">
        <v>193</v>
      </c>
      <c r="H16" s="36" t="s">
        <v>193</v>
      </c>
      <c r="I16" s="42" t="s">
        <v>1</v>
      </c>
    </row>
    <row r="17" spans="1:9" ht="12.95" customHeight="1">
      <c r="A17" s="25"/>
      <c r="B17" s="65"/>
      <c r="C17" s="11"/>
      <c r="D17" s="11"/>
      <c r="E17" s="11"/>
      <c r="F17" s="53"/>
      <c r="G17" s="54"/>
      <c r="H17" s="66"/>
      <c r="I17" s="42"/>
    </row>
    <row r="18" spans="1:9" ht="12.95" customHeight="1">
      <c r="A18" s="25"/>
      <c r="B18" s="65" t="s">
        <v>12</v>
      </c>
      <c r="C18" s="11" t="s">
        <v>1</v>
      </c>
      <c r="D18" s="11" t="s">
        <v>1</v>
      </c>
      <c r="E18" s="11" t="s">
        <v>1</v>
      </c>
      <c r="F18" s="53" t="s">
        <v>1</v>
      </c>
      <c r="G18" s="54"/>
      <c r="H18" s="66" t="s">
        <v>1</v>
      </c>
      <c r="I18" s="42" t="s">
        <v>1</v>
      </c>
    </row>
    <row r="19" spans="1:9" ht="12.95" customHeight="1">
      <c r="A19" s="27"/>
      <c r="B19" s="67" t="s">
        <v>16</v>
      </c>
      <c r="C19" s="11" t="s">
        <v>17</v>
      </c>
      <c r="D19" s="11" t="s">
        <v>15</v>
      </c>
      <c r="E19" s="55">
        <v>530000</v>
      </c>
      <c r="F19" s="56">
        <v>525.94238889999997</v>
      </c>
      <c r="G19" s="57">
        <v>525.94000000000005</v>
      </c>
      <c r="H19" s="68">
        <v>0.17103959281705328</v>
      </c>
      <c r="I19" s="2">
        <v>0.17100000000000001</v>
      </c>
    </row>
    <row r="20" spans="1:9" ht="12.95" customHeight="1">
      <c r="A20" s="27"/>
      <c r="B20" s="67" t="s">
        <v>351</v>
      </c>
      <c r="C20" s="11" t="s">
        <v>352</v>
      </c>
      <c r="D20" s="11" t="s">
        <v>353</v>
      </c>
      <c r="E20" s="55">
        <v>500000</v>
      </c>
      <c r="F20" s="56">
        <v>499.01702999999998</v>
      </c>
      <c r="G20" s="57">
        <v>499.02</v>
      </c>
      <c r="H20" s="68">
        <v>0.16228330596909463</v>
      </c>
      <c r="I20" s="2">
        <v>0.1623</v>
      </c>
    </row>
    <row r="21" spans="1:9" ht="12.95" customHeight="1">
      <c r="A21" s="27"/>
      <c r="B21" s="67" t="s">
        <v>13</v>
      </c>
      <c r="C21" s="11" t="s">
        <v>14</v>
      </c>
      <c r="D21" s="11" t="s">
        <v>15</v>
      </c>
      <c r="E21" s="55">
        <v>500000</v>
      </c>
      <c r="F21" s="56">
        <v>494.21066500000001</v>
      </c>
      <c r="G21" s="57">
        <v>494.21</v>
      </c>
      <c r="H21" s="68">
        <v>0.1607202474861123</v>
      </c>
      <c r="I21" s="2">
        <v>0.16070000000000001</v>
      </c>
    </row>
    <row r="22" spans="1:9" ht="12.95" customHeight="1">
      <c r="A22" s="27"/>
      <c r="B22" s="67" t="s">
        <v>354</v>
      </c>
      <c r="C22" s="11" t="s">
        <v>355</v>
      </c>
      <c r="D22" s="11" t="s">
        <v>353</v>
      </c>
      <c r="E22" s="55">
        <v>500000</v>
      </c>
      <c r="F22" s="56">
        <v>494.0455</v>
      </c>
      <c r="G22" s="57">
        <v>494.05</v>
      </c>
      <c r="H22" s="68">
        <v>0.16066653484582347</v>
      </c>
      <c r="I22" s="2">
        <v>0.16070000000000001</v>
      </c>
    </row>
    <row r="23" spans="1:9" ht="12.95" customHeight="1">
      <c r="A23" s="27"/>
      <c r="B23" s="67" t="s">
        <v>356</v>
      </c>
      <c r="C23" s="11" t="s">
        <v>357</v>
      </c>
      <c r="D23" s="11" t="s">
        <v>15</v>
      </c>
      <c r="E23" s="55">
        <v>500000</v>
      </c>
      <c r="F23" s="56">
        <v>475.05399999999997</v>
      </c>
      <c r="G23" s="57">
        <v>475.05</v>
      </c>
      <c r="H23" s="68">
        <v>0.15449038609732874</v>
      </c>
      <c r="I23" s="2">
        <v>0.1545</v>
      </c>
    </row>
    <row r="24" spans="1:9" ht="12.95" customHeight="1">
      <c r="A24" s="27"/>
      <c r="B24" s="67" t="s">
        <v>358</v>
      </c>
      <c r="C24" s="11" t="s">
        <v>359</v>
      </c>
      <c r="D24" s="11" t="s">
        <v>15</v>
      </c>
      <c r="E24" s="55">
        <v>350000</v>
      </c>
      <c r="F24" s="56">
        <v>335.22755000000001</v>
      </c>
      <c r="G24" s="57">
        <v>335.23</v>
      </c>
      <c r="H24" s="68">
        <v>0.10901799296492941</v>
      </c>
      <c r="I24" s="2">
        <v>0.109</v>
      </c>
    </row>
    <row r="25" spans="1:9" ht="12.95" customHeight="1">
      <c r="A25" s="27"/>
      <c r="B25" s="67" t="s">
        <v>360</v>
      </c>
      <c r="C25" s="11" t="s">
        <v>361</v>
      </c>
      <c r="D25" s="11" t="s">
        <v>15</v>
      </c>
      <c r="E25" s="55">
        <v>320000</v>
      </c>
      <c r="F25" s="56">
        <v>306.99263999999999</v>
      </c>
      <c r="G25" s="57">
        <v>306.99</v>
      </c>
      <c r="H25" s="68">
        <v>9.9835832310933598E-2</v>
      </c>
      <c r="I25" s="2">
        <v>9.98E-2</v>
      </c>
    </row>
    <row r="26" spans="1:9" ht="12.95" customHeight="1">
      <c r="A26" s="25"/>
      <c r="B26" s="65" t="s">
        <v>30</v>
      </c>
      <c r="C26" s="11" t="s">
        <v>1</v>
      </c>
      <c r="D26" s="11" t="s">
        <v>1</v>
      </c>
      <c r="E26" s="11" t="s">
        <v>1</v>
      </c>
      <c r="F26" s="12">
        <v>3130.4897738999998</v>
      </c>
      <c r="G26" s="58">
        <v>3130.49</v>
      </c>
      <c r="H26" s="69">
        <v>1.0180538924912754</v>
      </c>
      <c r="I26" s="43">
        <v>1.018</v>
      </c>
    </row>
    <row r="27" spans="1:9" ht="12.95" customHeight="1">
      <c r="A27" s="25"/>
      <c r="B27" s="65" t="s">
        <v>31</v>
      </c>
      <c r="C27" s="11" t="s">
        <v>1</v>
      </c>
      <c r="D27" s="11" t="s">
        <v>1</v>
      </c>
      <c r="E27" s="11" t="s">
        <v>1</v>
      </c>
      <c r="F27" s="12">
        <v>3130.4897738999998</v>
      </c>
      <c r="G27" s="58">
        <v>3130.49</v>
      </c>
      <c r="H27" s="69">
        <v>1.0180538924912754</v>
      </c>
      <c r="I27" s="43">
        <v>1.018</v>
      </c>
    </row>
    <row r="28" spans="1:9" ht="12.95" customHeight="1">
      <c r="A28" s="25"/>
      <c r="B28" s="65"/>
      <c r="C28" s="11"/>
      <c r="D28" s="11"/>
      <c r="E28" s="11"/>
      <c r="F28" s="12"/>
      <c r="G28" s="58"/>
      <c r="H28" s="69"/>
      <c r="I28" s="44"/>
    </row>
    <row r="29" spans="1:9" ht="12.95" customHeight="1">
      <c r="A29" s="25"/>
      <c r="B29" s="65" t="s">
        <v>32</v>
      </c>
      <c r="C29" s="11" t="s">
        <v>1</v>
      </c>
      <c r="D29" s="11" t="s">
        <v>1</v>
      </c>
      <c r="E29" s="11" t="s">
        <v>1</v>
      </c>
      <c r="F29" s="53" t="s">
        <v>1</v>
      </c>
      <c r="G29" s="54"/>
      <c r="H29" s="66" t="s">
        <v>1</v>
      </c>
      <c r="I29" s="42" t="s">
        <v>1</v>
      </c>
    </row>
    <row r="30" spans="1:9" ht="12.95" customHeight="1">
      <c r="A30" s="27"/>
      <c r="B30" s="67" t="s">
        <v>33</v>
      </c>
      <c r="C30" s="11" t="s">
        <v>1</v>
      </c>
      <c r="D30" s="11" t="s">
        <v>34</v>
      </c>
      <c r="E30" s="55"/>
      <c r="F30" s="56">
        <v>414.04640000000001</v>
      </c>
      <c r="G30" s="57">
        <v>414.05</v>
      </c>
      <c r="H30" s="68">
        <v>0.13465035174571524</v>
      </c>
      <c r="I30" s="2">
        <v>0.13469999999999999</v>
      </c>
    </row>
    <row r="31" spans="1:9" ht="12.95" customHeight="1">
      <c r="A31" s="25"/>
      <c r="B31" s="65" t="s">
        <v>30</v>
      </c>
      <c r="C31" s="11" t="s">
        <v>1</v>
      </c>
      <c r="D31" s="11" t="s">
        <v>1</v>
      </c>
      <c r="E31" s="11" t="s">
        <v>1</v>
      </c>
      <c r="F31" s="12">
        <v>414.04640000000001</v>
      </c>
      <c r="G31" s="58">
        <v>414.05</v>
      </c>
      <c r="H31" s="69">
        <v>0.13465035174571524</v>
      </c>
      <c r="I31" s="43">
        <v>0.13469999999999999</v>
      </c>
    </row>
    <row r="32" spans="1:9" ht="12.95" customHeight="1">
      <c r="A32" s="25"/>
      <c r="B32" s="65"/>
      <c r="C32" s="11"/>
      <c r="D32" s="11"/>
      <c r="E32" s="11"/>
      <c r="F32" s="12"/>
      <c r="G32" s="58"/>
      <c r="H32" s="69"/>
      <c r="I32" s="43"/>
    </row>
    <row r="33" spans="1:9" ht="12.95" customHeight="1">
      <c r="A33" s="25"/>
      <c r="B33" s="65" t="s">
        <v>35</v>
      </c>
      <c r="C33" s="11" t="s">
        <v>1</v>
      </c>
      <c r="D33" s="11" t="s">
        <v>1</v>
      </c>
      <c r="E33" s="11" t="s">
        <v>1</v>
      </c>
      <c r="F33" s="14">
        <v>-469.56165929999997</v>
      </c>
      <c r="G33" s="107">
        <v>-469.57</v>
      </c>
      <c r="H33" s="87">
        <v>-0.15270424423699067</v>
      </c>
      <c r="I33" s="43">
        <v>-0.1527</v>
      </c>
    </row>
    <row r="34" spans="1:9" ht="12.95" customHeight="1">
      <c r="A34" s="25"/>
      <c r="B34" s="65" t="s">
        <v>30</v>
      </c>
      <c r="C34" s="11"/>
      <c r="D34" s="11"/>
      <c r="E34" s="11"/>
      <c r="F34" s="12">
        <v>-469.56165929999997</v>
      </c>
      <c r="G34" s="58">
        <v>-469.57</v>
      </c>
      <c r="H34" s="69">
        <v>-0.15270424423699067</v>
      </c>
      <c r="I34" s="45"/>
    </row>
    <row r="35" spans="1:9" ht="12.95" customHeight="1" thickBot="1">
      <c r="A35" s="25"/>
      <c r="B35" s="132" t="s">
        <v>31</v>
      </c>
      <c r="C35" s="17"/>
      <c r="D35" s="17"/>
      <c r="E35" s="17"/>
      <c r="F35" s="18">
        <f>F31+F34</f>
        <v>-55.515259299999968</v>
      </c>
      <c r="G35" s="18">
        <f t="shared" ref="G35:H35" si="0">G31+G34</f>
        <v>-55.519999999999982</v>
      </c>
      <c r="H35" s="133">
        <f t="shared" si="0"/>
        <v>-1.8053892491275425E-2</v>
      </c>
      <c r="I35" s="45"/>
    </row>
    <row r="36" spans="1:9" ht="12.95" customHeight="1" thickBot="1">
      <c r="A36" s="25"/>
      <c r="B36" s="134" t="s">
        <v>36</v>
      </c>
      <c r="C36" s="135" t="s">
        <v>1</v>
      </c>
      <c r="D36" s="135" t="s">
        <v>1</v>
      </c>
      <c r="E36" s="135" t="s">
        <v>1</v>
      </c>
      <c r="F36" s="136">
        <v>3074.9745146</v>
      </c>
      <c r="G36" s="137">
        <v>3074.97</v>
      </c>
      <c r="H36" s="138">
        <v>1</v>
      </c>
      <c r="I36" s="46">
        <v>1</v>
      </c>
    </row>
    <row r="37" spans="1:9" s="28" customFormat="1" ht="12.95" customHeight="1">
      <c r="A37" s="25"/>
      <c r="B37" s="26" t="s">
        <v>1</v>
      </c>
      <c r="C37" s="25"/>
      <c r="D37" s="25"/>
      <c r="E37" s="25"/>
      <c r="F37" s="30"/>
      <c r="G37" s="25"/>
      <c r="H37" s="31"/>
      <c r="I37" s="25"/>
    </row>
    <row r="38" spans="1:9" s="28" customFormat="1" ht="12.95" customHeight="1">
      <c r="A38" s="25"/>
      <c r="B38" s="32" t="s">
        <v>34</v>
      </c>
      <c r="C38" s="25"/>
      <c r="D38" s="25"/>
      <c r="E38" s="25"/>
      <c r="F38" s="30"/>
      <c r="G38" s="25"/>
      <c r="H38" s="31"/>
      <c r="I38" s="25"/>
    </row>
    <row r="39" spans="1:9" s="28" customFormat="1" ht="12.95" customHeight="1">
      <c r="A39" s="25"/>
      <c r="B39" s="32" t="s">
        <v>37</v>
      </c>
      <c r="C39" s="25"/>
      <c r="D39" s="25"/>
      <c r="E39" s="25"/>
      <c r="F39" s="30"/>
      <c r="G39" s="25"/>
      <c r="H39" s="31"/>
      <c r="I39" s="25"/>
    </row>
    <row r="40" spans="1:9" s="28" customFormat="1" ht="12.95" customHeight="1">
      <c r="A40" s="25"/>
      <c r="B40" s="32" t="s">
        <v>38</v>
      </c>
      <c r="C40" s="25"/>
      <c r="D40" s="25"/>
      <c r="E40" s="25"/>
      <c r="F40" s="30"/>
      <c r="G40" s="25"/>
      <c r="H40" s="31"/>
      <c r="I40" s="25"/>
    </row>
    <row r="41" spans="1:9" s="28" customFormat="1" ht="12.95" customHeight="1" thickBot="1">
      <c r="A41" s="25"/>
      <c r="B41" s="32" t="s">
        <v>1</v>
      </c>
      <c r="C41" s="25"/>
      <c r="D41" s="25"/>
      <c r="E41" s="25"/>
      <c r="F41" s="30"/>
      <c r="G41" s="25"/>
      <c r="H41" s="31"/>
      <c r="I41" s="25"/>
    </row>
    <row r="42" spans="1:9" s="28" customFormat="1" ht="12.95" customHeight="1" thickBot="1">
      <c r="A42" s="25"/>
      <c r="B42" s="39" t="s">
        <v>379</v>
      </c>
      <c r="C42" s="40" t="s">
        <v>387</v>
      </c>
      <c r="D42" s="25"/>
      <c r="E42" s="25"/>
      <c r="F42" s="30"/>
      <c r="G42" s="25"/>
      <c r="H42" s="31"/>
      <c r="I42" s="25"/>
    </row>
    <row r="43" spans="1:9" s="28" customFormat="1">
      <c r="F43" s="33"/>
      <c r="H43" s="34"/>
    </row>
    <row r="44" spans="1:9" s="28" customFormat="1">
      <c r="F44" s="33"/>
      <c r="H44" s="34"/>
    </row>
    <row r="45" spans="1:9" s="28" customFormat="1">
      <c r="F45" s="33"/>
      <c r="H45" s="34"/>
    </row>
    <row r="46" spans="1:9" s="28" customFormat="1">
      <c r="F46" s="33"/>
      <c r="H46" s="34"/>
    </row>
    <row r="47" spans="1:9" s="28" customFormat="1">
      <c r="F47" s="33"/>
      <c r="H47" s="34"/>
    </row>
    <row r="48" spans="1:9" s="28" customFormat="1">
      <c r="F48" s="33"/>
      <c r="H48" s="34"/>
    </row>
    <row r="49" spans="6:8" s="28" customFormat="1">
      <c r="F49" s="33"/>
      <c r="H49" s="34"/>
    </row>
    <row r="50" spans="6:8" s="28" customFormat="1">
      <c r="F50" s="33"/>
      <c r="H50" s="34"/>
    </row>
    <row r="51" spans="6:8" s="28" customFormat="1">
      <c r="F51" s="33"/>
      <c r="H51" s="34"/>
    </row>
    <row r="52" spans="6:8" s="28" customFormat="1">
      <c r="F52" s="33"/>
      <c r="H52" s="34"/>
    </row>
    <row r="53" spans="6:8" s="28" customFormat="1">
      <c r="F53" s="33"/>
      <c r="H53" s="34"/>
    </row>
    <row r="54" spans="6:8" s="28" customFormat="1">
      <c r="F54" s="33"/>
      <c r="H54" s="34"/>
    </row>
    <row r="55" spans="6:8" s="28" customFormat="1">
      <c r="F55" s="33"/>
      <c r="H55" s="34"/>
    </row>
    <row r="56" spans="6:8" s="28" customFormat="1">
      <c r="F56" s="33"/>
      <c r="H56" s="34"/>
    </row>
    <row r="57" spans="6:8" s="28" customFormat="1">
      <c r="F57" s="33"/>
      <c r="H57" s="34"/>
    </row>
    <row r="58" spans="6:8" s="28" customFormat="1">
      <c r="F58" s="33"/>
      <c r="H58" s="34"/>
    </row>
    <row r="59" spans="6:8" s="28" customFormat="1">
      <c r="F59" s="33"/>
      <c r="H59" s="34"/>
    </row>
    <row r="60" spans="6:8" s="28" customFormat="1">
      <c r="F60" s="33"/>
      <c r="H60" s="34"/>
    </row>
    <row r="61" spans="6:8" s="28" customFormat="1">
      <c r="F61" s="33"/>
      <c r="H61" s="34"/>
    </row>
    <row r="62" spans="6:8" s="28" customFormat="1">
      <c r="F62" s="33"/>
      <c r="H62" s="34"/>
    </row>
    <row r="63" spans="6:8" s="28" customFormat="1">
      <c r="F63" s="33"/>
      <c r="H63" s="34"/>
    </row>
    <row r="64" spans="6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  <row r="793" spans="6:8" s="28" customFormat="1">
      <c r="F793" s="33"/>
      <c r="H793" s="34"/>
    </row>
    <row r="794" spans="6:8" s="28" customFormat="1">
      <c r="F794" s="33"/>
      <c r="H794" s="34"/>
    </row>
    <row r="795" spans="6:8" s="28" customFormat="1">
      <c r="F795" s="33"/>
      <c r="H795" s="34"/>
    </row>
    <row r="796" spans="6:8" s="28" customFormat="1">
      <c r="F796" s="33"/>
      <c r="H796" s="34"/>
    </row>
    <row r="797" spans="6:8" s="28" customFormat="1">
      <c r="F797" s="33"/>
      <c r="H797" s="34"/>
    </row>
    <row r="798" spans="6:8" s="28" customFormat="1">
      <c r="F798" s="33"/>
      <c r="H798" s="34"/>
    </row>
    <row r="799" spans="6:8" s="28" customFormat="1">
      <c r="F799" s="33"/>
      <c r="H799" s="34"/>
    </row>
    <row r="800" spans="6:8" s="28" customFormat="1">
      <c r="F800" s="33"/>
      <c r="H800" s="34"/>
    </row>
    <row r="801" spans="6:8" s="28" customFormat="1">
      <c r="F801" s="33"/>
      <c r="H801" s="34"/>
    </row>
    <row r="802" spans="6:8" s="28" customFormat="1">
      <c r="F802" s="33"/>
      <c r="H802" s="34"/>
    </row>
    <row r="803" spans="6:8" s="28" customFormat="1">
      <c r="F803" s="33"/>
      <c r="H803" s="34"/>
    </row>
    <row r="804" spans="6:8" s="28" customFormat="1">
      <c r="F804" s="33"/>
      <c r="H804" s="34"/>
    </row>
    <row r="805" spans="6:8" s="28" customFormat="1">
      <c r="F805" s="33"/>
      <c r="H805" s="34"/>
    </row>
    <row r="806" spans="6:8" s="28" customFormat="1">
      <c r="F806" s="33"/>
      <c r="H806" s="34"/>
    </row>
    <row r="807" spans="6:8" s="28" customFormat="1">
      <c r="F807" s="33"/>
      <c r="H807" s="34"/>
    </row>
    <row r="808" spans="6:8" s="28" customFormat="1">
      <c r="F808" s="33"/>
      <c r="H808" s="34"/>
    </row>
    <row r="809" spans="6:8" s="28" customFormat="1">
      <c r="F809" s="33"/>
      <c r="H809" s="34"/>
    </row>
    <row r="810" spans="6:8" s="28" customFormat="1">
      <c r="F810" s="33"/>
      <c r="H810" s="34"/>
    </row>
    <row r="811" spans="6:8" s="28" customFormat="1">
      <c r="F811" s="33"/>
      <c r="H811" s="34"/>
    </row>
    <row r="812" spans="6:8" s="28" customFormat="1">
      <c r="F812" s="33"/>
      <c r="H812" s="34"/>
    </row>
    <row r="813" spans="6:8" s="28" customFormat="1">
      <c r="F813" s="33"/>
      <c r="H813" s="34"/>
    </row>
    <row r="814" spans="6:8" s="28" customFormat="1">
      <c r="F814" s="33"/>
      <c r="H814" s="34"/>
    </row>
    <row r="815" spans="6:8" s="28" customFormat="1">
      <c r="F815" s="33"/>
      <c r="H815" s="34"/>
    </row>
    <row r="816" spans="6:8" s="28" customFormat="1">
      <c r="F816" s="33"/>
      <c r="H816" s="34"/>
    </row>
    <row r="817" spans="6:8" s="28" customFormat="1">
      <c r="F817" s="33"/>
      <c r="H817" s="34"/>
    </row>
    <row r="818" spans="6:8" s="28" customFormat="1">
      <c r="F818" s="33"/>
      <c r="H818" s="34"/>
    </row>
    <row r="819" spans="6:8" s="28" customFormat="1">
      <c r="F819" s="33"/>
      <c r="H819" s="34"/>
    </row>
    <row r="820" spans="6:8" s="28" customFormat="1">
      <c r="F820" s="33"/>
      <c r="H820" s="34"/>
    </row>
    <row r="821" spans="6:8" s="28" customFormat="1">
      <c r="F821" s="33"/>
      <c r="H821" s="34"/>
    </row>
    <row r="822" spans="6:8" s="28" customFormat="1">
      <c r="F822" s="33"/>
      <c r="H822" s="34"/>
    </row>
    <row r="823" spans="6:8" s="28" customFormat="1">
      <c r="F823" s="33"/>
      <c r="H823" s="34"/>
    </row>
    <row r="824" spans="6:8" s="28" customFormat="1">
      <c r="F824" s="33"/>
      <c r="H824" s="34"/>
    </row>
    <row r="825" spans="6:8" s="28" customFormat="1">
      <c r="F825" s="33"/>
      <c r="H825" s="34"/>
    </row>
    <row r="826" spans="6:8" s="28" customFormat="1">
      <c r="F826" s="33"/>
      <c r="H826" s="34"/>
    </row>
    <row r="827" spans="6:8" s="28" customFormat="1">
      <c r="F827" s="33"/>
      <c r="H827" s="34"/>
    </row>
    <row r="828" spans="6:8" s="28" customFormat="1">
      <c r="F828" s="33"/>
      <c r="H828" s="34"/>
    </row>
    <row r="829" spans="6:8" s="28" customFormat="1">
      <c r="F829" s="33"/>
      <c r="H829" s="34"/>
    </row>
    <row r="830" spans="6:8" s="28" customFormat="1">
      <c r="F830" s="33"/>
      <c r="H830" s="34"/>
    </row>
    <row r="831" spans="6:8" s="28" customFormat="1">
      <c r="F831" s="33"/>
      <c r="H831" s="34"/>
    </row>
    <row r="832" spans="6:8" s="28" customFormat="1">
      <c r="F832" s="33"/>
      <c r="H832" s="34"/>
    </row>
    <row r="833" spans="6:8" s="28" customFormat="1">
      <c r="F833" s="33"/>
      <c r="H833" s="34"/>
    </row>
    <row r="834" spans="6:8" s="28" customFormat="1">
      <c r="F834" s="33"/>
      <c r="H834" s="34"/>
    </row>
    <row r="835" spans="6:8" s="28" customFormat="1">
      <c r="F835" s="33"/>
      <c r="H835" s="34"/>
    </row>
    <row r="836" spans="6:8" s="28" customFormat="1">
      <c r="F836" s="33"/>
      <c r="H836" s="34"/>
    </row>
    <row r="837" spans="6:8" s="28" customFormat="1">
      <c r="F837" s="33"/>
      <c r="H837" s="34"/>
    </row>
    <row r="838" spans="6:8" s="28" customFormat="1">
      <c r="F838" s="33"/>
      <c r="H838" s="34"/>
    </row>
    <row r="839" spans="6:8" s="28" customFormat="1">
      <c r="F839" s="33"/>
      <c r="H839" s="34"/>
    </row>
    <row r="840" spans="6:8" s="28" customFormat="1">
      <c r="F840" s="33"/>
      <c r="H840" s="34"/>
    </row>
    <row r="841" spans="6:8" s="28" customFormat="1">
      <c r="F841" s="33"/>
      <c r="H841" s="34"/>
    </row>
    <row r="842" spans="6:8" s="28" customFormat="1">
      <c r="F842" s="33"/>
      <c r="H842" s="34"/>
    </row>
    <row r="843" spans="6:8" s="28" customFormat="1">
      <c r="F843" s="33"/>
      <c r="H843" s="34"/>
    </row>
    <row r="844" spans="6:8" s="28" customFormat="1">
      <c r="F844" s="33"/>
      <c r="H844" s="34"/>
    </row>
    <row r="845" spans="6:8" s="28" customFormat="1">
      <c r="F845" s="33"/>
      <c r="H845" s="34"/>
    </row>
    <row r="846" spans="6:8" s="28" customFormat="1">
      <c r="F846" s="33"/>
      <c r="H846" s="34"/>
    </row>
    <row r="847" spans="6:8" s="28" customFormat="1">
      <c r="F847" s="33"/>
      <c r="H847" s="34"/>
    </row>
    <row r="848" spans="6:8" s="28" customFormat="1">
      <c r="F848" s="33"/>
      <c r="H848" s="34"/>
    </row>
    <row r="849" spans="6:8" s="28" customFormat="1">
      <c r="F849" s="33"/>
      <c r="H849" s="34"/>
    </row>
    <row r="850" spans="6:8" s="28" customFormat="1">
      <c r="F850" s="33"/>
      <c r="H850" s="34"/>
    </row>
    <row r="851" spans="6:8" s="28" customFormat="1">
      <c r="F851" s="33"/>
      <c r="H851" s="34"/>
    </row>
    <row r="852" spans="6:8" s="28" customFormat="1">
      <c r="F852" s="33"/>
      <c r="H852" s="34"/>
    </row>
    <row r="853" spans="6:8" s="28" customFormat="1">
      <c r="F853" s="33"/>
      <c r="H853" s="34"/>
    </row>
    <row r="854" spans="6:8" s="28" customFormat="1">
      <c r="F854" s="33"/>
      <c r="H854" s="34"/>
    </row>
    <row r="855" spans="6:8" s="28" customFormat="1">
      <c r="F855" s="33"/>
      <c r="H855" s="34"/>
    </row>
    <row r="856" spans="6:8" s="28" customFormat="1">
      <c r="F856" s="33"/>
      <c r="H856" s="34"/>
    </row>
    <row r="857" spans="6:8" s="28" customFormat="1">
      <c r="F857" s="33"/>
      <c r="H857" s="34"/>
    </row>
    <row r="858" spans="6:8" s="28" customFormat="1">
      <c r="F858" s="33"/>
      <c r="H858" s="34"/>
    </row>
    <row r="859" spans="6:8" s="28" customFormat="1">
      <c r="F859" s="33"/>
      <c r="H859" s="34"/>
    </row>
    <row r="860" spans="6:8" s="28" customFormat="1">
      <c r="F860" s="33"/>
      <c r="H860" s="34"/>
    </row>
    <row r="861" spans="6:8" s="28" customFormat="1">
      <c r="F861" s="33"/>
      <c r="H861" s="34"/>
    </row>
    <row r="862" spans="6:8" s="28" customFormat="1">
      <c r="F862" s="33"/>
      <c r="H862" s="34"/>
    </row>
    <row r="863" spans="6:8" s="28" customFormat="1">
      <c r="F863" s="33"/>
      <c r="H863" s="34"/>
    </row>
    <row r="864" spans="6:8" s="28" customFormat="1">
      <c r="F864" s="33"/>
      <c r="H864" s="34"/>
    </row>
    <row r="865" spans="6:8" s="28" customFormat="1">
      <c r="F865" s="33"/>
      <c r="H865" s="34"/>
    </row>
    <row r="866" spans="6:8" s="28" customFormat="1">
      <c r="F866" s="33"/>
      <c r="H866" s="34"/>
    </row>
    <row r="867" spans="6:8" s="28" customFormat="1">
      <c r="F867" s="33"/>
      <c r="H867" s="34"/>
    </row>
    <row r="868" spans="6:8" s="28" customFormat="1">
      <c r="F868" s="33"/>
      <c r="H868" s="34"/>
    </row>
    <row r="869" spans="6:8" s="28" customFormat="1">
      <c r="F869" s="33"/>
      <c r="H869" s="34"/>
    </row>
    <row r="870" spans="6:8" s="28" customFormat="1">
      <c r="F870" s="33"/>
      <c r="H870" s="34"/>
    </row>
    <row r="871" spans="6:8" s="28" customFormat="1">
      <c r="F871" s="33"/>
      <c r="H871" s="34"/>
    </row>
    <row r="872" spans="6:8" s="28" customFormat="1">
      <c r="F872" s="33"/>
      <c r="H872" s="34"/>
    </row>
    <row r="873" spans="6:8" s="28" customFormat="1">
      <c r="F873" s="33"/>
      <c r="H873" s="34"/>
    </row>
    <row r="874" spans="6:8" s="28" customFormat="1">
      <c r="F874" s="33"/>
      <c r="H874" s="34"/>
    </row>
    <row r="875" spans="6:8" s="28" customFormat="1">
      <c r="F875" s="33"/>
      <c r="H875" s="34"/>
    </row>
    <row r="876" spans="6:8" s="28" customFormat="1">
      <c r="F876" s="33"/>
      <c r="H876" s="34"/>
    </row>
    <row r="877" spans="6:8" s="28" customFormat="1">
      <c r="F877" s="33"/>
      <c r="H877" s="34"/>
    </row>
    <row r="878" spans="6:8" s="28" customFormat="1">
      <c r="F878" s="33"/>
      <c r="H878" s="34"/>
    </row>
    <row r="879" spans="6:8" s="28" customFormat="1">
      <c r="F879" s="33"/>
      <c r="H879" s="34"/>
    </row>
    <row r="880" spans="6:8" s="28" customFormat="1">
      <c r="F880" s="33"/>
      <c r="H880" s="34"/>
    </row>
    <row r="881" spans="6:8" s="28" customFormat="1">
      <c r="F881" s="33"/>
      <c r="H881" s="34"/>
    </row>
    <row r="882" spans="6:8" s="28" customFormat="1">
      <c r="F882" s="33"/>
      <c r="H882" s="34"/>
    </row>
    <row r="883" spans="6:8" s="28" customFormat="1">
      <c r="F883" s="33"/>
      <c r="H883" s="34"/>
    </row>
    <row r="884" spans="6:8" s="28" customFormat="1">
      <c r="F884" s="33"/>
      <c r="H884" s="34"/>
    </row>
    <row r="885" spans="6:8" s="28" customFormat="1">
      <c r="F885" s="33"/>
      <c r="H885" s="34"/>
    </row>
    <row r="886" spans="6:8" s="28" customFormat="1">
      <c r="F886" s="33"/>
      <c r="H886" s="34"/>
    </row>
    <row r="887" spans="6:8" s="28" customFormat="1">
      <c r="F887" s="33"/>
      <c r="H887" s="34"/>
    </row>
    <row r="888" spans="6:8" s="28" customFormat="1">
      <c r="F888" s="33"/>
      <c r="H888" s="34"/>
    </row>
    <row r="889" spans="6:8" s="28" customFormat="1">
      <c r="F889" s="33"/>
      <c r="H889" s="34"/>
    </row>
    <row r="890" spans="6:8" s="28" customFormat="1">
      <c r="F890" s="33"/>
      <c r="H890" s="34"/>
    </row>
    <row r="891" spans="6:8" s="28" customFormat="1">
      <c r="F891" s="33"/>
      <c r="H891" s="34"/>
    </row>
    <row r="892" spans="6:8" s="28" customFormat="1">
      <c r="F892" s="33"/>
      <c r="H892" s="34"/>
    </row>
    <row r="893" spans="6:8" s="28" customFormat="1">
      <c r="F893" s="33"/>
      <c r="H893" s="34"/>
    </row>
    <row r="894" spans="6:8" s="28" customFormat="1">
      <c r="F894" s="33"/>
      <c r="H894" s="34"/>
    </row>
    <row r="895" spans="6:8" s="28" customFormat="1">
      <c r="F895" s="33"/>
      <c r="H895" s="34"/>
    </row>
    <row r="896" spans="6:8" s="28" customFormat="1">
      <c r="F896" s="33"/>
      <c r="H896" s="34"/>
    </row>
    <row r="897" spans="6:8" s="28" customFormat="1">
      <c r="F897" s="33"/>
      <c r="H897" s="34"/>
    </row>
    <row r="898" spans="6:8" s="28" customFormat="1">
      <c r="F898" s="33"/>
      <c r="H898" s="34"/>
    </row>
    <row r="899" spans="6:8" s="28" customFormat="1">
      <c r="F899" s="33"/>
      <c r="H899" s="34"/>
    </row>
    <row r="900" spans="6:8" s="28" customFormat="1">
      <c r="F900" s="33"/>
      <c r="H900" s="34"/>
    </row>
    <row r="901" spans="6:8" s="28" customFormat="1">
      <c r="F901" s="33"/>
      <c r="H901" s="34"/>
    </row>
    <row r="902" spans="6:8" s="28" customFormat="1">
      <c r="F902" s="33"/>
      <c r="H902" s="34"/>
    </row>
    <row r="903" spans="6:8" s="28" customFormat="1">
      <c r="F903" s="33"/>
      <c r="H903" s="34"/>
    </row>
    <row r="904" spans="6:8" s="28" customFormat="1">
      <c r="F904" s="33"/>
      <c r="H904" s="34"/>
    </row>
    <row r="905" spans="6:8" s="28" customFormat="1">
      <c r="F905" s="33"/>
      <c r="H905" s="34"/>
    </row>
    <row r="906" spans="6:8" s="28" customFormat="1">
      <c r="F906" s="33"/>
      <c r="H906" s="34"/>
    </row>
    <row r="907" spans="6:8" s="28" customFormat="1">
      <c r="F907" s="33"/>
      <c r="H907" s="34"/>
    </row>
    <row r="908" spans="6:8" s="28" customFormat="1">
      <c r="F908" s="33"/>
      <c r="H908" s="34"/>
    </row>
    <row r="909" spans="6:8" s="28" customFormat="1">
      <c r="F909" s="33"/>
      <c r="H909" s="34"/>
    </row>
    <row r="910" spans="6:8" s="28" customFormat="1">
      <c r="F910" s="33"/>
      <c r="H910" s="34"/>
    </row>
    <row r="911" spans="6:8" s="28" customFormat="1">
      <c r="F911" s="33"/>
      <c r="H911" s="34"/>
    </row>
    <row r="912" spans="6:8" s="28" customFormat="1">
      <c r="F912" s="33"/>
      <c r="H912" s="34"/>
    </row>
    <row r="913" spans="6:8" s="28" customFormat="1">
      <c r="F913" s="33"/>
      <c r="H913" s="34"/>
    </row>
    <row r="914" spans="6:8" s="28" customFormat="1">
      <c r="F914" s="33"/>
      <c r="H914" s="34"/>
    </row>
    <row r="915" spans="6:8" s="28" customFormat="1">
      <c r="F915" s="33"/>
      <c r="H915" s="34"/>
    </row>
    <row r="916" spans="6:8" s="28" customFormat="1">
      <c r="F916" s="33"/>
      <c r="H916" s="34"/>
    </row>
    <row r="917" spans="6:8" s="28" customFormat="1">
      <c r="F917" s="33"/>
      <c r="H917" s="34"/>
    </row>
    <row r="918" spans="6:8" s="28" customFormat="1">
      <c r="F918" s="33"/>
      <c r="H918" s="34"/>
    </row>
    <row r="919" spans="6:8" s="28" customFormat="1">
      <c r="F919" s="33"/>
      <c r="H919" s="34"/>
    </row>
    <row r="920" spans="6:8" s="28" customFormat="1">
      <c r="F920" s="33"/>
      <c r="H920" s="34"/>
    </row>
    <row r="921" spans="6:8" s="28" customFormat="1">
      <c r="F921" s="33"/>
      <c r="H921" s="34"/>
    </row>
    <row r="922" spans="6:8" s="28" customFormat="1">
      <c r="F922" s="33"/>
      <c r="H922" s="34"/>
    </row>
    <row r="923" spans="6:8" s="28" customFormat="1">
      <c r="F923" s="33"/>
      <c r="H923" s="34"/>
    </row>
    <row r="924" spans="6:8" s="28" customFormat="1">
      <c r="F924" s="33"/>
      <c r="H924" s="34"/>
    </row>
    <row r="925" spans="6:8" s="28" customFormat="1">
      <c r="F925" s="33"/>
      <c r="H925" s="34"/>
    </row>
    <row r="926" spans="6:8" s="28" customFormat="1">
      <c r="F926" s="33"/>
      <c r="H926" s="34"/>
    </row>
    <row r="927" spans="6:8" s="28" customFormat="1">
      <c r="F927" s="33"/>
      <c r="H927" s="34"/>
    </row>
    <row r="928" spans="6:8" s="28" customFormat="1">
      <c r="F928" s="33"/>
      <c r="H928" s="34"/>
    </row>
    <row r="929" spans="6:8" s="28" customFormat="1">
      <c r="F929" s="33"/>
      <c r="H929" s="34"/>
    </row>
    <row r="930" spans="6:8" s="28" customFormat="1">
      <c r="F930" s="33"/>
      <c r="H930" s="34"/>
    </row>
    <row r="931" spans="6:8" s="28" customFormat="1">
      <c r="F931" s="33"/>
      <c r="H931" s="34"/>
    </row>
    <row r="932" spans="6:8" s="28" customFormat="1">
      <c r="F932" s="33"/>
      <c r="H932" s="34"/>
    </row>
    <row r="933" spans="6:8" s="28" customFormat="1">
      <c r="F933" s="33"/>
      <c r="H933" s="34"/>
    </row>
    <row r="934" spans="6:8" s="28" customFormat="1">
      <c r="F934" s="33"/>
      <c r="H934" s="34"/>
    </row>
    <row r="935" spans="6:8" s="28" customFormat="1">
      <c r="F935" s="33"/>
      <c r="H935" s="34"/>
    </row>
    <row r="936" spans="6:8" s="28" customFormat="1">
      <c r="F936" s="33"/>
      <c r="H936" s="34"/>
    </row>
    <row r="937" spans="6:8" s="28" customFormat="1">
      <c r="F937" s="33"/>
      <c r="H937" s="34"/>
    </row>
    <row r="938" spans="6:8" s="28" customFormat="1">
      <c r="F938" s="33"/>
      <c r="H938" s="34"/>
    </row>
    <row r="939" spans="6:8" s="28" customFormat="1">
      <c r="F939" s="33"/>
      <c r="H939" s="34"/>
    </row>
    <row r="940" spans="6:8" s="28" customFormat="1">
      <c r="F940" s="33"/>
      <c r="H940" s="34"/>
    </row>
    <row r="941" spans="6:8" s="28" customFormat="1">
      <c r="F941" s="33"/>
      <c r="H941" s="34"/>
    </row>
    <row r="942" spans="6:8" s="28" customFormat="1">
      <c r="F942" s="33"/>
      <c r="H942" s="34"/>
    </row>
    <row r="943" spans="6:8" s="28" customFormat="1">
      <c r="F943" s="33"/>
      <c r="H943" s="34"/>
    </row>
    <row r="944" spans="6:8" s="28" customFormat="1">
      <c r="F944" s="33"/>
      <c r="H944" s="34"/>
    </row>
    <row r="945" spans="6:8" s="28" customFormat="1">
      <c r="F945" s="33"/>
      <c r="H945" s="34"/>
    </row>
    <row r="946" spans="6:8" s="28" customFormat="1">
      <c r="F946" s="33"/>
      <c r="H946" s="34"/>
    </row>
    <row r="947" spans="6:8" s="28" customFormat="1">
      <c r="F947" s="33"/>
      <c r="H947" s="34"/>
    </row>
    <row r="948" spans="6:8" s="28" customFormat="1">
      <c r="F948" s="33"/>
      <c r="H948" s="34"/>
    </row>
    <row r="949" spans="6:8" s="28" customFormat="1">
      <c r="F949" s="33"/>
      <c r="H949" s="34"/>
    </row>
    <row r="950" spans="6:8" s="28" customFormat="1">
      <c r="F950" s="33"/>
      <c r="H950" s="34"/>
    </row>
    <row r="951" spans="6:8" s="28" customFormat="1">
      <c r="F951" s="33"/>
      <c r="H951" s="34"/>
    </row>
    <row r="952" spans="6:8" s="28" customFormat="1">
      <c r="F952" s="33"/>
      <c r="H952" s="34"/>
    </row>
    <row r="953" spans="6:8" s="28" customFormat="1">
      <c r="F953" s="33"/>
      <c r="H953" s="34"/>
    </row>
    <row r="954" spans="6:8" s="28" customFormat="1">
      <c r="F954" s="33"/>
      <c r="H954" s="34"/>
    </row>
    <row r="955" spans="6:8" s="28" customFormat="1">
      <c r="F955" s="33"/>
      <c r="H955" s="34"/>
    </row>
    <row r="956" spans="6:8" s="28" customFormat="1">
      <c r="F956" s="33"/>
      <c r="H956" s="34"/>
    </row>
    <row r="957" spans="6:8" s="28" customFormat="1">
      <c r="F957" s="33"/>
      <c r="H957" s="34"/>
    </row>
    <row r="958" spans="6:8" s="28" customFormat="1">
      <c r="F958" s="33"/>
      <c r="H958" s="34"/>
    </row>
    <row r="959" spans="6:8" s="28" customFormat="1">
      <c r="F959" s="33"/>
      <c r="H959" s="34"/>
    </row>
    <row r="960" spans="6:8" s="28" customFormat="1">
      <c r="F960" s="33"/>
      <c r="H960" s="34"/>
    </row>
    <row r="961" spans="6:8" s="28" customFormat="1">
      <c r="F961" s="33"/>
      <c r="H961" s="34"/>
    </row>
    <row r="962" spans="6:8" s="28" customFormat="1">
      <c r="F962" s="33"/>
      <c r="H962" s="34"/>
    </row>
    <row r="963" spans="6:8" s="28" customFormat="1">
      <c r="F963" s="33"/>
      <c r="H963" s="34"/>
    </row>
    <row r="964" spans="6:8" s="28" customFormat="1">
      <c r="F964" s="33"/>
      <c r="H964" s="34"/>
    </row>
    <row r="965" spans="6:8" s="28" customFormat="1">
      <c r="F965" s="33"/>
      <c r="H965" s="34"/>
    </row>
    <row r="966" spans="6:8" s="28" customFormat="1">
      <c r="F966" s="33"/>
      <c r="H966" s="34"/>
    </row>
    <row r="967" spans="6:8" s="28" customFormat="1">
      <c r="F967" s="33"/>
      <c r="H967" s="34"/>
    </row>
    <row r="968" spans="6:8" s="28" customFormat="1">
      <c r="F968" s="33"/>
      <c r="H968" s="34"/>
    </row>
    <row r="969" spans="6:8" s="28" customFormat="1">
      <c r="F969" s="33"/>
      <c r="H969" s="34"/>
    </row>
    <row r="970" spans="6:8" s="28" customFormat="1">
      <c r="F970" s="33"/>
      <c r="H970" s="34"/>
    </row>
    <row r="971" spans="6:8" s="28" customFormat="1">
      <c r="F971" s="33"/>
      <c r="H971" s="34"/>
    </row>
    <row r="972" spans="6:8" s="28" customFormat="1">
      <c r="F972" s="33"/>
      <c r="H972" s="34"/>
    </row>
    <row r="973" spans="6:8" s="28" customFormat="1">
      <c r="F973" s="33"/>
      <c r="H973" s="34"/>
    </row>
    <row r="974" spans="6:8" s="28" customFormat="1">
      <c r="F974" s="33"/>
      <c r="H974" s="34"/>
    </row>
    <row r="975" spans="6:8" s="28" customFormat="1">
      <c r="F975" s="33"/>
      <c r="H975" s="34"/>
    </row>
    <row r="976" spans="6:8" s="28" customFormat="1">
      <c r="F976" s="33"/>
      <c r="H976" s="34"/>
    </row>
    <row r="977" spans="6:8" s="28" customFormat="1">
      <c r="F977" s="33"/>
      <c r="H977" s="34"/>
    </row>
    <row r="978" spans="6:8" s="28" customFormat="1">
      <c r="F978" s="33"/>
      <c r="H978" s="34"/>
    </row>
    <row r="979" spans="6:8" s="28" customFormat="1">
      <c r="F979" s="33"/>
      <c r="H979" s="34"/>
    </row>
    <row r="980" spans="6:8" s="28" customFormat="1">
      <c r="F980" s="33"/>
      <c r="H980" s="34"/>
    </row>
    <row r="981" spans="6:8" s="28" customFormat="1">
      <c r="F981" s="33"/>
      <c r="H981" s="34"/>
    </row>
    <row r="982" spans="6:8" s="28" customFormat="1">
      <c r="F982" s="33"/>
      <c r="H982" s="34"/>
    </row>
    <row r="983" spans="6:8" s="28" customFormat="1">
      <c r="F983" s="33"/>
      <c r="H983" s="34"/>
    </row>
    <row r="984" spans="6:8" s="28" customFormat="1">
      <c r="F984" s="33"/>
      <c r="H984" s="34"/>
    </row>
    <row r="985" spans="6:8" s="28" customFormat="1">
      <c r="F985" s="33"/>
      <c r="H985" s="34"/>
    </row>
    <row r="986" spans="6:8" s="28" customFormat="1">
      <c r="F986" s="33"/>
      <c r="H986" s="34"/>
    </row>
    <row r="987" spans="6:8" s="28" customFormat="1">
      <c r="F987" s="33"/>
      <c r="H987" s="34"/>
    </row>
    <row r="988" spans="6:8" s="28" customFormat="1">
      <c r="F988" s="33"/>
      <c r="H988" s="34"/>
    </row>
    <row r="989" spans="6:8" s="28" customFormat="1">
      <c r="F989" s="33"/>
      <c r="H989" s="34"/>
    </row>
    <row r="990" spans="6:8" s="28" customFormat="1">
      <c r="F990" s="33"/>
      <c r="H990" s="34"/>
    </row>
    <row r="991" spans="6:8" s="28" customFormat="1">
      <c r="F991" s="33"/>
      <c r="H991" s="34"/>
    </row>
    <row r="992" spans="6:8" s="28" customFormat="1">
      <c r="F992" s="33"/>
      <c r="H992" s="34"/>
    </row>
    <row r="993" spans="6:8" s="28" customFormat="1">
      <c r="F993" s="33"/>
      <c r="H993" s="34"/>
    </row>
    <row r="994" spans="6:8" s="28" customFormat="1">
      <c r="F994" s="33"/>
      <c r="H994" s="34"/>
    </row>
    <row r="995" spans="6:8" s="28" customFormat="1">
      <c r="F995" s="33"/>
      <c r="H995" s="34"/>
    </row>
    <row r="996" spans="6:8" s="28" customFormat="1">
      <c r="F996" s="33"/>
      <c r="H996" s="34"/>
    </row>
    <row r="997" spans="6:8" s="28" customFormat="1">
      <c r="F997" s="33"/>
      <c r="H997" s="34"/>
    </row>
    <row r="998" spans="6:8" s="28" customFormat="1">
      <c r="F998" s="33"/>
      <c r="H998" s="34"/>
    </row>
    <row r="999" spans="6:8" s="28" customFormat="1">
      <c r="F999" s="33"/>
      <c r="H999" s="34"/>
    </row>
    <row r="1000" spans="6:8" s="28" customFormat="1">
      <c r="F1000" s="33"/>
      <c r="H1000" s="34"/>
    </row>
    <row r="1001" spans="6:8" s="28" customFormat="1">
      <c r="F1001" s="33"/>
      <c r="H1001" s="34"/>
    </row>
    <row r="1002" spans="6:8" s="28" customFormat="1">
      <c r="F1002" s="33"/>
      <c r="H1002" s="34"/>
    </row>
    <row r="1003" spans="6:8" s="28" customFormat="1">
      <c r="F1003" s="33"/>
      <c r="H1003" s="34"/>
    </row>
    <row r="1004" spans="6:8" s="28" customFormat="1">
      <c r="F1004" s="33"/>
      <c r="H1004" s="34"/>
    </row>
    <row r="1005" spans="6:8" s="28" customFormat="1">
      <c r="F1005" s="33"/>
      <c r="H1005" s="34"/>
    </row>
    <row r="1006" spans="6:8" s="28" customFormat="1">
      <c r="F1006" s="33"/>
      <c r="H1006" s="34"/>
    </row>
    <row r="1007" spans="6:8" s="28" customFormat="1">
      <c r="F1007" s="33"/>
      <c r="H1007" s="34"/>
    </row>
    <row r="1008" spans="6:8" s="28" customFormat="1">
      <c r="F1008" s="33"/>
      <c r="H1008" s="34"/>
    </row>
    <row r="1009" spans="6:8" s="28" customFormat="1">
      <c r="F1009" s="33"/>
      <c r="H1009" s="34"/>
    </row>
    <row r="1010" spans="6:8" s="28" customFormat="1">
      <c r="F1010" s="33"/>
      <c r="H1010" s="34"/>
    </row>
    <row r="1011" spans="6:8" s="28" customFormat="1">
      <c r="F1011" s="33"/>
      <c r="H1011" s="34"/>
    </row>
    <row r="1012" spans="6:8" s="28" customFormat="1">
      <c r="F1012" s="33"/>
      <c r="H1012" s="34"/>
    </row>
    <row r="1013" spans="6:8" s="28" customFormat="1">
      <c r="F1013" s="33"/>
      <c r="H1013" s="34"/>
    </row>
    <row r="1014" spans="6:8" s="28" customFormat="1">
      <c r="F1014" s="33"/>
      <c r="H1014" s="34"/>
    </row>
    <row r="1015" spans="6:8" s="28" customFormat="1">
      <c r="F1015" s="33"/>
      <c r="H1015" s="34"/>
    </row>
    <row r="1016" spans="6:8" s="28" customFormat="1">
      <c r="F1016" s="33"/>
      <c r="H1016" s="34"/>
    </row>
    <row r="1017" spans="6:8" s="28" customFormat="1">
      <c r="F1017" s="33"/>
      <c r="H1017" s="34"/>
    </row>
    <row r="1018" spans="6:8" s="28" customFormat="1">
      <c r="F1018" s="33"/>
      <c r="H1018" s="34"/>
    </row>
    <row r="1019" spans="6:8" s="28" customFormat="1">
      <c r="F1019" s="33"/>
      <c r="H1019" s="34"/>
    </row>
    <row r="1020" spans="6:8" s="28" customFormat="1">
      <c r="F1020" s="33"/>
      <c r="H1020" s="34"/>
    </row>
    <row r="1021" spans="6:8" s="28" customFormat="1">
      <c r="F1021" s="33"/>
      <c r="H1021" s="34"/>
    </row>
    <row r="1022" spans="6:8" s="28" customFormat="1">
      <c r="F1022" s="33"/>
      <c r="H1022" s="34"/>
    </row>
    <row r="1023" spans="6:8" s="28" customFormat="1">
      <c r="F1023" s="33"/>
      <c r="H1023" s="34"/>
    </row>
    <row r="1024" spans="6:8" s="28" customFormat="1">
      <c r="F1024" s="33"/>
      <c r="H1024" s="34"/>
    </row>
    <row r="1025" spans="6:8" s="28" customFormat="1">
      <c r="F1025" s="33"/>
      <c r="H1025" s="34"/>
    </row>
    <row r="1026" spans="6:8" s="28" customFormat="1">
      <c r="F1026" s="33"/>
      <c r="H1026" s="34"/>
    </row>
    <row r="1027" spans="6:8" s="28" customFormat="1">
      <c r="F1027" s="33"/>
      <c r="H1027" s="34"/>
    </row>
    <row r="1028" spans="6:8" s="28" customFormat="1">
      <c r="F1028" s="33"/>
      <c r="H1028" s="34"/>
    </row>
    <row r="1029" spans="6:8" s="28" customFormat="1">
      <c r="F1029" s="33"/>
      <c r="H1029" s="34"/>
    </row>
    <row r="1030" spans="6:8" s="28" customFormat="1">
      <c r="F1030" s="33"/>
      <c r="H1030" s="34"/>
    </row>
    <row r="1031" spans="6:8" s="28" customFormat="1">
      <c r="F1031" s="33"/>
      <c r="H1031" s="34"/>
    </row>
    <row r="1032" spans="6:8" s="28" customFormat="1">
      <c r="F1032" s="33"/>
      <c r="H1032" s="34"/>
    </row>
    <row r="1033" spans="6:8" s="28" customFormat="1">
      <c r="F1033" s="33"/>
      <c r="H1033" s="34"/>
    </row>
    <row r="1034" spans="6:8" s="28" customFormat="1">
      <c r="F1034" s="33"/>
      <c r="H1034" s="34"/>
    </row>
    <row r="1035" spans="6:8" s="28" customFormat="1">
      <c r="F1035" s="33"/>
      <c r="H1035" s="34"/>
    </row>
    <row r="1036" spans="6:8" s="28" customFormat="1">
      <c r="F1036" s="33"/>
      <c r="H1036" s="34"/>
    </row>
    <row r="1037" spans="6:8" s="28" customFormat="1">
      <c r="F1037" s="33"/>
      <c r="H1037" s="34"/>
    </row>
    <row r="1038" spans="6:8" s="28" customFormat="1">
      <c r="F1038" s="33"/>
      <c r="H1038" s="34"/>
    </row>
    <row r="1039" spans="6:8" s="28" customFormat="1">
      <c r="F1039" s="33"/>
      <c r="H1039" s="34"/>
    </row>
    <row r="1040" spans="6:8" s="28" customFormat="1">
      <c r="F1040" s="33"/>
      <c r="H1040" s="34"/>
    </row>
    <row r="1041" spans="6:8" s="28" customFormat="1">
      <c r="F1041" s="33"/>
      <c r="H1041" s="34"/>
    </row>
    <row r="1042" spans="6:8" s="28" customFormat="1">
      <c r="F1042" s="33"/>
      <c r="H1042" s="34"/>
    </row>
    <row r="1043" spans="6:8" s="28" customFormat="1">
      <c r="F1043" s="33"/>
      <c r="H1043" s="34"/>
    </row>
    <row r="1044" spans="6:8" s="28" customFormat="1">
      <c r="F1044" s="33"/>
      <c r="H1044" s="34"/>
    </row>
    <row r="1045" spans="6:8" s="28" customFormat="1">
      <c r="F1045" s="33"/>
      <c r="H1045" s="34"/>
    </row>
    <row r="1046" spans="6:8" s="28" customFormat="1">
      <c r="F1046" s="33"/>
      <c r="H1046" s="34"/>
    </row>
    <row r="1047" spans="6:8" s="28" customFormat="1">
      <c r="F1047" s="33"/>
      <c r="H1047" s="34"/>
    </row>
    <row r="1048" spans="6:8" s="28" customFormat="1">
      <c r="F1048" s="33"/>
      <c r="H1048" s="34"/>
    </row>
    <row r="1049" spans="6:8" s="28" customFormat="1">
      <c r="F1049" s="33"/>
      <c r="H1049" s="34"/>
    </row>
    <row r="1050" spans="6:8" s="28" customFormat="1">
      <c r="F1050" s="33"/>
      <c r="H1050" s="34"/>
    </row>
    <row r="1051" spans="6:8" s="28" customFormat="1">
      <c r="F1051" s="33"/>
      <c r="H1051" s="34"/>
    </row>
    <row r="1052" spans="6:8" s="28" customFormat="1">
      <c r="F1052" s="33"/>
      <c r="H1052" s="34"/>
    </row>
    <row r="1053" spans="6:8" s="28" customFormat="1">
      <c r="F1053" s="33"/>
      <c r="H1053" s="34"/>
    </row>
    <row r="1054" spans="6:8" s="28" customFormat="1">
      <c r="F1054" s="33"/>
      <c r="H1054" s="34"/>
    </row>
    <row r="1055" spans="6:8" s="28" customFormat="1">
      <c r="F1055" s="33"/>
      <c r="H1055" s="34"/>
    </row>
    <row r="1056" spans="6:8" s="28" customFormat="1">
      <c r="F1056" s="33"/>
      <c r="H1056" s="34"/>
    </row>
    <row r="1057" spans="6:8" s="28" customFormat="1">
      <c r="F1057" s="33"/>
      <c r="H1057" s="34"/>
    </row>
    <row r="1058" spans="6:8" s="28" customFormat="1">
      <c r="F1058" s="33"/>
      <c r="H1058" s="34"/>
    </row>
    <row r="1059" spans="6:8" s="28" customFormat="1">
      <c r="F1059" s="33"/>
      <c r="H1059" s="34"/>
    </row>
    <row r="1060" spans="6:8" s="28" customFormat="1">
      <c r="F1060" s="33"/>
      <c r="H1060" s="34"/>
    </row>
    <row r="1061" spans="6:8" s="28" customFormat="1">
      <c r="F1061" s="33"/>
      <c r="H1061" s="34"/>
    </row>
    <row r="1062" spans="6:8" s="28" customFormat="1">
      <c r="F1062" s="33"/>
      <c r="H1062" s="34"/>
    </row>
    <row r="1063" spans="6:8" s="28" customFormat="1">
      <c r="F1063" s="33"/>
      <c r="H1063" s="34"/>
    </row>
    <row r="1064" spans="6:8" s="28" customFormat="1">
      <c r="F1064" s="33"/>
      <c r="H1064" s="34"/>
    </row>
    <row r="1065" spans="6:8" s="28" customFormat="1">
      <c r="F1065" s="33"/>
      <c r="H1065" s="34"/>
    </row>
    <row r="1066" spans="6:8" s="28" customFormat="1">
      <c r="F1066" s="33"/>
      <c r="H1066" s="34"/>
    </row>
    <row r="1067" spans="6:8" s="28" customFormat="1">
      <c r="F1067" s="33"/>
      <c r="H1067" s="34"/>
    </row>
    <row r="1068" spans="6:8" s="28" customFormat="1">
      <c r="F1068" s="33"/>
      <c r="H1068" s="34"/>
    </row>
    <row r="1069" spans="6:8" s="28" customFormat="1">
      <c r="F1069" s="33"/>
      <c r="H1069" s="34"/>
    </row>
    <row r="1070" spans="6:8" s="28" customFormat="1">
      <c r="F1070" s="33"/>
      <c r="H1070" s="34"/>
    </row>
    <row r="1071" spans="6:8" s="28" customFormat="1">
      <c r="F1071" s="33"/>
      <c r="H1071" s="34"/>
    </row>
    <row r="1072" spans="6:8" s="28" customFormat="1">
      <c r="F1072" s="33"/>
      <c r="H1072" s="34"/>
    </row>
    <row r="1073" spans="6:8" s="28" customFormat="1">
      <c r="F1073" s="33"/>
      <c r="H1073" s="34"/>
    </row>
    <row r="1074" spans="6:8" s="28" customFormat="1">
      <c r="F1074" s="33"/>
      <c r="H1074" s="34"/>
    </row>
    <row r="1075" spans="6:8" s="28" customFormat="1">
      <c r="F1075" s="33"/>
      <c r="H1075" s="34"/>
    </row>
    <row r="1076" spans="6:8" s="28" customFormat="1">
      <c r="F1076" s="33"/>
      <c r="H1076" s="34"/>
    </row>
    <row r="1077" spans="6:8" s="28" customFormat="1">
      <c r="F1077" s="33"/>
      <c r="H1077" s="34"/>
    </row>
    <row r="1078" spans="6:8" s="28" customFormat="1">
      <c r="F1078" s="33"/>
      <c r="H1078" s="34"/>
    </row>
    <row r="1079" spans="6:8" s="28" customFormat="1">
      <c r="F1079" s="33"/>
      <c r="H1079" s="34"/>
    </row>
    <row r="1080" spans="6:8" s="28" customFormat="1">
      <c r="F1080" s="33"/>
      <c r="H1080" s="34"/>
    </row>
    <row r="1081" spans="6:8" s="28" customFormat="1">
      <c r="F1081" s="33"/>
      <c r="H1081" s="34"/>
    </row>
    <row r="1082" spans="6:8" s="28" customFormat="1">
      <c r="F1082" s="33"/>
      <c r="H1082" s="34"/>
    </row>
    <row r="1083" spans="6:8" s="28" customFormat="1">
      <c r="F1083" s="33"/>
      <c r="H1083" s="34"/>
    </row>
    <row r="1084" spans="6:8" s="28" customFormat="1">
      <c r="F1084" s="33"/>
      <c r="H1084" s="34"/>
    </row>
    <row r="1085" spans="6:8" s="28" customFormat="1">
      <c r="F1085" s="33"/>
      <c r="H1085" s="34"/>
    </row>
    <row r="1086" spans="6:8" s="28" customFormat="1">
      <c r="F1086" s="33"/>
      <c r="H1086" s="34"/>
    </row>
    <row r="1087" spans="6:8" s="28" customFormat="1">
      <c r="F1087" s="33"/>
      <c r="H1087" s="34"/>
    </row>
    <row r="1088" spans="6:8" s="28" customFormat="1">
      <c r="F1088" s="33"/>
      <c r="H1088" s="34"/>
    </row>
    <row r="1089" spans="6:8" s="28" customFormat="1">
      <c r="F1089" s="33"/>
      <c r="H1089" s="34"/>
    </row>
    <row r="1090" spans="6:8" s="28" customFormat="1">
      <c r="F1090" s="33"/>
      <c r="H1090" s="34"/>
    </row>
    <row r="1091" spans="6:8" s="28" customFormat="1">
      <c r="F1091" s="33"/>
      <c r="H1091" s="34"/>
    </row>
    <row r="1092" spans="6:8" s="28" customFormat="1">
      <c r="F1092" s="33"/>
      <c r="H1092" s="34"/>
    </row>
    <row r="1093" spans="6:8" s="28" customFormat="1">
      <c r="F1093" s="33"/>
      <c r="H1093" s="34"/>
    </row>
    <row r="1094" spans="6:8" s="28" customFormat="1">
      <c r="F1094" s="33"/>
      <c r="H1094" s="34"/>
    </row>
    <row r="1095" spans="6:8" s="28" customFormat="1">
      <c r="F1095" s="33"/>
      <c r="H1095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30"/>
  <sheetViews>
    <sheetView zoomScaleNormal="100" workbookViewId="0">
      <selection activeCell="B4" sqref="B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7" width="9.140625" style="28"/>
  </cols>
  <sheetData>
    <row r="1" spans="1:9" ht="15.95" customHeight="1">
      <c r="A1" s="25"/>
      <c r="B1" s="167" t="s">
        <v>362</v>
      </c>
      <c r="C1" s="168"/>
      <c r="D1" s="168"/>
      <c r="E1" s="168"/>
      <c r="F1" s="168"/>
      <c r="G1" s="168"/>
      <c r="H1" s="169"/>
      <c r="I1" s="1"/>
    </row>
    <row r="2" spans="1:9" ht="12.95" customHeight="1" thickBot="1">
      <c r="A2" s="25"/>
      <c r="B2" s="170" t="s">
        <v>385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85"/>
      <c r="C3" s="85"/>
      <c r="D3" s="85"/>
      <c r="E3" s="85"/>
      <c r="F3" s="85"/>
      <c r="G3" s="85"/>
      <c r="H3" s="8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80" t="s">
        <v>3</v>
      </c>
      <c r="C6" s="81" t="s">
        <v>4</v>
      </c>
      <c r="D6" s="82" t="s">
        <v>5</v>
      </c>
      <c r="E6" s="82" t="s">
        <v>6</v>
      </c>
      <c r="F6" s="83" t="s">
        <v>7</v>
      </c>
      <c r="G6" s="82" t="s">
        <v>8</v>
      </c>
      <c r="H6" s="84" t="s">
        <v>9</v>
      </c>
      <c r="I6" s="41" t="s">
        <v>10</v>
      </c>
    </row>
    <row r="7" spans="1:9" ht="12.95" customHeight="1">
      <c r="A7" s="25"/>
      <c r="B7" s="75" t="s">
        <v>363</v>
      </c>
      <c r="C7" s="76"/>
      <c r="D7" s="77"/>
      <c r="E7" s="77"/>
      <c r="F7" s="78"/>
      <c r="G7" s="77"/>
      <c r="H7" s="153"/>
      <c r="I7" s="19"/>
    </row>
    <row r="8" spans="1:9" ht="12.95" customHeight="1">
      <c r="A8" s="25"/>
      <c r="B8" s="13" t="s">
        <v>364</v>
      </c>
      <c r="C8" s="51"/>
      <c r="D8" s="48"/>
      <c r="E8" s="35" t="s">
        <v>193</v>
      </c>
      <c r="F8" s="35" t="s">
        <v>193</v>
      </c>
      <c r="G8" s="35" t="s">
        <v>193</v>
      </c>
      <c r="H8" s="36" t="s">
        <v>193</v>
      </c>
      <c r="I8" s="7" t="s">
        <v>193</v>
      </c>
    </row>
    <row r="9" spans="1:9" ht="12.95" customHeight="1">
      <c r="A9" s="27"/>
      <c r="B9" s="16" t="s">
        <v>192</v>
      </c>
      <c r="C9" s="52"/>
      <c r="D9" s="48"/>
      <c r="E9" s="35" t="s">
        <v>193</v>
      </c>
      <c r="F9" s="35" t="s">
        <v>193</v>
      </c>
      <c r="G9" s="35" t="s">
        <v>193</v>
      </c>
      <c r="H9" s="36" t="s">
        <v>193</v>
      </c>
      <c r="I9" s="7" t="s">
        <v>193</v>
      </c>
    </row>
    <row r="10" spans="1:9" ht="12.95" customHeight="1">
      <c r="A10" s="27"/>
      <c r="B10" s="93"/>
      <c r="C10" s="47"/>
      <c r="D10" s="48"/>
      <c r="E10" s="37"/>
      <c r="F10" s="37"/>
      <c r="G10" s="37"/>
      <c r="H10" s="152"/>
      <c r="I10" s="8"/>
    </row>
    <row r="11" spans="1:9" ht="12.95" customHeight="1">
      <c r="A11" s="27"/>
      <c r="B11" s="9" t="s">
        <v>365</v>
      </c>
      <c r="C11" s="50"/>
      <c r="D11" s="48"/>
      <c r="E11" s="37"/>
      <c r="F11" s="37"/>
      <c r="G11" s="37"/>
      <c r="H11" s="152"/>
      <c r="I11" s="8"/>
    </row>
    <row r="12" spans="1:9" ht="12.95" customHeight="1">
      <c r="A12" s="27"/>
      <c r="B12" s="13" t="s">
        <v>369</v>
      </c>
      <c r="C12" s="51"/>
      <c r="D12" s="48"/>
      <c r="E12" s="35" t="s">
        <v>193</v>
      </c>
      <c r="F12" s="35" t="s">
        <v>193</v>
      </c>
      <c r="G12" s="35" t="s">
        <v>193</v>
      </c>
      <c r="H12" s="36" t="s">
        <v>193</v>
      </c>
      <c r="I12" s="7" t="s">
        <v>193</v>
      </c>
    </row>
    <row r="13" spans="1:9" ht="12.95" customHeight="1">
      <c r="A13" s="27"/>
      <c r="B13" s="16" t="s">
        <v>367</v>
      </c>
      <c r="C13" s="52"/>
      <c r="D13" s="48"/>
      <c r="E13" s="35" t="s">
        <v>193</v>
      </c>
      <c r="F13" s="35" t="s">
        <v>193</v>
      </c>
      <c r="G13" s="35" t="s">
        <v>193</v>
      </c>
      <c r="H13" s="36" t="s">
        <v>193</v>
      </c>
      <c r="I13" s="7" t="s">
        <v>193</v>
      </c>
    </row>
    <row r="14" spans="1:9" ht="12.95" customHeight="1">
      <c r="A14" s="25"/>
      <c r="B14" s="16" t="s">
        <v>368</v>
      </c>
      <c r="C14" s="52"/>
      <c r="D14" s="48"/>
      <c r="E14" s="35" t="s">
        <v>193</v>
      </c>
      <c r="F14" s="35" t="s">
        <v>193</v>
      </c>
      <c r="G14" s="35" t="s">
        <v>193</v>
      </c>
      <c r="H14" s="36" t="s">
        <v>193</v>
      </c>
      <c r="I14" s="7" t="s">
        <v>193</v>
      </c>
    </row>
    <row r="15" spans="1:9" ht="12.95" customHeight="1">
      <c r="A15" s="25"/>
      <c r="B15" s="16"/>
      <c r="C15" s="52"/>
      <c r="D15" s="48"/>
      <c r="E15" s="35"/>
      <c r="F15" s="35"/>
      <c r="G15" s="35"/>
      <c r="H15" s="36"/>
      <c r="I15" s="151"/>
    </row>
    <row r="16" spans="1:9" ht="12.95" customHeight="1">
      <c r="A16" s="25"/>
      <c r="B16" s="65" t="s">
        <v>11</v>
      </c>
      <c r="C16" s="11" t="s">
        <v>1</v>
      </c>
      <c r="D16" s="11" t="s">
        <v>1</v>
      </c>
      <c r="E16" s="35" t="s">
        <v>193</v>
      </c>
      <c r="F16" s="35" t="s">
        <v>193</v>
      </c>
      <c r="G16" s="35" t="s">
        <v>193</v>
      </c>
      <c r="H16" s="36" t="s">
        <v>193</v>
      </c>
      <c r="I16" s="42" t="s">
        <v>1</v>
      </c>
    </row>
    <row r="17" spans="1:9" ht="12.95" customHeight="1">
      <c r="A17" s="25"/>
      <c r="B17" s="65"/>
      <c r="C17" s="11"/>
      <c r="D17" s="11"/>
      <c r="E17" s="11"/>
      <c r="F17" s="53"/>
      <c r="G17" s="54"/>
      <c r="H17" s="66"/>
      <c r="I17" s="42"/>
    </row>
    <row r="18" spans="1:9" ht="12.95" customHeight="1">
      <c r="A18" s="25"/>
      <c r="B18" s="65" t="s">
        <v>12</v>
      </c>
      <c r="C18" s="11" t="s">
        <v>1</v>
      </c>
      <c r="D18" s="11" t="s">
        <v>1</v>
      </c>
      <c r="E18" s="11" t="s">
        <v>1</v>
      </c>
      <c r="F18" s="53" t="s">
        <v>1</v>
      </c>
      <c r="G18" s="54"/>
      <c r="H18" s="66" t="s">
        <v>1</v>
      </c>
      <c r="I18" s="42" t="s">
        <v>1</v>
      </c>
    </row>
    <row r="19" spans="1:9" ht="12.95" customHeight="1">
      <c r="A19" s="27"/>
      <c r="B19" s="67" t="s">
        <v>360</v>
      </c>
      <c r="C19" s="11" t="s">
        <v>361</v>
      </c>
      <c r="D19" s="11" t="s">
        <v>15</v>
      </c>
      <c r="E19" s="55">
        <v>180000</v>
      </c>
      <c r="F19" s="56">
        <v>172.68335999999999</v>
      </c>
      <c r="G19" s="57">
        <v>172.68</v>
      </c>
      <c r="H19" s="68">
        <v>0.36247466208569856</v>
      </c>
      <c r="I19" s="2">
        <v>0.36249999999999999</v>
      </c>
    </row>
    <row r="20" spans="1:9" ht="12.95" customHeight="1">
      <c r="A20" s="27"/>
      <c r="B20" s="67" t="s">
        <v>358</v>
      </c>
      <c r="C20" s="11" t="s">
        <v>359</v>
      </c>
      <c r="D20" s="11" t="s">
        <v>15</v>
      </c>
      <c r="E20" s="55">
        <v>150000</v>
      </c>
      <c r="F20" s="56">
        <v>143.66895</v>
      </c>
      <c r="G20" s="57">
        <v>143.66999999999999</v>
      </c>
      <c r="H20" s="68">
        <v>0.30157135061222529</v>
      </c>
      <c r="I20" s="2">
        <v>0.30159999999999998</v>
      </c>
    </row>
    <row r="21" spans="1:9" ht="12.95" customHeight="1">
      <c r="A21" s="27"/>
      <c r="B21" s="67" t="s">
        <v>16</v>
      </c>
      <c r="C21" s="11" t="s">
        <v>17</v>
      </c>
      <c r="D21" s="11" t="s">
        <v>15</v>
      </c>
      <c r="E21" s="55">
        <v>100000</v>
      </c>
      <c r="F21" s="56">
        <v>99.234413000000004</v>
      </c>
      <c r="G21" s="57">
        <v>99.23</v>
      </c>
      <c r="H21" s="68">
        <v>0.20830009515362483</v>
      </c>
      <c r="I21" s="2">
        <v>0.20830000000000001</v>
      </c>
    </row>
    <row r="22" spans="1:9" ht="12.95" customHeight="1">
      <c r="A22" s="25"/>
      <c r="B22" s="65" t="s">
        <v>30</v>
      </c>
      <c r="C22" s="11" t="s">
        <v>1</v>
      </c>
      <c r="D22" s="11" t="s">
        <v>1</v>
      </c>
      <c r="E22" s="11" t="s">
        <v>1</v>
      </c>
      <c r="F22" s="12">
        <v>415.58672300000001</v>
      </c>
      <c r="G22" s="58">
        <v>415.58</v>
      </c>
      <c r="H22" s="69">
        <v>0.87234610785154865</v>
      </c>
      <c r="I22" s="43">
        <v>0.87239999999999995</v>
      </c>
    </row>
    <row r="23" spans="1:9" ht="12.95" customHeight="1">
      <c r="A23" s="25"/>
      <c r="B23" s="65" t="s">
        <v>31</v>
      </c>
      <c r="C23" s="11" t="s">
        <v>1</v>
      </c>
      <c r="D23" s="11" t="s">
        <v>1</v>
      </c>
      <c r="E23" s="11" t="s">
        <v>1</v>
      </c>
      <c r="F23" s="12">
        <v>415.58672300000001</v>
      </c>
      <c r="G23" s="58">
        <v>415.58</v>
      </c>
      <c r="H23" s="69">
        <v>0.87234610785154865</v>
      </c>
      <c r="I23" s="43">
        <v>0.87239999999999995</v>
      </c>
    </row>
    <row r="24" spans="1:9" ht="12.95" customHeight="1">
      <c r="A24" s="25"/>
      <c r="B24" s="65"/>
      <c r="C24" s="11"/>
      <c r="D24" s="11"/>
      <c r="E24" s="11"/>
      <c r="F24" s="12"/>
      <c r="G24" s="58"/>
      <c r="H24" s="69"/>
      <c r="I24" s="44"/>
    </row>
    <row r="25" spans="1:9" ht="12.95" customHeight="1">
      <c r="A25" s="25"/>
      <c r="B25" s="65" t="s">
        <v>32</v>
      </c>
      <c r="C25" s="11" t="s">
        <v>1</v>
      </c>
      <c r="D25" s="11" t="s">
        <v>1</v>
      </c>
      <c r="E25" s="11" t="s">
        <v>1</v>
      </c>
      <c r="F25" s="53" t="s">
        <v>1</v>
      </c>
      <c r="G25" s="54"/>
      <c r="H25" s="66" t="s">
        <v>1</v>
      </c>
      <c r="I25" s="42" t="s">
        <v>1</v>
      </c>
    </row>
    <row r="26" spans="1:9" ht="12.95" customHeight="1">
      <c r="A26" s="27"/>
      <c r="B26" s="67" t="s">
        <v>33</v>
      </c>
      <c r="C26" s="11" t="s">
        <v>1</v>
      </c>
      <c r="D26" s="11" t="s">
        <v>34</v>
      </c>
      <c r="E26" s="55"/>
      <c r="F26" s="56">
        <v>65.1173</v>
      </c>
      <c r="G26" s="57">
        <v>65.12</v>
      </c>
      <c r="H26" s="68">
        <v>0.13668584693645675</v>
      </c>
      <c r="I26" s="2">
        <v>0.13669999999999999</v>
      </c>
    </row>
    <row r="27" spans="1:9" ht="12.95" customHeight="1">
      <c r="A27" s="25"/>
      <c r="B27" s="65" t="s">
        <v>30</v>
      </c>
      <c r="C27" s="11" t="s">
        <v>1</v>
      </c>
      <c r="D27" s="11" t="s">
        <v>1</v>
      </c>
      <c r="E27" s="11" t="s">
        <v>1</v>
      </c>
      <c r="F27" s="12">
        <v>65.1173</v>
      </c>
      <c r="G27" s="58">
        <v>65.12</v>
      </c>
      <c r="H27" s="69">
        <v>0.13668584693645675</v>
      </c>
      <c r="I27" s="43">
        <v>0.13669999999999999</v>
      </c>
    </row>
    <row r="28" spans="1:9" ht="12.95" customHeight="1">
      <c r="A28" s="25"/>
      <c r="B28" s="65"/>
      <c r="C28" s="11"/>
      <c r="D28" s="11"/>
      <c r="E28" s="11"/>
      <c r="F28" s="12"/>
      <c r="G28" s="58"/>
      <c r="H28" s="69"/>
      <c r="I28" s="43"/>
    </row>
    <row r="29" spans="1:9" ht="12.95" customHeight="1">
      <c r="A29" s="25"/>
      <c r="B29" s="65" t="s">
        <v>35</v>
      </c>
      <c r="C29" s="11" t="s">
        <v>1</v>
      </c>
      <c r="D29" s="11" t="s">
        <v>1</v>
      </c>
      <c r="E29" s="11" t="s">
        <v>1</v>
      </c>
      <c r="F29" s="14">
        <v>-4.3028339999999998</v>
      </c>
      <c r="G29" s="107">
        <v>-4.3</v>
      </c>
      <c r="H29" s="87">
        <v>-9.0319547880053884E-3</v>
      </c>
      <c r="I29" s="43">
        <v>-9.1000000000000004E-3</v>
      </c>
    </row>
    <row r="30" spans="1:9" ht="12.95" customHeight="1">
      <c r="A30" s="25"/>
      <c r="B30" s="65" t="s">
        <v>30</v>
      </c>
      <c r="C30" s="11"/>
      <c r="D30" s="11"/>
      <c r="E30" s="11"/>
      <c r="F30" s="12">
        <v>-4.3028339999999998</v>
      </c>
      <c r="G30" s="58">
        <v>-4.3</v>
      </c>
      <c r="H30" s="69">
        <v>-9.0319547880053884E-3</v>
      </c>
      <c r="I30" s="45"/>
    </row>
    <row r="31" spans="1:9" ht="12.95" customHeight="1" thickBot="1">
      <c r="A31" s="25"/>
      <c r="B31" s="132" t="s">
        <v>31</v>
      </c>
      <c r="C31" s="17"/>
      <c r="D31" s="17"/>
      <c r="E31" s="17"/>
      <c r="F31" s="18">
        <f>F27+F30</f>
        <v>60.814466000000003</v>
      </c>
      <c r="G31" s="18">
        <f t="shared" ref="G31:H31" si="0">G27+G30</f>
        <v>60.820000000000007</v>
      </c>
      <c r="H31" s="133">
        <f t="shared" si="0"/>
        <v>0.12765389214845135</v>
      </c>
      <c r="I31" s="45"/>
    </row>
    <row r="32" spans="1:9" ht="12.95" customHeight="1" thickBot="1">
      <c r="A32" s="25"/>
      <c r="B32" s="134" t="s">
        <v>36</v>
      </c>
      <c r="C32" s="135" t="s">
        <v>1</v>
      </c>
      <c r="D32" s="135" t="s">
        <v>1</v>
      </c>
      <c r="E32" s="135" t="s">
        <v>1</v>
      </c>
      <c r="F32" s="136">
        <v>476.40118899999999</v>
      </c>
      <c r="G32" s="137">
        <v>476.4</v>
      </c>
      <c r="H32" s="138">
        <v>1</v>
      </c>
      <c r="I32" s="46">
        <v>1</v>
      </c>
    </row>
    <row r="33" spans="1:9" s="28" customFormat="1" ht="12.95" customHeight="1">
      <c r="A33" s="25"/>
      <c r="B33" s="26" t="s">
        <v>1</v>
      </c>
      <c r="C33" s="25"/>
      <c r="D33" s="25"/>
      <c r="E33" s="25"/>
      <c r="F33" s="30"/>
      <c r="G33" s="25"/>
      <c r="H33" s="31"/>
      <c r="I33" s="25"/>
    </row>
    <row r="34" spans="1:9" s="28" customFormat="1" ht="12.95" customHeight="1">
      <c r="A34" s="25"/>
      <c r="B34" s="32" t="s">
        <v>34</v>
      </c>
      <c r="C34" s="25"/>
      <c r="D34" s="25"/>
      <c r="E34" s="25"/>
      <c r="F34" s="30"/>
      <c r="G34" s="25"/>
      <c r="H34" s="31"/>
      <c r="I34" s="25"/>
    </row>
    <row r="35" spans="1:9" s="28" customFormat="1" ht="12.95" customHeight="1">
      <c r="A35" s="25"/>
      <c r="B35" s="32" t="s">
        <v>37</v>
      </c>
      <c r="C35" s="25"/>
      <c r="D35" s="25"/>
      <c r="E35" s="25"/>
      <c r="F35" s="30"/>
      <c r="G35" s="25"/>
      <c r="H35" s="31"/>
      <c r="I35" s="25"/>
    </row>
    <row r="36" spans="1:9" s="28" customFormat="1" ht="12.95" customHeight="1">
      <c r="A36" s="25"/>
      <c r="B36" s="32" t="s">
        <v>38</v>
      </c>
      <c r="C36" s="25"/>
      <c r="D36" s="25"/>
      <c r="E36" s="25"/>
      <c r="F36" s="30"/>
      <c r="G36" s="25"/>
      <c r="H36" s="31"/>
      <c r="I36" s="25"/>
    </row>
    <row r="37" spans="1:9" s="28" customFormat="1" ht="12.95" customHeight="1" thickBot="1">
      <c r="A37" s="25"/>
      <c r="B37" s="32" t="s">
        <v>1</v>
      </c>
      <c r="C37" s="25"/>
      <c r="D37" s="25"/>
      <c r="E37" s="25"/>
      <c r="F37" s="30"/>
      <c r="G37" s="25"/>
      <c r="H37" s="31"/>
      <c r="I37" s="25"/>
    </row>
    <row r="38" spans="1:9" s="28" customFormat="1" ht="12.95" customHeight="1" thickBot="1">
      <c r="A38" s="25"/>
      <c r="B38" s="39" t="s">
        <v>379</v>
      </c>
      <c r="C38" s="40" t="s">
        <v>386</v>
      </c>
      <c r="D38" s="25"/>
      <c r="E38" s="25"/>
      <c r="F38" s="30"/>
      <c r="G38" s="25"/>
      <c r="H38" s="31"/>
      <c r="I38" s="25"/>
    </row>
    <row r="39" spans="1:9" s="28" customFormat="1">
      <c r="F39" s="33"/>
      <c r="H39" s="34"/>
    </row>
    <row r="40" spans="1:9" s="28" customFormat="1">
      <c r="F40" s="33"/>
      <c r="H40" s="34"/>
    </row>
    <row r="41" spans="1:9" s="28" customFormat="1">
      <c r="F41" s="33"/>
      <c r="H41" s="34"/>
    </row>
    <row r="42" spans="1:9" s="28" customFormat="1">
      <c r="F42" s="33"/>
      <c r="H42" s="34"/>
    </row>
    <row r="43" spans="1:9" s="28" customFormat="1">
      <c r="F43" s="33"/>
      <c r="H43" s="34"/>
    </row>
    <row r="44" spans="1:9" s="28" customFormat="1">
      <c r="F44" s="33"/>
      <c r="H44" s="34"/>
    </row>
    <row r="45" spans="1:9" s="28" customFormat="1">
      <c r="F45" s="33"/>
      <c r="H45" s="34"/>
    </row>
    <row r="46" spans="1:9" s="28" customFormat="1">
      <c r="F46" s="33"/>
      <c r="H46" s="34"/>
    </row>
    <row r="47" spans="1:9" s="28" customFormat="1">
      <c r="F47" s="33"/>
      <c r="H47" s="34"/>
    </row>
    <row r="48" spans="1:9" s="28" customFormat="1">
      <c r="F48" s="33"/>
      <c r="H48" s="34"/>
    </row>
    <row r="49" spans="6:8" s="28" customFormat="1">
      <c r="F49" s="33"/>
      <c r="H49" s="34"/>
    </row>
    <row r="50" spans="6:8" s="28" customFormat="1">
      <c r="F50" s="33"/>
      <c r="H50" s="34"/>
    </row>
    <row r="51" spans="6:8" s="28" customFormat="1">
      <c r="F51" s="33"/>
      <c r="H51" s="34"/>
    </row>
    <row r="52" spans="6:8" s="28" customFormat="1">
      <c r="F52" s="33"/>
      <c r="H52" s="34"/>
    </row>
    <row r="53" spans="6:8" s="28" customFormat="1">
      <c r="F53" s="33"/>
      <c r="H53" s="34"/>
    </row>
    <row r="54" spans="6:8" s="28" customFormat="1">
      <c r="F54" s="33"/>
      <c r="H54" s="34"/>
    </row>
    <row r="55" spans="6:8" s="28" customFormat="1">
      <c r="F55" s="33"/>
      <c r="H55" s="34"/>
    </row>
    <row r="56" spans="6:8" s="28" customFormat="1">
      <c r="F56" s="33"/>
      <c r="H56" s="34"/>
    </row>
    <row r="57" spans="6:8" s="28" customFormat="1">
      <c r="F57" s="33"/>
      <c r="H57" s="34"/>
    </row>
    <row r="58" spans="6:8" s="28" customFormat="1">
      <c r="F58" s="33"/>
      <c r="H58" s="34"/>
    </row>
    <row r="59" spans="6:8" s="28" customFormat="1">
      <c r="F59" s="33"/>
      <c r="H59" s="34"/>
    </row>
    <row r="60" spans="6:8" s="28" customFormat="1">
      <c r="F60" s="33"/>
      <c r="H60" s="34"/>
    </row>
    <row r="61" spans="6:8" s="28" customFormat="1">
      <c r="F61" s="33"/>
      <c r="H61" s="34"/>
    </row>
    <row r="62" spans="6:8" s="28" customFormat="1">
      <c r="F62" s="33"/>
      <c r="H62" s="34"/>
    </row>
    <row r="63" spans="6:8" s="28" customFormat="1">
      <c r="F63" s="33"/>
      <c r="H63" s="34"/>
    </row>
    <row r="64" spans="6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MACMF</vt:lpstr>
      <vt:lpstr>MAEBF</vt:lpstr>
      <vt:lpstr>MICCF</vt:lpstr>
      <vt:lpstr>MICHF</vt:lpstr>
      <vt:lpstr>MIGCS</vt:lpstr>
      <vt:lpstr>MIIOF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Harshad Iyer</cp:lastModifiedBy>
  <dcterms:created xsi:type="dcterms:W3CDTF">2015-06-05T08:47:46Z</dcterms:created>
  <dcterms:modified xsi:type="dcterms:W3CDTF">2015-06-09T08:59:42Z</dcterms:modified>
</cp:coreProperties>
</file>