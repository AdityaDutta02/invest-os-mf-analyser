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GCS" sheetId="6" r:id="rId4"/>
    <sheet name="MICHF" sheetId="5" r:id="rId5"/>
    <sheet name="MACMF" sheetId="1" r:id="rId6"/>
    <sheet name="MILPF" sheetId="8" r:id="rId7"/>
    <sheet name="MISTB" sheetId="9" r:id="rId8"/>
    <sheet name="MAIPF" sheetId="3" r:id="rId9"/>
  </sheets>
  <calcPr calcId="145621"/>
</workbook>
</file>

<file path=xl/calcChain.xml><?xml version="1.0" encoding="utf-8"?>
<calcChain xmlns="http://schemas.openxmlformats.org/spreadsheetml/2006/main">
  <c r="H70" i="3" l="1"/>
  <c r="I70" i="3"/>
  <c r="G70" i="3"/>
  <c r="H34" i="9"/>
  <c r="I34" i="9"/>
  <c r="G34" i="9"/>
  <c r="H37" i="8"/>
  <c r="I37" i="8"/>
  <c r="G37" i="8"/>
  <c r="H40" i="1"/>
  <c r="I40" i="1"/>
  <c r="G40" i="1"/>
  <c r="H28" i="5"/>
  <c r="I28" i="5"/>
  <c r="G28" i="5"/>
  <c r="H62" i="6"/>
  <c r="I62" i="6"/>
  <c r="G62" i="6"/>
  <c r="H79" i="4"/>
  <c r="I79" i="4"/>
  <c r="J79" i="4"/>
  <c r="G79" i="4"/>
  <c r="H91" i="2"/>
  <c r="I91" i="2"/>
  <c r="G91" i="2"/>
  <c r="H88" i="7"/>
  <c r="I88" i="7"/>
  <c r="G88" i="7"/>
  <c r="I43" i="6" l="1"/>
  <c r="G43" i="6"/>
  <c r="I18" i="6"/>
  <c r="G18" i="6"/>
  <c r="I61" i="4"/>
  <c r="G61" i="4"/>
  <c r="I49" i="4"/>
  <c r="G49" i="4"/>
  <c r="I41" i="4"/>
  <c r="G41" i="4"/>
</calcChain>
</file>

<file path=xl/sharedStrings.xml><?xml version="1.0" encoding="utf-8"?>
<sst xmlns="http://schemas.openxmlformats.org/spreadsheetml/2006/main" count="1991" uniqueCount="567">
  <si>
    <t>Mirae Asset Cash Management Fund</t>
  </si>
  <si>
    <t/>
  </si>
  <si>
    <t>Monthly Portfolio Statement as on September 30,2015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</si>
  <si>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</si>
  <si>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</si>
  <si>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</si>
  <si>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</si>
  <si>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</si>
  <si>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</si>
  <si>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</si>
  <si>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</si>
  <si>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</si>
  <si>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</si>
  <si>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CORB481</t>
  </si>
  <si>
    <t>Corporation Bank (03/11/2015) ** #</t>
  </si>
  <si>
    <t>INE112A16IF5</t>
  </si>
  <si>
    <t>CRISIL A1+</t>
  </si>
  <si>
    <t>ORBA643</t>
  </si>
  <si>
    <t>Oriental Bank of Commerce (27/11/2015) ** #</t>
  </si>
  <si>
    <t>INE141A16UW4</t>
  </si>
  <si>
    <t>VYSY374</t>
  </si>
  <si>
    <t>ING Vysya Bank Ltd (01/10/2015) ** #</t>
  </si>
  <si>
    <t>INE166A16MD8</t>
  </si>
  <si>
    <t>SIBL242</t>
  </si>
  <si>
    <t>South Indian Bank Ltd (15/10/2015) ** #</t>
  </si>
  <si>
    <t>INE683A16GM5</t>
  </si>
  <si>
    <t>CARE A1+</t>
  </si>
  <si>
    <t>IDBL717</t>
  </si>
  <si>
    <t>IDBI Bank Ltd (27/10/2015) ** #</t>
  </si>
  <si>
    <t>INE008A16F75</t>
  </si>
  <si>
    <t>IDBL710</t>
  </si>
  <si>
    <t>IDBI Bank Ltd (09/11/2015) ** #</t>
  </si>
  <si>
    <t>INE008A16XP3</t>
  </si>
  <si>
    <t>Sub Total</t>
  </si>
  <si>
    <t>Commercial Paper</t>
  </si>
  <si>
    <t>HDFC713</t>
  </si>
  <si>
    <t>Housing Development Finance Corporation Ltd (12/10/2015) ** #</t>
  </si>
  <si>
    <t>INE001A14LK9</t>
  </si>
  <si>
    <t>ICRA A1+</t>
  </si>
  <si>
    <t>HDFC775</t>
  </si>
  <si>
    <t>Housing Development Finance Corporation Ltd (16/10/2015) ** #</t>
  </si>
  <si>
    <t>INE001A14ND0</t>
  </si>
  <si>
    <t>HDFC786</t>
  </si>
  <si>
    <t>Housing Development Finance Corporation Ltd (02/11/2015) ** #</t>
  </si>
  <si>
    <t>INE001A14NP4</t>
  </si>
  <si>
    <t>Total</t>
  </si>
  <si>
    <t>CBLO / Reverse Repo</t>
  </si>
  <si>
    <t>CBL_011015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</si>
  <si>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</si>
  <si>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</si>
  <si>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</si>
  <si>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</si>
  <si>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</si>
  <si>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</si>
  <si>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</si>
  <si>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</si>
  <si>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</si>
  <si>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</si>
  <si>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KOMA02</t>
  </si>
  <si>
    <t>Kotak Mahindra Bank Ltd</t>
  </si>
  <si>
    <t>INE237A01028</t>
  </si>
  <si>
    <t>Banks</t>
  </si>
  <si>
    <t>HPEC01</t>
  </si>
  <si>
    <t>Hindustan Petroleum Corporation Ltd</t>
  </si>
  <si>
    <t>INE094A01015</t>
  </si>
  <si>
    <t>Petroleum Products</t>
  </si>
  <si>
    <t>NAPH01</t>
  </si>
  <si>
    <t>Natco Pharma Ltd</t>
  </si>
  <si>
    <t>INE987B01018</t>
  </si>
  <si>
    <t>Pharmaceuticals</t>
  </si>
  <si>
    <t>TOPH02</t>
  </si>
  <si>
    <t>Torrent Pharmaceuticals Ltd</t>
  </si>
  <si>
    <t>INE685A01028</t>
  </si>
  <si>
    <t>AMRA03</t>
  </si>
  <si>
    <t>Amara Raja Batteries Ltd</t>
  </si>
  <si>
    <t>INE885A01032</t>
  </si>
  <si>
    <t>Auto Ancillaries</t>
  </si>
  <si>
    <t>GTWA01</t>
  </si>
  <si>
    <t>Gateway Distriparks Ltd</t>
  </si>
  <si>
    <t>INE852F01015</t>
  </si>
  <si>
    <t>Transportation</t>
  </si>
  <si>
    <t>SUFI01</t>
  </si>
  <si>
    <t>Sundaram Finance Ltd</t>
  </si>
  <si>
    <t>INE660A01013</t>
  </si>
  <si>
    <t>Finance</t>
  </si>
  <si>
    <t>IIBL01</t>
  </si>
  <si>
    <t>Indusind Bank Ltd</t>
  </si>
  <si>
    <t>INE095A01012</t>
  </si>
  <si>
    <t>VOLT02</t>
  </si>
  <si>
    <t>Voltas Ltd</t>
  </si>
  <si>
    <t>INE226A01021</t>
  </si>
  <si>
    <t>Construction Project</t>
  </si>
  <si>
    <t>BRIT02</t>
  </si>
  <si>
    <t>Britannia Industries Ltd</t>
  </si>
  <si>
    <t>INE216A01022</t>
  </si>
  <si>
    <t>Consumer Non Durables</t>
  </si>
  <si>
    <t>ZEET02</t>
  </si>
  <si>
    <t>Zee Entertainment Enterprises Ltd</t>
  </si>
  <si>
    <t>INE256A01028</t>
  </si>
  <si>
    <t>Media &amp; Entertainment</t>
  </si>
  <si>
    <t>ASPA02</t>
  </si>
  <si>
    <t>Asian Paints Ltd</t>
  </si>
  <si>
    <t>INE021A01026</t>
  </si>
  <si>
    <t>YESB01</t>
  </si>
  <si>
    <t>Yes Bank Ltd</t>
  </si>
  <si>
    <t>INE528G01019</t>
  </si>
  <si>
    <t>CHLO02</t>
  </si>
  <si>
    <t>Exide Industries Ltd</t>
  </si>
  <si>
    <t>INE302A01020</t>
  </si>
  <si>
    <t>CEAT02</t>
  </si>
  <si>
    <t>CEAT Ltd</t>
  </si>
  <si>
    <t>INE482A01020</t>
  </si>
  <si>
    <t>FEBA02</t>
  </si>
  <si>
    <t>The Federal Bank  Ltd</t>
  </si>
  <si>
    <t>INE171A01029</t>
  </si>
  <si>
    <t>IBCL05</t>
  </si>
  <si>
    <t>ICICI Bank Ltd</t>
  </si>
  <si>
    <t>INE090A01021</t>
  </si>
  <si>
    <t>IEIN01</t>
  </si>
  <si>
    <t>Info Edge (India) Ltd</t>
  </si>
  <si>
    <t>INE663F01024</t>
  </si>
  <si>
    <t>Software</t>
  </si>
  <si>
    <t>FAGP01</t>
  </si>
  <si>
    <t>FAG Bearings India Ltd</t>
  </si>
  <si>
    <t>INE513A01014</t>
  </si>
  <si>
    <t>Industrial Products</t>
  </si>
  <si>
    <t>AIEL02</t>
  </si>
  <si>
    <t>AIA Engineering Ltd</t>
  </si>
  <si>
    <t>INE212H01026</t>
  </si>
  <si>
    <t>JKCE01</t>
  </si>
  <si>
    <t>JK Cement Ltd</t>
  </si>
  <si>
    <t>INE823G01014</t>
  </si>
  <si>
    <t>Cement</t>
  </si>
  <si>
    <t>TCHE01</t>
  </si>
  <si>
    <t>Tata Chemicals Ltd</t>
  </si>
  <si>
    <t>INE092A01019</t>
  </si>
  <si>
    <t>Chemicals</t>
  </si>
  <si>
    <t>BHFO02</t>
  </si>
  <si>
    <t>Bharat Forge Ltd</t>
  </si>
  <si>
    <t>INE465A01025</t>
  </si>
  <si>
    <t>ATUL01</t>
  </si>
  <si>
    <t>Atul Ltd</t>
  </si>
  <si>
    <t>INE100A01010</t>
  </si>
  <si>
    <t>EMAM02</t>
  </si>
  <si>
    <t>Emami Ltd</t>
  </si>
  <si>
    <t>INE548C01032</t>
  </si>
  <si>
    <t>IPCA02</t>
  </si>
  <si>
    <t>IPCA Laboratories Ltd</t>
  </si>
  <si>
    <t>INE571A01020</t>
  </si>
  <si>
    <t>CROM02</t>
  </si>
  <si>
    <t>Crompton  Greaves Ltd</t>
  </si>
  <si>
    <t>INE067A01029</t>
  </si>
  <si>
    <t>Industrial Capital Goods</t>
  </si>
  <si>
    <t>GODF02</t>
  </si>
  <si>
    <t>Godfrey Phillips India Ltd</t>
  </si>
  <si>
    <t>INE260B01028</t>
  </si>
  <si>
    <t>BAFL01</t>
  </si>
  <si>
    <t>Bajaj Finance Ltd</t>
  </si>
  <si>
    <t>INE296A01016</t>
  </si>
  <si>
    <t>APLI03</t>
  </si>
  <si>
    <t>Hexaware Technologies Ltd</t>
  </si>
  <si>
    <t>INE093A01033</t>
  </si>
  <si>
    <t>WELS01</t>
  </si>
  <si>
    <t>Welspun India Ltd</t>
  </si>
  <si>
    <t>INE192B01023</t>
  </si>
  <si>
    <t>Textile Products</t>
  </si>
  <si>
    <t>ICII01</t>
  </si>
  <si>
    <t>Akzo Nobel India Ltd</t>
  </si>
  <si>
    <t>INE133A01011</t>
  </si>
  <si>
    <t>LICH02</t>
  </si>
  <si>
    <t>LIC Housing Finance Ltd</t>
  </si>
  <si>
    <t>INE115A01026</t>
  </si>
  <si>
    <t>PLNG01</t>
  </si>
  <si>
    <t>Petronet LNG Ltd</t>
  </si>
  <si>
    <t>INE347G01014</t>
  </si>
  <si>
    <t>Gas</t>
  </si>
  <si>
    <t>BFLS01</t>
  </si>
  <si>
    <t>Mphasis Ltd</t>
  </si>
  <si>
    <t>INE356A01018</t>
  </si>
  <si>
    <t>NITL01</t>
  </si>
  <si>
    <t>NIIT Technologies Ltd</t>
  </si>
  <si>
    <t>INE591G01017</t>
  </si>
  <si>
    <t>NILP01</t>
  </si>
  <si>
    <t>Nilkamal Ltd</t>
  </si>
  <si>
    <t>INE310A01015</t>
  </si>
  <si>
    <t>RAFO01</t>
  </si>
  <si>
    <t>Ramkrishna Forgings Ltd</t>
  </si>
  <si>
    <t>INE399G01015</t>
  </si>
  <si>
    <t>ECLE01</t>
  </si>
  <si>
    <t>Eclerx Services Ltd</t>
  </si>
  <si>
    <t>INE738I01010</t>
  </si>
  <si>
    <t>MOSU03</t>
  </si>
  <si>
    <t>Motherson Sumi Systems Ltd</t>
  </si>
  <si>
    <t>INE775A01035</t>
  </si>
  <si>
    <t>ISHA01</t>
  </si>
  <si>
    <t>Gillette India Ltd</t>
  </si>
  <si>
    <t>INE322A01010</t>
  </si>
  <si>
    <t>AARI02</t>
  </si>
  <si>
    <t>Aarti Industries Ltd</t>
  </si>
  <si>
    <t>INE769A01020</t>
  </si>
  <si>
    <t>HSIL03</t>
  </si>
  <si>
    <t>HSIL Ltd</t>
  </si>
  <si>
    <t>INE415A01038</t>
  </si>
  <si>
    <t>Consumer Durables</t>
  </si>
  <si>
    <t>KEIN02</t>
  </si>
  <si>
    <t>KEC International Ltd</t>
  </si>
  <si>
    <t>INE389H01022</t>
  </si>
  <si>
    <t>MCEX01</t>
  </si>
  <si>
    <t>Multi Commodity Exchange of India Ltd</t>
  </si>
  <si>
    <t>INE745G01035</t>
  </si>
  <si>
    <t>GUOL01</t>
  </si>
  <si>
    <t>Gulf Oil Lubricants India Ltd</t>
  </si>
  <si>
    <t>INE635Q01029</t>
  </si>
  <si>
    <t>CARU03</t>
  </si>
  <si>
    <t>Carborundum Universal Ltd</t>
  </si>
  <si>
    <t>INE120A01034</t>
  </si>
  <si>
    <t>VSTT01</t>
  </si>
  <si>
    <t>VST Tillers Tractors Ltd</t>
  </si>
  <si>
    <t>INE764D01017</t>
  </si>
  <si>
    <t>Auto</t>
  </si>
  <si>
    <t>BLDA01</t>
  </si>
  <si>
    <t>Blue Dart Express Ltd</t>
  </si>
  <si>
    <t>INE233B01017</t>
  </si>
  <si>
    <t>KAVY01</t>
  </si>
  <si>
    <t>Karur Vysya Bank Ltd</t>
  </si>
  <si>
    <t>INE036D01010</t>
  </si>
  <si>
    <t>TWAT02</t>
  </si>
  <si>
    <t>Titan Company Limited</t>
  </si>
  <si>
    <t>INE280A01028</t>
  </si>
  <si>
    <t>CALC01</t>
  </si>
  <si>
    <t>CESC Ltd</t>
  </si>
  <si>
    <t>INE486A01013</t>
  </si>
  <si>
    <t>Power</t>
  </si>
  <si>
    <t>VORL02</t>
  </si>
  <si>
    <t>Vinati Organics Ltd</t>
  </si>
  <si>
    <t>INE410B01029</t>
  </si>
  <si>
    <t>DIVI02</t>
  </si>
  <si>
    <t>Divi's Laboratories Ltd</t>
  </si>
  <si>
    <t>INE361B01024</t>
  </si>
  <si>
    <t>COFE03</t>
  </si>
  <si>
    <t>Coromandel International Ltd</t>
  </si>
  <si>
    <t>INE169A01031</t>
  </si>
  <si>
    <t>Fertilisers</t>
  </si>
  <si>
    <t>IRBL01</t>
  </si>
  <si>
    <t>IRB Infrastructure Developers Ltd</t>
  </si>
  <si>
    <t>INE821I01014</t>
  </si>
  <si>
    <t>Construction</t>
  </si>
  <si>
    <t>TRTL01</t>
  </si>
  <si>
    <t>Triveni Turbine Ltd</t>
  </si>
  <si>
    <t>INE152M01016</t>
  </si>
  <si>
    <t>THER02</t>
  </si>
  <si>
    <t>Thermax Ltd</t>
  </si>
  <si>
    <t>INE152A01029</t>
  </si>
  <si>
    <t>GLPH03</t>
  </si>
  <si>
    <t>Glenmark Pharmaceuticals Ltd</t>
  </si>
  <si>
    <t>INE935A01035</t>
  </si>
  <si>
    <t>HTML02</t>
  </si>
  <si>
    <t>HT Media Ltd</t>
  </si>
  <si>
    <t>INE501G01024</t>
  </si>
  <si>
    <t>PRIS01</t>
  </si>
  <si>
    <t>Prism CEMENT Ltd</t>
  </si>
  <si>
    <t>INE010A01011</t>
  </si>
  <si>
    <t>SUPI02</t>
  </si>
  <si>
    <t>Supreme Industries Ltd</t>
  </si>
  <si>
    <t>INE195A01028</t>
  </si>
  <si>
    <t>IDLI03</t>
  </si>
  <si>
    <t>Gulf Oil Corporation Ltd</t>
  </si>
  <si>
    <t>INE077F01035</t>
  </si>
  <si>
    <t>OIIL01</t>
  </si>
  <si>
    <t>Oil India Ltd</t>
  </si>
  <si>
    <t>INE274J01014</t>
  </si>
  <si>
    <t>Oil</t>
  </si>
  <si>
    <t>(b) Unlisted</t>
  </si>
  <si>
    <t>NIL</t>
  </si>
  <si>
    <t>Industry / Rating</t>
  </si>
  <si>
    <t>HDFB02</t>
  </si>
  <si>
    <t>HDFC Bank Ltd</t>
  </si>
  <si>
    <t>INE040A01026</t>
  </si>
  <si>
    <t>INFS02</t>
  </si>
  <si>
    <t>Infosys Ltd</t>
  </si>
  <si>
    <t>INE009A01021</t>
  </si>
  <si>
    <t>ITCL02</t>
  </si>
  <si>
    <t>ITC Ltd</t>
  </si>
  <si>
    <t>INE154A01025</t>
  </si>
  <si>
    <t>RIND01</t>
  </si>
  <si>
    <t>Reliance Industries Ltd</t>
  </si>
  <si>
    <t>INE002A01018</t>
  </si>
  <si>
    <t>MAUD01</t>
  </si>
  <si>
    <t>Maruti Suzuki India Ltd</t>
  </si>
  <si>
    <t>INE585B01010</t>
  </si>
  <si>
    <t>TCSL01</t>
  </si>
  <si>
    <t>Tata Consultancy Services Ltd</t>
  </si>
  <si>
    <t>INE467B01029</t>
  </si>
  <si>
    <t>SPIL03</t>
  </si>
  <si>
    <t>Sun Pharmaceuticals Industries Ltd</t>
  </si>
  <si>
    <t>INE044A01036</t>
  </si>
  <si>
    <t>SBAI02</t>
  </si>
  <si>
    <t>State Bank of India</t>
  </si>
  <si>
    <t>INE062A01020</t>
  </si>
  <si>
    <t>HDFC03</t>
  </si>
  <si>
    <t>Housing Development Finance Corporation Ltd</t>
  </si>
  <si>
    <t>INE001A01036</t>
  </si>
  <si>
    <t>HLEL02</t>
  </si>
  <si>
    <t>Hindustan Unilever Ltd</t>
  </si>
  <si>
    <t>INE030A01027</t>
  </si>
  <si>
    <t>UTIB02</t>
  </si>
  <si>
    <t>Axis Bank Ltd</t>
  </si>
  <si>
    <t>INE238A01034</t>
  </si>
  <si>
    <t>TELC04</t>
  </si>
  <si>
    <t>IN9155A01020</t>
  </si>
  <si>
    <t>ULCC01</t>
  </si>
  <si>
    <t>Ultratech Cement Ltd</t>
  </si>
  <si>
    <t>INE481G01011</t>
  </si>
  <si>
    <t>PGCI01</t>
  </si>
  <si>
    <t>Power Grid Corporation of India Ltd</t>
  </si>
  <si>
    <t>INE752E01010</t>
  </si>
  <si>
    <t>HCLT02</t>
  </si>
  <si>
    <t>HCL Technologies Ltd</t>
  </si>
  <si>
    <t>INE860A01027</t>
  </si>
  <si>
    <t>LUPL02</t>
  </si>
  <si>
    <t>Lupin Ltd</t>
  </si>
  <si>
    <t>INE326A01037</t>
  </si>
  <si>
    <t>DABU02</t>
  </si>
  <si>
    <t>Dabur India Ltd</t>
  </si>
  <si>
    <t>INE016A01026</t>
  </si>
  <si>
    <t>BTVL02</t>
  </si>
  <si>
    <t>Bharti Airtel Ltd</t>
  </si>
  <si>
    <t>INE397D01024</t>
  </si>
  <si>
    <t>Telecom - Services</t>
  </si>
  <si>
    <t>COAL01</t>
  </si>
  <si>
    <t>Coal India Ltd</t>
  </si>
  <si>
    <t>INE522F01014</t>
  </si>
  <si>
    <t>Minerals/Mining</t>
  </si>
  <si>
    <t>LARS02</t>
  </si>
  <si>
    <t>Larsen &amp; Toubro Ltd</t>
  </si>
  <si>
    <t>INE018A01030</t>
  </si>
  <si>
    <t>MUND02</t>
  </si>
  <si>
    <t>Adani Ports and Special Economic Zone Ltd</t>
  </si>
  <si>
    <t>INE742F01042</t>
  </si>
  <si>
    <t>Debt Instruments</t>
  </si>
  <si>
    <t>(a) Listed / awaiting listing on Stock Exchange</t>
  </si>
  <si>
    <t>GOI1217</t>
  </si>
  <si>
    <t>8.40% Government of India (28/07/2024)</t>
  </si>
  <si>
    <t>IN0020140045</t>
  </si>
  <si>
    <t>SOVEREIGN</t>
  </si>
  <si>
    <t>NBAR265</t>
  </si>
  <si>
    <t>8.37% National Bank For Agriculture and Rural Development (22/06/2020) **</t>
  </si>
  <si>
    <t>INE261F08527</t>
  </si>
  <si>
    <t>CRISIL AAA</t>
  </si>
  <si>
    <t>GOI1298</t>
  </si>
  <si>
    <t>7.72% Government of India (25/05/2025)</t>
  </si>
  <si>
    <t>IN0020150036</t>
  </si>
  <si>
    <t>POWF149</t>
  </si>
  <si>
    <t>8.60% Power Finance Corporation Ltd (07/08/2019) **</t>
  </si>
  <si>
    <t>INE134E08BO5</t>
  </si>
  <si>
    <t>PGCI368</t>
  </si>
  <si>
    <t>8.40% Power Grid Corporation of India Ltd (27/05/2020) **</t>
  </si>
  <si>
    <t>INE752E07MM7</t>
  </si>
  <si>
    <t>(b) Privately placed / Unlisted</t>
  </si>
  <si>
    <t>Mirae Asset India China Consumption Fund</t>
  </si>
  <si>
    <t>10394708_HK</t>
  </si>
  <si>
    <t>Tencent Holdings</t>
  </si>
  <si>
    <t>KYG875721634</t>
  </si>
  <si>
    <t>Internet Software &amp; Services</t>
  </si>
  <si>
    <t>PROG01</t>
  </si>
  <si>
    <t>Procter &amp; Gamble Hygiene and Health Care Ltd</t>
  </si>
  <si>
    <t>INE179A01014</t>
  </si>
  <si>
    <t>13120238</t>
  </si>
  <si>
    <t>Samsonite  International  S A</t>
  </si>
  <si>
    <t>LU0633102719</t>
  </si>
  <si>
    <t>Apparel, Accessories and Luxury Goods</t>
  </si>
  <si>
    <t>HMML01</t>
  </si>
  <si>
    <t>Glaxosmithkline Consumer Healthcare Ltd</t>
  </si>
  <si>
    <t>INE264A01014</t>
  </si>
  <si>
    <t>90476</t>
  </si>
  <si>
    <t>Ping An Ins Grp-H</t>
  </si>
  <si>
    <t>CNE1000003X6</t>
  </si>
  <si>
    <t>Life &amp; Health Insurance</t>
  </si>
  <si>
    <t>11872025</t>
  </si>
  <si>
    <t>AIA GROUP LTD</t>
  </si>
  <si>
    <t>HK0000069689</t>
  </si>
  <si>
    <t>24409862USD</t>
  </si>
  <si>
    <t>ALIBABA GROUP HOLDING ADR</t>
  </si>
  <si>
    <t>US01609W1027</t>
  </si>
  <si>
    <t>18178564USD</t>
  </si>
  <si>
    <t>Vipshop Holding Ltd</t>
  </si>
  <si>
    <t>US92763W1036</t>
  </si>
  <si>
    <t>Miscellaneous</t>
  </si>
  <si>
    <t>24766856_HKD</t>
  </si>
  <si>
    <t>Luye Pharma Group Ltd</t>
  </si>
  <si>
    <t>BMG570071099</t>
  </si>
  <si>
    <t>2932196</t>
  </si>
  <si>
    <t>Sihuan Pharmaceutical Holdings Group Ord Shs</t>
  </si>
  <si>
    <t>BMG8162K1137</t>
  </si>
  <si>
    <t>23606196USD</t>
  </si>
  <si>
    <t>JD Com Inc ADR</t>
  </si>
  <si>
    <t>US47215P1066</t>
  </si>
  <si>
    <t>1058002</t>
  </si>
  <si>
    <t>Lenovo Group Ltd</t>
  </si>
  <si>
    <t>HK0992009065</t>
  </si>
  <si>
    <t>Computer Hardware</t>
  </si>
  <si>
    <t>1604915HKD</t>
  </si>
  <si>
    <t>CSPC Pharmaceutical Group Ltd</t>
  </si>
  <si>
    <t>HK1093012172</t>
  </si>
  <si>
    <t>1732694HKD</t>
  </si>
  <si>
    <t>China Life Insurance Co Ltd</t>
  </si>
  <si>
    <t>CNE1000002L3</t>
  </si>
  <si>
    <t>2231362USD</t>
  </si>
  <si>
    <t>Baidu Sp ADR-A</t>
  </si>
  <si>
    <t>US0567521085</t>
  </si>
  <si>
    <t>HERO02</t>
  </si>
  <si>
    <t>Hero MotoCorp Ltd</t>
  </si>
  <si>
    <t>INE158A01026</t>
  </si>
  <si>
    <t>Mirae Asset China Advantage Fund</t>
  </si>
  <si>
    <t>Others</t>
  </si>
  <si>
    <t>International  Mutual Fund Units</t>
  </si>
  <si>
    <t>LU05877607</t>
  </si>
  <si>
    <t>Mirae Asset China Sector Leader Eq Class X Cap USD</t>
  </si>
  <si>
    <t>LU0587760769</t>
  </si>
  <si>
    <t>Mirae Asset Global Commodity Stocks Fund</t>
  </si>
  <si>
    <t>640390AUD</t>
  </si>
  <si>
    <t>BHP Billiton Ltd</t>
  </si>
  <si>
    <t>AU000000BHP4</t>
  </si>
  <si>
    <t>Diversified Metals &amp; Mining</t>
  </si>
  <si>
    <t>ONGC02</t>
  </si>
  <si>
    <t>Oil &amp; Natural Gas Corporation Ltd</t>
  </si>
  <si>
    <t>INE213A01029</t>
  </si>
  <si>
    <t>1778506</t>
  </si>
  <si>
    <t>Cnooc Ltd</t>
  </si>
  <si>
    <t>HK0883013259</t>
  </si>
  <si>
    <t>Oil &amp; Gas Exploration &amp; Production</t>
  </si>
  <si>
    <t>89774</t>
  </si>
  <si>
    <t>China Petroleum -H-</t>
  </si>
  <si>
    <t>CNE1000002Q2</t>
  </si>
  <si>
    <t>Integrated Oil &amp; Gas</t>
  </si>
  <si>
    <t>89629</t>
  </si>
  <si>
    <t>Petrochina Company Ltd</t>
  </si>
  <si>
    <t>CNE1000003W8</t>
  </si>
  <si>
    <t>603520AUD</t>
  </si>
  <si>
    <t>Rio Tinto Ltd</t>
  </si>
  <si>
    <t>AU000000RIO1</t>
  </si>
  <si>
    <t>642429</t>
  </si>
  <si>
    <t>Woodside Petroleum Ltd</t>
  </si>
  <si>
    <t>AU000000WPL2</t>
  </si>
  <si>
    <t>640267AUD</t>
  </si>
  <si>
    <t>AMCOR LIMITED</t>
  </si>
  <si>
    <t>AU000000AMC4</t>
  </si>
  <si>
    <t>Paper Packaging</t>
  </si>
  <si>
    <t>BPCL01</t>
  </si>
  <si>
    <t>Bharat Petroleum Corporation Ltd</t>
  </si>
  <si>
    <t>INE029A01011</t>
  </si>
  <si>
    <t>89917</t>
  </si>
  <si>
    <t>Anhui Conch -H-</t>
  </si>
  <si>
    <t>CNE1000001W2</t>
  </si>
  <si>
    <t>Construction Materials</t>
  </si>
  <si>
    <t>809900</t>
  </si>
  <si>
    <t>Oil Search Ltd</t>
  </si>
  <si>
    <t>PG0008579883</t>
  </si>
  <si>
    <t>SESA02</t>
  </si>
  <si>
    <t>Vedanta Ltd</t>
  </si>
  <si>
    <t>INE205A01025</t>
  </si>
  <si>
    <t>Non - Ferrous Metals</t>
  </si>
  <si>
    <t>1177560</t>
  </si>
  <si>
    <t>LG Chemicals Ltd</t>
  </si>
  <si>
    <t>KR7051910008</t>
  </si>
  <si>
    <t>Commodity Chemicals</t>
  </si>
  <si>
    <t>641225</t>
  </si>
  <si>
    <t>Orica Ltd</t>
  </si>
  <si>
    <t>AU000000ORI1</t>
  </si>
  <si>
    <t>1051439</t>
  </si>
  <si>
    <t>Origin Energy Ltd</t>
  </si>
  <si>
    <t>AU000000ORG5</t>
  </si>
  <si>
    <t>3051604</t>
  </si>
  <si>
    <t>SK Innovation Co Ltd</t>
  </si>
  <si>
    <t>KR7096770003</t>
  </si>
  <si>
    <t>Oil &amp; Gas Refining &amp; Marketing</t>
  </si>
  <si>
    <t>10692838</t>
  </si>
  <si>
    <t>Kunlun Energy Company Ltd</t>
  </si>
  <si>
    <t>BMG5320C1082</t>
  </si>
  <si>
    <t>2176548</t>
  </si>
  <si>
    <t>China Shenhua - H</t>
  </si>
  <si>
    <t>CNE1000002R0</t>
  </si>
  <si>
    <t>Coal &amp; Consumable Fuels</t>
  </si>
  <si>
    <t>641959AUD</t>
  </si>
  <si>
    <t>Santos Ltd-AUD</t>
  </si>
  <si>
    <t>AU000000STO6</t>
  </si>
  <si>
    <t>654226HKD</t>
  </si>
  <si>
    <t>Jiangxi Copper Company Ltd</t>
  </si>
  <si>
    <t>CNE1000003K3</t>
  </si>
  <si>
    <t>721806</t>
  </si>
  <si>
    <t>POSCO (Pohang Iron &amp; Steel Co Ltd )</t>
  </si>
  <si>
    <t>KR7005490008</t>
  </si>
  <si>
    <t>Steel</t>
  </si>
  <si>
    <t>HINI02</t>
  </si>
  <si>
    <t>Hindalco Industries Ltd</t>
  </si>
  <si>
    <t>INE038A01020</t>
  </si>
  <si>
    <t>3307339</t>
  </si>
  <si>
    <t>PT Semen Indonesia ( Persero) TBK</t>
  </si>
  <si>
    <t>ID1000106800</t>
  </si>
  <si>
    <t>CAIR01</t>
  </si>
  <si>
    <t>Cairn India Ltd</t>
  </si>
  <si>
    <t>INE910H01017</t>
  </si>
  <si>
    <t>2481609</t>
  </si>
  <si>
    <t>China National Building Materia Ltd</t>
  </si>
  <si>
    <t>CNE1000002N9</t>
  </si>
  <si>
    <t>22750502AUD</t>
  </si>
  <si>
    <t>Orora Ltd</t>
  </si>
  <si>
    <t>AU000000ORA8</t>
  </si>
  <si>
    <t>Mirae Asset India Opportunities Fund</t>
  </si>
  <si>
    <t>TISC01</t>
  </si>
  <si>
    <t>Tata Steel Ltd</t>
  </si>
  <si>
    <t>INE081A01012</t>
  </si>
  <si>
    <t>Ferrous Metals</t>
  </si>
  <si>
    <t>$0.00%</t>
  </si>
  <si>
    <t xml:space="preserve">$  Less Than 0.01% of Net Asset Value </t>
  </si>
  <si>
    <t>Mirae Asset Ultra Short Term Bond Fund</t>
  </si>
  <si>
    <t>HDFC408</t>
  </si>
  <si>
    <t>9.60% Housing Development Finance Corporation Ltd (07/04/2016) **</t>
  </si>
  <si>
    <t>INE001A07GM9</t>
  </si>
  <si>
    <t>UCOB373</t>
  </si>
  <si>
    <t>UCO Bank (05/10/2015) ** #</t>
  </si>
  <si>
    <t>INE691A16KO6</t>
  </si>
  <si>
    <t>ANBA395</t>
  </si>
  <si>
    <t>Andhra Bank (09/08/2016) ** #</t>
  </si>
  <si>
    <t>INE434A16MC2</t>
  </si>
  <si>
    <t>ANBA360</t>
  </si>
  <si>
    <t>Andhra Bank (04/03/2016) ** #</t>
  </si>
  <si>
    <t>INE434A16KM5</t>
  </si>
  <si>
    <t>IDBL718</t>
  </si>
  <si>
    <t>IDBI Bank Ltd (05/11/2015) ** #</t>
  </si>
  <si>
    <t>INE008A16F42</t>
  </si>
  <si>
    <t>BKIN418</t>
  </si>
  <si>
    <t>Bank of India (09/06/2016) ** #</t>
  </si>
  <si>
    <t>INE084A16BS4</t>
  </si>
  <si>
    <t>Mirae Asset Short Term Bond Fund</t>
  </si>
  <si>
    <t>American Depository Receipt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</si>
  <si>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</si>
  <si>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</si>
  <si>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</si>
  <si>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</si>
  <si>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</si>
  <si>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r>
      <t>Industry</t>
    </r>
    <r>
      <rPr>
        <sz val="9"/>
        <rFont val="Arial"/>
        <family val="2"/>
      </rPr>
      <t>*</t>
    </r>
  </si>
  <si>
    <t>Industry / Rating*</t>
  </si>
  <si>
    <t>EQUITY &amp; EQUITY RELATED</t>
  </si>
  <si>
    <t>(a) Listed/Awaiting listing on Stock Exchanges</t>
  </si>
  <si>
    <t>SBAM192</t>
  </si>
  <si>
    <t>DEBT INSTRUMENTS</t>
  </si>
  <si>
    <t xml:space="preserve">(a) Listed/Awaiting Listing on Stock Exchanges </t>
  </si>
  <si>
    <t>CBL_010113</t>
  </si>
  <si>
    <t xml:space="preserve">(b) Privately placed/Unlisted </t>
  </si>
  <si>
    <t>(c) Securitised Debt Instruments</t>
  </si>
  <si>
    <t>KMBK358</t>
  </si>
  <si>
    <t>Tata Motors Ltd DVR Shares</t>
  </si>
  <si>
    <t>(An Open - Ended Equity Oriented Scheme)</t>
  </si>
  <si>
    <t>(a) Listed/Awaiting Listing on Stock Exchanges</t>
  </si>
  <si>
    <t>Portfolio Turnover Ratio^</t>
  </si>
  <si>
    <t>^Basis last rolling 12 month</t>
  </si>
  <si>
    <t xml:space="preserve"> (An Open - Ended Equity Fund)</t>
  </si>
  <si>
    <t>(An Open - Ended Fund of Funds Scheme)</t>
  </si>
  <si>
    <t>(An Open - Ended Liquid Scheme)</t>
  </si>
  <si>
    <t>Average maturity in days</t>
  </si>
  <si>
    <t>28.43 days</t>
  </si>
  <si>
    <t>(An Open - Ended Debt Scheme)</t>
  </si>
  <si>
    <t xml:space="preserve"> 110.00 days</t>
  </si>
  <si>
    <t xml:space="preserve">  124.83 days</t>
  </si>
  <si>
    <t>Mirae Asset Prudence Fund</t>
  </si>
  <si>
    <t>(An Open - Ended Equity Oriented Asset Allocation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</si>
</sst>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5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5"/>
      <name val="Tahoma"/>
      <family val="2"/>
    </font>
    <font>
      <b/>
      <sz val="9"/>
      <color indexed="72"/>
      <name val="Tahoma"/>
      <family val="2"/>
    </font>
    <font>
      <b/>
      <sz val="10"/>
      <name val="Tahoma"/>
      <family val="2"/>
    </font>
    <font>
      <b/>
      <sz val="10"/>
      <color indexed="72"/>
      <name val="Tahoma"/>
      <family val="2"/>
    </font>
    <font>
      <sz val="10"/>
      <name val="Tahoma"/>
      <family val="2"/>
    </font>
    <font>
      <b/>
      <sz val="10"/>
      <color rgb="FF000000"/>
      <name val="Calibri"/>
      <family val="2"/>
    </font>
    <font>
      <sz val="9"/>
      <color indexed="72"/>
      <name val="Tahoma"/>
      <family val="2"/>
    </font>
    <font>
      <b/>
      <sz val="14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162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4" fontId="7" fillId="0" borderId="2" xfId="0" applyNumberFormat="1" applyFont="1" applyFill="1" applyBorder="1" applyAlignment="1" applyProtection="1">
      <alignment horizontal="right" vertical="top" wrapText="1"/>
    </xf>
    <xf numFmtId="10" fontId="0" fillId="0" borderId="0" xfId="0" applyNumberFormat="1" applyFont="1" applyFill="1" applyBorder="1" applyAlignment="1"/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165" fontId="2" fillId="0" borderId="16" xfId="0" applyNumberFormat="1" applyFont="1" applyFill="1" applyBorder="1" applyAlignment="1" applyProtection="1">
      <alignment horizontal="right" vertical="top" wrapText="1"/>
    </xf>
    <xf numFmtId="0" fontId="2" fillId="0" borderId="16" xfId="0" applyNumberFormat="1" applyFont="1" applyFill="1" applyBorder="1" applyAlignment="1" applyProtection="1">
      <alignment horizontal="right" vertical="top" wrapText="1"/>
    </xf>
    <xf numFmtId="166" fontId="2" fillId="0" borderId="1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4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left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3" fontId="3" fillId="0" borderId="2" xfId="0" applyNumberFormat="1" applyFont="1" applyFill="1" applyBorder="1" applyAlignment="1" applyProtection="1">
      <alignment horizontal="right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164" fontId="3" fillId="0" borderId="2" xfId="0" applyNumberFormat="1" applyFont="1" applyFill="1" applyBorder="1" applyAlignment="1" applyProtection="1">
      <alignment horizontal="right" vertical="top" wrapText="1"/>
    </xf>
    <xf numFmtId="4" fontId="2" fillId="0" borderId="2" xfId="0" applyNumberFormat="1" applyFont="1" applyFill="1" applyBorder="1" applyAlignment="1" applyProtection="1">
      <alignment horizontal="right" vertical="top" wrapText="1"/>
    </xf>
    <xf numFmtId="164" fontId="2" fillId="0" borderId="2" xfId="0" applyNumberFormat="1" applyFont="1" applyFill="1" applyBorder="1" applyAlignment="1" applyProtection="1">
      <alignment horizontal="right" vertical="top" wrapText="1"/>
    </xf>
    <xf numFmtId="10" fontId="2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right" vertical="top" wrapText="1"/>
    </xf>
    <xf numFmtId="0" fontId="2" fillId="0" borderId="17" xfId="0" applyNumberFormat="1" applyFont="1" applyFill="1" applyBorder="1" applyAlignment="1" applyProtection="1">
      <alignment horizontal="left" vertical="top" wrapText="1"/>
    </xf>
    <xf numFmtId="10" fontId="3" fillId="0" borderId="18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10" fontId="3" fillId="0" borderId="18" xfId="0" applyNumberFormat="1" applyFont="1" applyFill="1" applyBorder="1" applyAlignment="1" applyProtection="1">
      <alignment horizontal="right" vertical="top" wrapText="1"/>
    </xf>
    <xf numFmtId="10" fontId="2" fillId="0" borderId="18" xfId="0" applyNumberFormat="1" applyFont="1" applyFill="1" applyBorder="1" applyAlignment="1" applyProtection="1">
      <alignment horizontal="right" vertical="top" wrapText="1"/>
    </xf>
    <xf numFmtId="0" fontId="2" fillId="0" borderId="19" xfId="0" applyNumberFormat="1" applyFont="1" applyFill="1" applyBorder="1" applyAlignment="1" applyProtection="1">
      <alignment horizontal="left" vertical="top" wrapText="1"/>
    </xf>
    <xf numFmtId="0" fontId="3" fillId="0" borderId="20" xfId="0" applyNumberFormat="1" applyFont="1" applyFill="1" applyBorder="1" applyAlignment="1" applyProtection="1">
      <alignment horizontal="left" vertical="top" wrapText="1"/>
    </xf>
    <xf numFmtId="4" fontId="2" fillId="0" borderId="20" xfId="0" applyNumberFormat="1" applyFont="1" applyFill="1" applyBorder="1" applyAlignment="1" applyProtection="1">
      <alignment horizontal="right" vertical="top" wrapText="1"/>
    </xf>
    <xf numFmtId="164" fontId="2" fillId="0" borderId="20" xfId="0" applyNumberFormat="1" applyFont="1" applyFill="1" applyBorder="1" applyAlignment="1" applyProtection="1">
      <alignment horizontal="right" vertical="top" wrapText="1"/>
    </xf>
    <xf numFmtId="10" fontId="2" fillId="0" borderId="21" xfId="0" applyNumberFormat="1" applyFont="1" applyFill="1" applyBorder="1" applyAlignment="1" applyProtection="1">
      <alignment horizontal="right" vertical="top" wrapText="1"/>
    </xf>
    <xf numFmtId="0" fontId="2" fillId="0" borderId="22" xfId="0" applyNumberFormat="1" applyFont="1" applyFill="1" applyBorder="1" applyAlignment="1" applyProtection="1">
      <alignment horizontal="lef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4" fontId="3" fillId="0" borderId="23" xfId="0" applyNumberFormat="1" applyFont="1" applyFill="1" applyBorder="1" applyAlignment="1" applyProtection="1">
      <alignment horizontal="left" vertical="top" wrapText="1"/>
    </xf>
    <xf numFmtId="0" fontId="1" fillId="0" borderId="23" xfId="0" applyNumberFormat="1" applyFont="1" applyFill="1" applyBorder="1" applyAlignment="1" applyProtection="1">
      <alignment horizontal="left" vertical="top" wrapText="1"/>
    </xf>
    <xf numFmtId="10" fontId="3" fillId="0" borderId="24" xfId="0" applyNumberFormat="1" applyFont="1" applyFill="1" applyBorder="1" applyAlignment="1" applyProtection="1">
      <alignment horizontal="left" vertical="top" wrapText="1"/>
    </xf>
    <xf numFmtId="0" fontId="2" fillId="0" borderId="25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left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4" fontId="2" fillId="0" borderId="26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center" vertical="center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0" fontId="11" fillId="0" borderId="17" xfId="0" applyFont="1" applyBorder="1"/>
    <xf numFmtId="0" fontId="10" fillId="0" borderId="17" xfId="0" applyFont="1" applyBorder="1"/>
    <xf numFmtId="0" fontId="14" fillId="0" borderId="2" xfId="0" applyNumberFormat="1" applyFont="1" applyFill="1" applyBorder="1" applyAlignment="1" applyProtection="1">
      <alignment horizontal="right" vertical="top" wrapText="1"/>
    </xf>
    <xf numFmtId="0" fontId="14" fillId="0" borderId="28" xfId="0" applyNumberFormat="1" applyFont="1" applyFill="1" applyBorder="1" applyAlignment="1" applyProtection="1">
      <alignment horizontal="right" vertical="top" wrapText="1"/>
    </xf>
    <xf numFmtId="0" fontId="14" fillId="0" borderId="18" xfId="0" applyNumberFormat="1" applyFont="1" applyFill="1" applyBorder="1" applyAlignment="1" applyProtection="1">
      <alignment horizontal="right" vertical="top" wrapText="1"/>
    </xf>
    <xf numFmtId="0" fontId="0" fillId="0" borderId="17" xfId="0" applyBorder="1"/>
    <xf numFmtId="0" fontId="2" fillId="0" borderId="29" xfId="0" applyNumberFormat="1" applyFont="1" applyFill="1" applyBorder="1" applyAlignment="1" applyProtection="1">
      <alignment horizontal="left" vertical="top" wrapText="1"/>
    </xf>
    <xf numFmtId="0" fontId="3" fillId="0" borderId="30" xfId="0" applyNumberFormat="1" applyFont="1" applyFill="1" applyBorder="1" applyAlignment="1" applyProtection="1">
      <alignment horizontal="left" vertical="top" wrapText="1"/>
    </xf>
    <xf numFmtId="4" fontId="2" fillId="0" borderId="30" xfId="0" applyNumberFormat="1" applyFont="1" applyFill="1" applyBorder="1" applyAlignment="1" applyProtection="1">
      <alignment horizontal="right" vertical="top" wrapText="1"/>
    </xf>
    <xf numFmtId="164" fontId="2" fillId="0" borderId="30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4" fontId="9" fillId="0" borderId="2" xfId="0" applyNumberFormat="1" applyFont="1" applyFill="1" applyBorder="1" applyAlignment="1" applyProtection="1">
      <alignment horizontal="right" vertical="top" wrapText="1"/>
    </xf>
    <xf numFmtId="164" fontId="9" fillId="0" borderId="2" xfId="0" applyNumberFormat="1" applyFont="1" applyFill="1" applyBorder="1" applyAlignment="1" applyProtection="1">
      <alignment horizontal="right" vertical="top" wrapText="1"/>
    </xf>
    <xf numFmtId="10" fontId="9" fillId="0" borderId="18" xfId="0" applyNumberFormat="1" applyFont="1" applyFill="1" applyBorder="1" applyAlignment="1" applyProtection="1">
      <alignment horizontal="right" vertical="top" wrapText="1"/>
    </xf>
    <xf numFmtId="0" fontId="15" fillId="2" borderId="0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5" fillId="2" borderId="15" xfId="0" applyNumberFormat="1" applyFont="1" applyFill="1" applyBorder="1" applyAlignment="1" applyProtection="1">
      <alignment horizontal="left" vertical="top" wrapText="1"/>
    </xf>
    <xf numFmtId="2" fontId="17" fillId="2" borderId="13" xfId="0" applyNumberFormat="1" applyFont="1" applyFill="1" applyBorder="1" applyAlignment="1">
      <alignment horizontal="center" vertical="center"/>
    </xf>
    <xf numFmtId="0" fontId="18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20" fillId="0" borderId="17" xfId="0" applyFont="1" applyBorder="1"/>
    <xf numFmtId="0" fontId="16" fillId="0" borderId="17" xfId="0" applyFont="1" applyBorder="1"/>
    <xf numFmtId="0" fontId="14" fillId="2" borderId="15" xfId="0" applyNumberFormat="1" applyFont="1" applyFill="1" applyBorder="1" applyAlignment="1" applyProtection="1">
      <alignment horizontal="left" vertical="top" wrapText="1"/>
    </xf>
    <xf numFmtId="0" fontId="21" fillId="2" borderId="0" xfId="0" applyNumberFormat="1" applyFont="1" applyFill="1" applyBorder="1" applyAlignment="1" applyProtection="1">
      <alignment horizontal="center" vertical="top" wrapText="1"/>
    </xf>
    <xf numFmtId="1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7" xfId="0" applyNumberFormat="1" applyFont="1" applyFill="1" applyBorder="1" applyAlignment="1" applyProtection="1">
      <alignment horizontal="left" vertical="top" wrapText="1"/>
    </xf>
    <xf numFmtId="0" fontId="13" fillId="2" borderId="17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14" fillId="2" borderId="0" xfId="0" applyNumberFormat="1" applyFont="1" applyFill="1" applyBorder="1" applyAlignment="1"/>
    <xf numFmtId="0" fontId="16" fillId="2" borderId="0" xfId="0" applyNumberFormat="1" applyFont="1" applyFill="1" applyBorder="1" applyAlignment="1"/>
    <xf numFmtId="0" fontId="21" fillId="2" borderId="15" xfId="0" applyNumberFormat="1" applyFont="1" applyFill="1" applyBorder="1" applyAlignment="1" applyProtection="1">
      <alignment horizontal="left" vertical="top" wrapText="1"/>
    </xf>
    <xf numFmtId="2" fontId="21" fillId="2" borderId="13" xfId="0" applyNumberFormat="1" applyFont="1" applyFill="1" applyBorder="1" applyAlignment="1" applyProtection="1">
      <alignment horizontal="center" vertical="top" wrapText="1"/>
    </xf>
    <xf numFmtId="0" fontId="22" fillId="2" borderId="0" xfId="0" applyNumberFormat="1" applyFont="1" applyFill="1" applyBorder="1" applyAlignment="1" applyProtection="1">
      <alignment horizontal="left" vertical="top" wrapText="1"/>
    </xf>
    <xf numFmtId="0" fontId="2" fillId="0" borderId="17" xfId="0" applyNumberFormat="1" applyFont="1" applyFill="1" applyBorder="1" applyAlignment="1" applyProtection="1">
      <alignment horizontal="left" vertical="center" wrapText="1"/>
    </xf>
    <xf numFmtId="0" fontId="11" fillId="0" borderId="2" xfId="0" applyFont="1" applyBorder="1"/>
    <xf numFmtId="2" fontId="2" fillId="0" borderId="2" xfId="0" applyNumberFormat="1" applyFont="1" applyFill="1" applyBorder="1" applyAlignment="1" applyProtection="1">
      <alignment horizontal="right" vertical="top" wrapText="1"/>
    </xf>
    <xf numFmtId="0" fontId="10" fillId="0" borderId="2" xfId="0" applyFont="1" applyBorder="1"/>
    <xf numFmtId="0" fontId="0" fillId="0" borderId="2" xfId="0" applyBorder="1"/>
    <xf numFmtId="0" fontId="13" fillId="0" borderId="2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0" fillId="0" borderId="22" xfId="0" applyFont="1" applyBorder="1" applyAlignment="1"/>
    <xf numFmtId="0" fontId="15" fillId="0" borderId="23" xfId="0" applyNumberFormat="1" applyFont="1" applyFill="1" applyBorder="1" applyAlignment="1" applyProtection="1">
      <alignment horizontal="left" vertical="center" wrapText="1"/>
    </xf>
    <xf numFmtId="0" fontId="15" fillId="0" borderId="23" xfId="0" applyNumberFormat="1" applyFont="1" applyFill="1" applyBorder="1" applyAlignment="1" applyProtection="1">
      <alignment horizontal="center" vertical="center" wrapText="1"/>
    </xf>
    <xf numFmtId="4" fontId="15" fillId="0" borderId="23" xfId="0" applyNumberFormat="1" applyFont="1" applyFill="1" applyBorder="1" applyAlignment="1" applyProtection="1">
      <alignment horizontal="center" vertical="center" wrapText="1"/>
    </xf>
    <xf numFmtId="10" fontId="15" fillId="0" borderId="23" xfId="0" applyNumberFormat="1" applyFont="1" applyFill="1" applyBorder="1" applyAlignment="1" applyProtection="1">
      <alignment horizontal="center" vertical="center" wrapText="1"/>
    </xf>
    <xf numFmtId="10" fontId="2" fillId="0" borderId="24" xfId="0" applyNumberFormat="1" applyFont="1" applyFill="1" applyBorder="1" applyAlignment="1" applyProtection="1">
      <alignment horizontal="center" vertical="center" wrapText="1"/>
    </xf>
    <xf numFmtId="0" fontId="16" fillId="0" borderId="17" xfId="0" applyFont="1" applyBorder="1" applyAlignment="1"/>
    <xf numFmtId="0" fontId="15" fillId="0" borderId="2" xfId="0" applyNumberFormat="1" applyFont="1" applyFill="1" applyBorder="1" applyAlignment="1" applyProtection="1">
      <alignment horizontal="left" vertical="center" wrapText="1"/>
    </xf>
    <xf numFmtId="0" fontId="15" fillId="0" borderId="2" xfId="0" applyNumberFormat="1" applyFont="1" applyFill="1" applyBorder="1" applyAlignment="1" applyProtection="1">
      <alignment horizontal="center" vertical="center" wrapText="1"/>
    </xf>
    <xf numFmtId="0" fontId="20" fillId="0" borderId="2" xfId="0" applyNumberFormat="1" applyFont="1" applyFill="1" applyBorder="1" applyAlignment="1" applyProtection="1">
      <alignment horizontal="right" vertical="center"/>
    </xf>
    <xf numFmtId="0" fontId="20" fillId="0" borderId="18" xfId="0" applyNumberFormat="1" applyFont="1" applyFill="1" applyBorder="1" applyAlignment="1" applyProtection="1">
      <alignment horizontal="right" vertical="center"/>
    </xf>
    <xf numFmtId="0" fontId="20" fillId="0" borderId="17" xfId="0" applyFont="1" applyBorder="1" applyAlignment="1"/>
    <xf numFmtId="4" fontId="15" fillId="0" borderId="2" xfId="0" applyNumberFormat="1" applyFont="1" applyFill="1" applyBorder="1" applyAlignment="1" applyProtection="1">
      <alignment horizontal="center" vertical="center" wrapText="1"/>
    </xf>
    <xf numFmtId="10" fontId="15" fillId="0" borderId="2" xfId="0" applyNumberFormat="1" applyFont="1" applyFill="1" applyBorder="1" applyAlignment="1" applyProtection="1">
      <alignment horizontal="center" vertical="center" wrapText="1"/>
    </xf>
    <xf numFmtId="4" fontId="15" fillId="0" borderId="18" xfId="0" applyNumberFormat="1" applyFont="1" applyFill="1" applyBorder="1" applyAlignment="1" applyProtection="1">
      <alignment horizontal="center" vertical="center" wrapText="1"/>
    </xf>
    <xf numFmtId="0" fontId="23" fillId="0" borderId="17" xfId="0" applyFont="1" applyBorder="1" applyAlignment="1"/>
    <xf numFmtId="0" fontId="0" fillId="0" borderId="2" xfId="0" applyNumberFormat="1" applyFont="1" applyFill="1" applyBorder="1" applyAlignment="1"/>
    <xf numFmtId="4" fontId="0" fillId="0" borderId="2" xfId="0" applyNumberFormat="1" applyFont="1" applyFill="1" applyBorder="1" applyAlignment="1"/>
    <xf numFmtId="10" fontId="2" fillId="0" borderId="18" xfId="0" applyNumberFormat="1" applyFont="1" applyFill="1" applyBorder="1" applyAlignment="1" applyProtection="1">
      <alignment horizontal="center" vertical="center" wrapText="1"/>
    </xf>
    <xf numFmtId="0" fontId="0" fillId="0" borderId="17" xfId="0" applyNumberFormat="1" applyFont="1" applyFill="1" applyBorder="1" applyAlignment="1"/>
    <xf numFmtId="10" fontId="0" fillId="0" borderId="18" xfId="0" applyNumberFormat="1" applyFont="1" applyFill="1" applyBorder="1" applyAlignment="1"/>
    <xf numFmtId="0" fontId="21" fillId="2" borderId="0" xfId="1" applyNumberFormat="1" applyFont="1" applyFill="1" applyBorder="1" applyAlignment="1" applyProtection="1">
      <alignment horizontal="center" vertical="top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10" fontId="7" fillId="0" borderId="18" xfId="0" applyNumberFormat="1" applyFont="1" applyFill="1" applyBorder="1" applyAlignment="1" applyProtection="1">
      <alignment horizontal="center" vertical="center" wrapText="1"/>
    </xf>
    <xf numFmtId="0" fontId="11" fillId="0" borderId="22" xfId="0" applyFont="1" applyBorder="1"/>
    <xf numFmtId="0" fontId="11" fillId="0" borderId="23" xfId="0" applyFont="1" applyBorder="1"/>
    <xf numFmtId="0" fontId="2" fillId="0" borderId="23" xfId="0" applyNumberFormat="1" applyFont="1" applyFill="1" applyBorder="1" applyAlignment="1" applyProtection="1">
      <alignment horizontal="center" vertical="center" wrapText="1"/>
    </xf>
    <xf numFmtId="4" fontId="2" fillId="0" borderId="23" xfId="0" applyNumberFormat="1" applyFont="1" applyFill="1" applyBorder="1" applyAlignment="1" applyProtection="1">
      <alignment horizontal="center" vertical="center" wrapText="1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24" fillId="2" borderId="13" xfId="0" applyNumberFormat="1" applyFont="1" applyFill="1" applyBorder="1" applyAlignment="1" applyProtection="1">
      <alignment horizontal="center" wrapText="1"/>
    </xf>
    <xf numFmtId="2" fontId="13" fillId="2" borderId="31" xfId="0" applyNumberFormat="1" applyFont="1" applyFill="1" applyBorder="1" applyAlignment="1" applyProtection="1">
      <alignment horizontal="center" vertical="top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4" fontId="2" fillId="0" borderId="18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9" fillId="0" borderId="17" xfId="0" applyNumberFormat="1" applyFont="1" applyFill="1" applyBorder="1" applyAlignment="1" applyProtection="1">
      <alignment horizontal="left" vertical="top" wrapText="1"/>
    </xf>
    <xf numFmtId="0" fontId="13" fillId="0" borderId="17" xfId="0" applyNumberFormat="1" applyFont="1" applyFill="1" applyBorder="1" applyAlignment="1" applyProtection="1">
      <alignment horizontal="left" vertical="top" wrapText="1"/>
    </xf>
    <xf numFmtId="0" fontId="12" fillId="2" borderId="6" xfId="0" applyNumberFormat="1" applyFont="1" applyFill="1" applyBorder="1" applyAlignment="1" applyProtection="1">
      <alignment horizontal="center" vertical="top" wrapText="1"/>
    </xf>
    <xf numFmtId="0" fontId="12" fillId="2" borderId="7" xfId="0" applyNumberFormat="1" applyFont="1" applyFill="1" applyBorder="1" applyAlignment="1" applyProtection="1">
      <alignment horizontal="center" vertical="top" wrapText="1"/>
    </xf>
    <xf numFmtId="0" fontId="12" fillId="2" borderId="8" xfId="0" applyNumberFormat="1" applyFont="1" applyFill="1" applyBorder="1" applyAlignment="1" applyProtection="1">
      <alignment horizontal="center" vertical="top" wrapText="1"/>
    </xf>
    <xf numFmtId="0" fontId="13" fillId="2" borderId="9" xfId="0" applyNumberFormat="1" applyFont="1" applyFill="1" applyBorder="1" applyAlignment="1" applyProtection="1">
      <alignment horizontal="center" vertical="center" wrapText="1"/>
    </xf>
    <xf numFmtId="0" fontId="13" fillId="2" borderId="10" xfId="0" applyNumberFormat="1" applyFont="1" applyFill="1" applyBorder="1" applyAlignment="1" applyProtection="1">
      <alignment horizontal="center" vertical="center" wrapText="1"/>
    </xf>
    <xf numFmtId="0" fontId="13" fillId="2" borderId="11" xfId="0" applyNumberFormat="1" applyFont="1" applyFill="1" applyBorder="1" applyAlignment="1" applyProtection="1">
      <alignment horizontal="center" vertical="center" wrapText="1"/>
    </xf>
    <xf numFmtId="0" fontId="19" fillId="2" borderId="6" xfId="0" applyNumberFormat="1" applyFont="1" applyFill="1" applyBorder="1" applyAlignment="1" applyProtection="1">
      <alignment horizontal="center" vertical="top" wrapText="1"/>
    </xf>
    <xf numFmtId="0" fontId="19" fillId="2" borderId="7" xfId="0" applyNumberFormat="1" applyFont="1" applyFill="1" applyBorder="1" applyAlignment="1" applyProtection="1">
      <alignment horizontal="center" vertical="top" wrapText="1"/>
    </xf>
    <xf numFmtId="0" fontId="19" fillId="2" borderId="8" xfId="0" applyNumberFormat="1" applyFont="1" applyFill="1" applyBorder="1" applyAlignment="1" applyProtection="1">
      <alignment horizontal="center" vertical="top" wrapText="1"/>
    </xf>
    <xf numFmtId="0" fontId="13" fillId="2" borderId="9" xfId="0" applyNumberFormat="1" applyFont="1" applyFill="1" applyBorder="1" applyAlignment="1" applyProtection="1">
      <alignment horizontal="center" vertical="top" wrapText="1"/>
    </xf>
    <xf numFmtId="0" fontId="13" fillId="2" borderId="10" xfId="0" applyNumberFormat="1" applyFont="1" applyFill="1" applyBorder="1" applyAlignment="1" applyProtection="1">
      <alignment horizontal="center" vertical="top" wrapText="1"/>
    </xf>
    <xf numFmtId="0" fontId="13" fillId="2" borderId="11" xfId="0" applyNumberFormat="1" applyFont="1" applyFill="1" applyBorder="1" applyAlignment="1" applyProtection="1">
      <alignment horizontal="center" vertical="top" wrapText="1"/>
    </xf>
    <xf numFmtId="0" fontId="21" fillId="2" borderId="9" xfId="0" applyNumberFormat="1" applyFont="1" applyFill="1" applyBorder="1" applyAlignment="1" applyProtection="1">
      <alignment horizontal="center" vertical="top" wrapText="1"/>
    </xf>
    <xf numFmtId="0" fontId="21" fillId="2" borderId="10" xfId="0" applyNumberFormat="1" applyFont="1" applyFill="1" applyBorder="1" applyAlignment="1" applyProtection="1">
      <alignment horizontal="center" vertical="top" wrapText="1"/>
    </xf>
    <xf numFmtId="0" fontId="21" fillId="2" borderId="11" xfId="0" applyNumberFormat="1" applyFont="1" applyFill="1" applyBorder="1" applyAlignment="1" applyProtection="1">
      <alignment horizontal="center" vertical="top" wrapText="1"/>
    </xf>
    <xf numFmtId="0" fontId="19" fillId="2" borderId="6" xfId="1" applyNumberFormat="1" applyFont="1" applyFill="1" applyBorder="1" applyAlignment="1" applyProtection="1">
      <alignment horizontal="center" vertical="top" wrapText="1"/>
    </xf>
    <xf numFmtId="0" fontId="19" fillId="2" borderId="7" xfId="1" applyNumberFormat="1" applyFont="1" applyFill="1" applyBorder="1" applyAlignment="1" applyProtection="1">
      <alignment horizontal="center" vertical="top" wrapText="1"/>
    </xf>
    <xf numFmtId="0" fontId="19" fillId="2" borderId="8" xfId="1" applyNumberFormat="1" applyFont="1" applyFill="1" applyBorder="1" applyAlignment="1" applyProtection="1">
      <alignment horizontal="center" vertical="top" wrapText="1"/>
    </xf>
    <xf numFmtId="0" fontId="21" fillId="2" borderId="9" xfId="1" applyNumberFormat="1" applyFont="1" applyFill="1" applyBorder="1" applyAlignment="1" applyProtection="1">
      <alignment horizontal="center" vertical="top" wrapText="1"/>
    </xf>
    <xf numFmtId="0" fontId="21" fillId="2" borderId="10" xfId="1" applyNumberFormat="1" applyFont="1" applyFill="1" applyBorder="1" applyAlignment="1" applyProtection="1">
      <alignment horizontal="center" vertical="top" wrapText="1"/>
    </xf>
    <xf numFmtId="0" fontId="21" fillId="2" borderId="11" xfId="1" applyNumberFormat="1" applyFont="1" applyFill="1" applyBorder="1" applyAlignment="1" applyProtection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765"/>
  <sheetViews>
    <sheetView tabSelected="1" topLeftCell="B1" zoomScaleNormal="100" workbookViewId="0">
      <selection activeCell="C86" sqref="C86"/>
    </sheetView>
  </sheetViews>
  <sheetFormatPr defaultRowHeight="12.75"/>
  <cols>
    <col min="1" max="1" width="3.42578125" hidden="1" customWidth="1"/>
    <col min="2" max="2" width="3.425781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112" width="9.140625" style="16"/>
  </cols>
  <sheetData>
    <row r="1" spans="1:10" ht="15.95" customHeight="1">
      <c r="A1" s="1"/>
      <c r="B1" s="13"/>
      <c r="C1" s="141" t="s">
        <v>508</v>
      </c>
      <c r="D1" s="142"/>
      <c r="E1" s="142"/>
      <c r="F1" s="142"/>
      <c r="G1" s="142"/>
      <c r="H1" s="142"/>
      <c r="I1" s="143"/>
      <c r="J1" s="1"/>
    </row>
    <row r="2" spans="1:10" ht="12.95" customHeight="1" thickBot="1">
      <c r="A2" s="1"/>
      <c r="B2" s="13"/>
      <c r="C2" s="144" t="s">
        <v>553</v>
      </c>
      <c r="D2" s="145"/>
      <c r="E2" s="145"/>
      <c r="F2" s="145"/>
      <c r="G2" s="145"/>
      <c r="H2" s="145"/>
      <c r="I2" s="146"/>
      <c r="J2" s="1"/>
    </row>
    <row r="3" spans="1:10" s="16" customFormat="1" ht="12.95" customHeight="1">
      <c r="A3" s="13"/>
      <c r="B3" s="13"/>
      <c r="C3" s="20"/>
      <c r="D3" s="20"/>
      <c r="E3" s="20"/>
      <c r="F3" s="20"/>
      <c r="G3" s="20"/>
      <c r="H3" s="20"/>
      <c r="I3" s="20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541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53" t="s">
        <v>56</v>
      </c>
      <c r="D7" s="54" t="s">
        <v>1</v>
      </c>
      <c r="E7" s="54" t="s">
        <v>1</v>
      </c>
      <c r="F7" s="54" t="s">
        <v>1</v>
      </c>
      <c r="G7" s="55" t="s">
        <v>1</v>
      </c>
      <c r="H7" s="56"/>
      <c r="I7" s="57" t="s">
        <v>1</v>
      </c>
      <c r="J7" s="4" t="s">
        <v>1</v>
      </c>
    </row>
    <row r="8" spans="1:10" ht="12.95" customHeight="1">
      <c r="A8" s="1"/>
      <c r="B8" s="13"/>
      <c r="C8" s="43" t="s">
        <v>57</v>
      </c>
      <c r="D8" s="33" t="s">
        <v>1</v>
      </c>
      <c r="E8" s="33" t="s">
        <v>1</v>
      </c>
      <c r="F8" s="33" t="s">
        <v>1</v>
      </c>
      <c r="G8" s="34" t="s">
        <v>1</v>
      </c>
      <c r="H8" s="35"/>
      <c r="I8" s="44" t="s">
        <v>1</v>
      </c>
      <c r="J8" s="4" t="s">
        <v>1</v>
      </c>
    </row>
    <row r="9" spans="1:10" ht="12.95" customHeight="1">
      <c r="A9" s="2" t="s">
        <v>275</v>
      </c>
      <c r="B9" s="15"/>
      <c r="C9" s="45" t="s">
        <v>276</v>
      </c>
      <c r="D9" s="33" t="s">
        <v>277</v>
      </c>
      <c r="E9" s="33" t="s">
        <v>61</v>
      </c>
      <c r="F9" s="36">
        <v>908611</v>
      </c>
      <c r="G9" s="37">
        <v>9711.2343679999994</v>
      </c>
      <c r="H9" s="38">
        <v>9711.23</v>
      </c>
      <c r="I9" s="46">
        <v>7.3019367914719496E-2</v>
      </c>
      <c r="J9" s="3">
        <v>7.2999999999999995E-2</v>
      </c>
    </row>
    <row r="10" spans="1:10" ht="12.95" customHeight="1">
      <c r="A10" s="2" t="s">
        <v>115</v>
      </c>
      <c r="B10" s="15"/>
      <c r="C10" s="45" t="s">
        <v>116</v>
      </c>
      <c r="D10" s="33" t="s">
        <v>117</v>
      </c>
      <c r="E10" s="33" t="s">
        <v>61</v>
      </c>
      <c r="F10" s="36">
        <v>2619000</v>
      </c>
      <c r="G10" s="37">
        <v>7080.4665000000005</v>
      </c>
      <c r="H10" s="38">
        <v>7080.47</v>
      </c>
      <c r="I10" s="46">
        <v>5.3238462669068835E-2</v>
      </c>
      <c r="J10" s="3">
        <v>5.3199999999999997E-2</v>
      </c>
    </row>
    <row r="11" spans="1:10" ht="12.95" customHeight="1">
      <c r="A11" s="2" t="s">
        <v>278</v>
      </c>
      <c r="B11" s="15"/>
      <c r="C11" s="45" t="s">
        <v>279</v>
      </c>
      <c r="D11" s="33" t="s">
        <v>280</v>
      </c>
      <c r="E11" s="33" t="s">
        <v>121</v>
      </c>
      <c r="F11" s="36">
        <v>582812</v>
      </c>
      <c r="G11" s="37">
        <v>6771.9840340000001</v>
      </c>
      <c r="H11" s="38">
        <v>6771.98</v>
      </c>
      <c r="I11" s="46">
        <v>5.0918964052670705E-2</v>
      </c>
      <c r="J11" s="3">
        <v>5.0900000000000001E-2</v>
      </c>
    </row>
    <row r="12" spans="1:10" ht="12.95" customHeight="1">
      <c r="A12" s="2" t="s">
        <v>287</v>
      </c>
      <c r="B12" s="15"/>
      <c r="C12" s="45" t="s">
        <v>288</v>
      </c>
      <c r="D12" s="33" t="s">
        <v>289</v>
      </c>
      <c r="E12" s="33" t="s">
        <v>219</v>
      </c>
      <c r="F12" s="36">
        <v>131470</v>
      </c>
      <c r="G12" s="37">
        <v>6160.1583199999995</v>
      </c>
      <c r="H12" s="38">
        <v>6160.16</v>
      </c>
      <c r="I12" s="46">
        <v>4.6318608915793015E-2</v>
      </c>
      <c r="J12" s="3">
        <v>4.6300000000000001E-2</v>
      </c>
    </row>
    <row r="13" spans="1:10" ht="12.95" customHeight="1">
      <c r="A13" s="2" t="s">
        <v>85</v>
      </c>
      <c r="B13" s="15"/>
      <c r="C13" s="45" t="s">
        <v>86</v>
      </c>
      <c r="D13" s="33" t="s">
        <v>87</v>
      </c>
      <c r="E13" s="33" t="s">
        <v>61</v>
      </c>
      <c r="F13" s="36">
        <v>543342</v>
      </c>
      <c r="G13" s="37">
        <v>5120.7266790000003</v>
      </c>
      <c r="H13" s="38">
        <v>5120.7299999999996</v>
      </c>
      <c r="I13" s="46">
        <v>3.8503058539779311E-2</v>
      </c>
      <c r="J13" s="3">
        <v>3.85E-2</v>
      </c>
    </row>
    <row r="14" spans="1:10" ht="12.95" customHeight="1">
      <c r="A14" s="2" t="s">
        <v>290</v>
      </c>
      <c r="B14" s="15"/>
      <c r="C14" s="45" t="s">
        <v>291</v>
      </c>
      <c r="D14" s="33" t="s">
        <v>292</v>
      </c>
      <c r="E14" s="33" t="s">
        <v>121</v>
      </c>
      <c r="F14" s="36">
        <v>184700</v>
      </c>
      <c r="G14" s="37">
        <v>4780.12835</v>
      </c>
      <c r="H14" s="38">
        <v>4780.13</v>
      </c>
      <c r="I14" s="46">
        <v>3.5942078776141743E-2</v>
      </c>
      <c r="J14" s="3">
        <v>3.5900000000000001E-2</v>
      </c>
    </row>
    <row r="15" spans="1:10" ht="12.95" customHeight="1">
      <c r="A15" s="2" t="s">
        <v>293</v>
      </c>
      <c r="B15" s="15"/>
      <c r="C15" s="45" t="s">
        <v>294</v>
      </c>
      <c r="D15" s="33" t="s">
        <v>295</v>
      </c>
      <c r="E15" s="33" t="s">
        <v>69</v>
      </c>
      <c r="F15" s="36">
        <v>516604</v>
      </c>
      <c r="G15" s="37">
        <v>4486.189136</v>
      </c>
      <c r="H15" s="38">
        <v>4486.1899999999996</v>
      </c>
      <c r="I15" s="46">
        <v>3.3731931765134143E-2</v>
      </c>
      <c r="J15" s="3">
        <v>3.3700000000000001E-2</v>
      </c>
    </row>
    <row r="16" spans="1:10" ht="12.95" customHeight="1">
      <c r="A16" s="2" t="s">
        <v>62</v>
      </c>
      <c r="B16" s="15"/>
      <c r="C16" s="45" t="s">
        <v>63</v>
      </c>
      <c r="D16" s="33" t="s">
        <v>64</v>
      </c>
      <c r="E16" s="33" t="s">
        <v>65</v>
      </c>
      <c r="F16" s="36">
        <v>538306</v>
      </c>
      <c r="G16" s="37">
        <v>4166.2192869999999</v>
      </c>
      <c r="H16" s="38">
        <v>4166.22</v>
      </c>
      <c r="I16" s="46">
        <v>3.1326058810122757E-2</v>
      </c>
      <c r="J16" s="3">
        <v>3.1300000000000001E-2</v>
      </c>
    </row>
    <row r="17" spans="1:10" ht="12.95" customHeight="1">
      <c r="A17" s="2" t="s">
        <v>281</v>
      </c>
      <c r="B17" s="15"/>
      <c r="C17" s="45" t="s">
        <v>282</v>
      </c>
      <c r="D17" s="33" t="s">
        <v>283</v>
      </c>
      <c r="E17" s="33" t="s">
        <v>95</v>
      </c>
      <c r="F17" s="36">
        <v>1243315</v>
      </c>
      <c r="G17" s="37">
        <v>4088.0197199999998</v>
      </c>
      <c r="H17" s="38">
        <v>4088.02</v>
      </c>
      <c r="I17" s="46">
        <v>3.0738071460918177E-2</v>
      </c>
      <c r="J17" s="3">
        <v>3.0700000000000002E-2</v>
      </c>
    </row>
    <row r="18" spans="1:10" ht="12.95" customHeight="1">
      <c r="A18" s="2" t="s">
        <v>284</v>
      </c>
      <c r="B18" s="15"/>
      <c r="C18" s="45" t="s">
        <v>285</v>
      </c>
      <c r="D18" s="33" t="s">
        <v>286</v>
      </c>
      <c r="E18" s="33" t="s">
        <v>65</v>
      </c>
      <c r="F18" s="36">
        <v>455900</v>
      </c>
      <c r="G18" s="37">
        <v>3931.2257</v>
      </c>
      <c r="H18" s="38">
        <v>3931.23</v>
      </c>
      <c r="I18" s="46">
        <v>2.955912759041145E-2</v>
      </c>
      <c r="J18" s="3">
        <v>2.9600000000000001E-2</v>
      </c>
    </row>
    <row r="19" spans="1:10" ht="12.95" customHeight="1">
      <c r="A19" s="2" t="s">
        <v>296</v>
      </c>
      <c r="B19" s="15"/>
      <c r="C19" s="45" t="s">
        <v>297</v>
      </c>
      <c r="D19" s="33" t="s">
        <v>298</v>
      </c>
      <c r="E19" s="33" t="s">
        <v>61</v>
      </c>
      <c r="F19" s="36">
        <v>1531350</v>
      </c>
      <c r="G19" s="37">
        <v>3631.5965249999999</v>
      </c>
      <c r="H19" s="38">
        <v>3631.6</v>
      </c>
      <c r="I19" s="46">
        <v>2.7306197413028168E-2</v>
      </c>
      <c r="J19" s="3">
        <v>2.7300000000000001E-2</v>
      </c>
    </row>
    <row r="20" spans="1:10" ht="12.95" customHeight="1">
      <c r="A20" s="2" t="s">
        <v>100</v>
      </c>
      <c r="B20" s="15"/>
      <c r="C20" s="45" t="s">
        <v>101</v>
      </c>
      <c r="D20" s="33" t="s">
        <v>102</v>
      </c>
      <c r="E20" s="33" t="s">
        <v>95</v>
      </c>
      <c r="F20" s="36">
        <v>399100</v>
      </c>
      <c r="G20" s="37">
        <v>3358.8256000000001</v>
      </c>
      <c r="H20" s="38">
        <v>3358.83</v>
      </c>
      <c r="I20" s="46">
        <v>2.5255216067686038E-2</v>
      </c>
      <c r="J20" s="3">
        <v>2.53E-2</v>
      </c>
    </row>
    <row r="21" spans="1:10" ht="12.95" customHeight="1">
      <c r="A21" s="2" t="s">
        <v>333</v>
      </c>
      <c r="B21" s="15"/>
      <c r="C21" s="45" t="s">
        <v>334</v>
      </c>
      <c r="D21" s="33" t="s">
        <v>335</v>
      </c>
      <c r="E21" s="33" t="s">
        <v>91</v>
      </c>
      <c r="F21" s="36">
        <v>225250</v>
      </c>
      <c r="G21" s="37">
        <v>3302.7281250000001</v>
      </c>
      <c r="H21" s="38">
        <v>3302.73</v>
      </c>
      <c r="I21" s="46">
        <v>2.4833415706280962E-2</v>
      </c>
      <c r="J21" s="3">
        <v>2.4799999999999999E-2</v>
      </c>
    </row>
    <row r="22" spans="1:10" ht="12.95" customHeight="1">
      <c r="A22" s="2" t="s">
        <v>305</v>
      </c>
      <c r="B22" s="15"/>
      <c r="C22" s="45" t="s">
        <v>306</v>
      </c>
      <c r="D22" s="33" t="s">
        <v>307</v>
      </c>
      <c r="E22" s="33" t="s">
        <v>61</v>
      </c>
      <c r="F22" s="36">
        <v>632000</v>
      </c>
      <c r="G22" s="37">
        <v>3132.5079999999998</v>
      </c>
      <c r="H22" s="38">
        <v>3132.51</v>
      </c>
      <c r="I22" s="46">
        <v>2.3553520127319219E-2</v>
      </c>
      <c r="J22" s="3">
        <v>2.3599999999999999E-2</v>
      </c>
    </row>
    <row r="23" spans="1:10" ht="12.95" customHeight="1">
      <c r="A23" s="2" t="s">
        <v>58</v>
      </c>
      <c r="B23" s="15"/>
      <c r="C23" s="45" t="s">
        <v>59</v>
      </c>
      <c r="D23" s="33" t="s">
        <v>60</v>
      </c>
      <c r="E23" s="33" t="s">
        <v>61</v>
      </c>
      <c r="F23" s="36">
        <v>452000</v>
      </c>
      <c r="G23" s="37">
        <v>2929.4119999999998</v>
      </c>
      <c r="H23" s="38">
        <v>2929.41</v>
      </c>
      <c r="I23" s="46">
        <v>2.2026428824191494E-2</v>
      </c>
      <c r="J23" s="3">
        <v>2.1999999999999999E-2</v>
      </c>
    </row>
    <row r="24" spans="1:10" ht="12.95" customHeight="1">
      <c r="A24" s="2" t="s">
        <v>96</v>
      </c>
      <c r="B24" s="15"/>
      <c r="C24" s="45" t="s">
        <v>97</v>
      </c>
      <c r="D24" s="33" t="s">
        <v>98</v>
      </c>
      <c r="E24" s="33" t="s">
        <v>99</v>
      </c>
      <c r="F24" s="36">
        <v>696200</v>
      </c>
      <c r="G24" s="37">
        <v>2732.2368999999999</v>
      </c>
      <c r="H24" s="38">
        <v>2732.24</v>
      </c>
      <c r="I24" s="46">
        <v>2.0543857131970381E-2</v>
      </c>
      <c r="J24" s="3">
        <v>2.0500000000000001E-2</v>
      </c>
    </row>
    <row r="25" spans="1:10" ht="12.95" customHeight="1">
      <c r="A25" s="2" t="s">
        <v>299</v>
      </c>
      <c r="B25" s="15"/>
      <c r="C25" s="45" t="s">
        <v>300</v>
      </c>
      <c r="D25" s="33" t="s">
        <v>301</v>
      </c>
      <c r="E25" s="33" t="s">
        <v>84</v>
      </c>
      <c r="F25" s="36">
        <v>219275</v>
      </c>
      <c r="G25" s="37">
        <v>2659.2575624999999</v>
      </c>
      <c r="H25" s="38">
        <v>2659.26</v>
      </c>
      <c r="I25" s="46">
        <v>1.9995121009130576E-2</v>
      </c>
      <c r="J25" s="3">
        <v>0.02</v>
      </c>
    </row>
    <row r="26" spans="1:10" ht="12.95" customHeight="1">
      <c r="A26" s="2" t="s">
        <v>73</v>
      </c>
      <c r="B26" s="15"/>
      <c r="C26" s="45" t="s">
        <v>74</v>
      </c>
      <c r="D26" s="33" t="s">
        <v>75</v>
      </c>
      <c r="E26" s="33" t="s">
        <v>76</v>
      </c>
      <c r="F26" s="36">
        <v>236178</v>
      </c>
      <c r="G26" s="37">
        <v>2431.8067769999998</v>
      </c>
      <c r="H26" s="38">
        <v>2431.81</v>
      </c>
      <c r="I26" s="46">
        <v>1.8284904577361264E-2</v>
      </c>
      <c r="J26" s="3">
        <v>1.83E-2</v>
      </c>
    </row>
    <row r="27" spans="1:10" ht="12.95" customHeight="1">
      <c r="A27" s="2" t="s">
        <v>70</v>
      </c>
      <c r="B27" s="15"/>
      <c r="C27" s="45" t="s">
        <v>71</v>
      </c>
      <c r="D27" s="33" t="s">
        <v>72</v>
      </c>
      <c r="E27" s="33" t="s">
        <v>69</v>
      </c>
      <c r="F27" s="36">
        <v>157214</v>
      </c>
      <c r="G27" s="37">
        <v>2361.7473150000001</v>
      </c>
      <c r="H27" s="38">
        <v>2361.75</v>
      </c>
      <c r="I27" s="46">
        <v>1.7758123177816186E-2</v>
      </c>
      <c r="J27" s="3">
        <v>1.78E-2</v>
      </c>
    </row>
    <row r="28" spans="1:10" ht="12.95" customHeight="1">
      <c r="A28" s="2" t="s">
        <v>302</v>
      </c>
      <c r="B28" s="15"/>
      <c r="C28" s="45" t="s">
        <v>303</v>
      </c>
      <c r="D28" s="33" t="s">
        <v>304</v>
      </c>
      <c r="E28" s="33" t="s">
        <v>95</v>
      </c>
      <c r="F28" s="36">
        <v>276500</v>
      </c>
      <c r="G28" s="37">
        <v>2252.7837500000001</v>
      </c>
      <c r="H28" s="38">
        <v>2252.7800000000002</v>
      </c>
      <c r="I28" s="46">
        <v>1.6938819437371803E-2</v>
      </c>
      <c r="J28" s="3">
        <v>1.6899999999999998E-2</v>
      </c>
    </row>
    <row r="29" spans="1:10" ht="12.95" customHeight="1">
      <c r="A29" s="2" t="s">
        <v>310</v>
      </c>
      <c r="B29" s="15"/>
      <c r="C29" s="45" t="s">
        <v>311</v>
      </c>
      <c r="D29" s="33" t="s">
        <v>312</v>
      </c>
      <c r="E29" s="33" t="s">
        <v>132</v>
      </c>
      <c r="F29" s="36">
        <v>84000</v>
      </c>
      <c r="G29" s="37">
        <v>2245.6559999999999</v>
      </c>
      <c r="H29" s="38">
        <v>2245.66</v>
      </c>
      <c r="I29" s="46">
        <v>1.6885225447160923E-2</v>
      </c>
      <c r="J29" s="3">
        <v>1.6899999999999998E-2</v>
      </c>
    </row>
    <row r="30" spans="1:10" ht="12.95" customHeight="1">
      <c r="A30" s="2" t="s">
        <v>88</v>
      </c>
      <c r="B30" s="15"/>
      <c r="C30" s="45" t="s">
        <v>89</v>
      </c>
      <c r="D30" s="33" t="s">
        <v>90</v>
      </c>
      <c r="E30" s="33" t="s">
        <v>91</v>
      </c>
      <c r="F30" s="36">
        <v>833665</v>
      </c>
      <c r="G30" s="37">
        <v>2236.723195</v>
      </c>
      <c r="H30" s="38">
        <v>2236.7199999999998</v>
      </c>
      <c r="I30" s="46">
        <v>1.6818059137494384E-2</v>
      </c>
      <c r="J30" s="3">
        <v>1.6799999999999999E-2</v>
      </c>
    </row>
    <row r="31" spans="1:10" ht="12.95" customHeight="1">
      <c r="A31" s="2" t="s">
        <v>77</v>
      </c>
      <c r="B31" s="15"/>
      <c r="C31" s="45" t="s">
        <v>78</v>
      </c>
      <c r="D31" s="33" t="s">
        <v>79</v>
      </c>
      <c r="E31" s="33" t="s">
        <v>80</v>
      </c>
      <c r="F31" s="36">
        <v>611787</v>
      </c>
      <c r="G31" s="37">
        <v>2184.3854835000002</v>
      </c>
      <c r="H31" s="38">
        <v>2184.39</v>
      </c>
      <c r="I31" s="46">
        <v>1.6424528668862515E-2</v>
      </c>
      <c r="J31" s="3">
        <v>1.6400000000000001E-2</v>
      </c>
    </row>
    <row r="32" spans="1:10" ht="12.95" customHeight="1">
      <c r="A32" s="2" t="s">
        <v>316</v>
      </c>
      <c r="B32" s="15"/>
      <c r="C32" s="45" t="s">
        <v>317</v>
      </c>
      <c r="D32" s="33" t="s">
        <v>318</v>
      </c>
      <c r="E32" s="33" t="s">
        <v>121</v>
      </c>
      <c r="F32" s="36">
        <v>219500</v>
      </c>
      <c r="G32" s="37">
        <v>2155.81925</v>
      </c>
      <c r="H32" s="38">
        <v>2155.8200000000002</v>
      </c>
      <c r="I32" s="46">
        <v>1.6209737403938704E-2</v>
      </c>
      <c r="J32" s="3">
        <v>1.6199999999999999E-2</v>
      </c>
    </row>
    <row r="33" spans="1:10" ht="12.95" customHeight="1">
      <c r="A33" s="2" t="s">
        <v>66</v>
      </c>
      <c r="B33" s="15"/>
      <c r="C33" s="45" t="s">
        <v>67</v>
      </c>
      <c r="D33" s="33" t="s">
        <v>68</v>
      </c>
      <c r="E33" s="33" t="s">
        <v>69</v>
      </c>
      <c r="F33" s="36">
        <v>83993</v>
      </c>
      <c r="G33" s="37">
        <v>2075.8869949999998</v>
      </c>
      <c r="H33" s="38">
        <v>2075.89</v>
      </c>
      <c r="I33" s="46">
        <v>1.5608721867198012E-2</v>
      </c>
      <c r="J33" s="3">
        <v>1.5599999999999999E-2</v>
      </c>
    </row>
    <row r="34" spans="1:10" ht="12.95" customHeight="1">
      <c r="A34" s="2" t="s">
        <v>109</v>
      </c>
      <c r="B34" s="15"/>
      <c r="C34" s="45" t="s">
        <v>110</v>
      </c>
      <c r="D34" s="33" t="s">
        <v>111</v>
      </c>
      <c r="E34" s="33" t="s">
        <v>76</v>
      </c>
      <c r="F34" s="36">
        <v>154000</v>
      </c>
      <c r="G34" s="37">
        <v>1974.203</v>
      </c>
      <c r="H34" s="38">
        <v>1974.2</v>
      </c>
      <c r="I34" s="46">
        <v>1.4844153660873008E-2</v>
      </c>
      <c r="J34" s="3">
        <v>1.4800000000000001E-2</v>
      </c>
    </row>
    <row r="35" spans="1:10" ht="12.95" customHeight="1">
      <c r="A35" s="2" t="s">
        <v>308</v>
      </c>
      <c r="B35" s="15"/>
      <c r="C35" s="45" t="s">
        <v>552</v>
      </c>
      <c r="D35" s="33" t="s">
        <v>309</v>
      </c>
      <c r="E35" s="33" t="s">
        <v>219</v>
      </c>
      <c r="F35" s="36">
        <v>889662</v>
      </c>
      <c r="G35" s="37">
        <v>1925.673399</v>
      </c>
      <c r="H35" s="38">
        <v>1925.67</v>
      </c>
      <c r="I35" s="46">
        <v>1.4479256609078003E-2</v>
      </c>
      <c r="J35" s="3">
        <v>1.4500000000000001E-2</v>
      </c>
    </row>
    <row r="36" spans="1:10" ht="12.95" customHeight="1">
      <c r="A36" s="2" t="s">
        <v>325</v>
      </c>
      <c r="B36" s="15"/>
      <c r="C36" s="45" t="s">
        <v>326</v>
      </c>
      <c r="D36" s="33" t="s">
        <v>327</v>
      </c>
      <c r="E36" s="33" t="s">
        <v>328</v>
      </c>
      <c r="F36" s="36">
        <v>507291</v>
      </c>
      <c r="G36" s="37">
        <v>1713.8826435000001</v>
      </c>
      <c r="H36" s="38">
        <v>1713.88</v>
      </c>
      <c r="I36" s="46">
        <v>1.2886788905101063E-2</v>
      </c>
      <c r="J36" s="3">
        <v>1.29E-2</v>
      </c>
    </row>
    <row r="37" spans="1:10" ht="12.95" customHeight="1">
      <c r="A37" s="2" t="s">
        <v>118</v>
      </c>
      <c r="B37" s="15"/>
      <c r="C37" s="45" t="s">
        <v>119</v>
      </c>
      <c r="D37" s="33" t="s">
        <v>120</v>
      </c>
      <c r="E37" s="33" t="s">
        <v>121</v>
      </c>
      <c r="F37" s="36">
        <v>198161</v>
      </c>
      <c r="G37" s="37">
        <v>1582.2165044999999</v>
      </c>
      <c r="H37" s="38">
        <v>1582.22</v>
      </c>
      <c r="I37" s="46">
        <v>1.1896783115802868E-2</v>
      </c>
      <c r="J37" s="3">
        <v>1.1900000000000001E-2</v>
      </c>
    </row>
    <row r="38" spans="1:10" ht="12.95" customHeight="1">
      <c r="A38" s="2" t="s">
        <v>149</v>
      </c>
      <c r="B38" s="15"/>
      <c r="C38" s="45" t="s">
        <v>150</v>
      </c>
      <c r="D38" s="33" t="s">
        <v>151</v>
      </c>
      <c r="E38" s="33" t="s">
        <v>152</v>
      </c>
      <c r="F38" s="36">
        <v>918000</v>
      </c>
      <c r="G38" s="37">
        <v>1567.4849999999999</v>
      </c>
      <c r="H38" s="38">
        <v>1567.49</v>
      </c>
      <c r="I38" s="46">
        <v>1.1786016028297762E-2</v>
      </c>
      <c r="J38" s="3">
        <v>1.18E-2</v>
      </c>
    </row>
    <row r="39" spans="1:10" ht="12.95" customHeight="1">
      <c r="A39" s="2" t="s">
        <v>129</v>
      </c>
      <c r="B39" s="15"/>
      <c r="C39" s="45" t="s">
        <v>130</v>
      </c>
      <c r="D39" s="33" t="s">
        <v>131</v>
      </c>
      <c r="E39" s="33" t="s">
        <v>132</v>
      </c>
      <c r="F39" s="36">
        <v>234750</v>
      </c>
      <c r="G39" s="37">
        <v>1533.7391250000001</v>
      </c>
      <c r="H39" s="38">
        <v>1533.74</v>
      </c>
      <c r="I39" s="46">
        <v>1.1532278720675086E-2</v>
      </c>
      <c r="J39" s="3">
        <v>1.15E-2</v>
      </c>
    </row>
    <row r="40" spans="1:10" ht="12.95" customHeight="1">
      <c r="A40" s="2" t="s">
        <v>143</v>
      </c>
      <c r="B40" s="15"/>
      <c r="C40" s="45" t="s">
        <v>144</v>
      </c>
      <c r="D40" s="33" t="s">
        <v>145</v>
      </c>
      <c r="E40" s="33" t="s">
        <v>95</v>
      </c>
      <c r="F40" s="36">
        <v>128181</v>
      </c>
      <c r="G40" s="37">
        <v>1477.4142059999999</v>
      </c>
      <c r="H40" s="38">
        <v>1477.41</v>
      </c>
      <c r="I40" s="46">
        <v>1.1108768193858833E-2</v>
      </c>
      <c r="J40" s="3">
        <v>1.11E-2</v>
      </c>
    </row>
    <row r="41" spans="1:10" ht="12.95" customHeight="1">
      <c r="A41" s="2" t="s">
        <v>319</v>
      </c>
      <c r="B41" s="15"/>
      <c r="C41" s="45" t="s">
        <v>320</v>
      </c>
      <c r="D41" s="33" t="s">
        <v>321</v>
      </c>
      <c r="E41" s="33" t="s">
        <v>69</v>
      </c>
      <c r="F41" s="36">
        <v>69520</v>
      </c>
      <c r="G41" s="37">
        <v>1414.0368000000001</v>
      </c>
      <c r="H41" s="38">
        <v>1414.04</v>
      </c>
      <c r="I41" s="46">
        <v>1.0632229583953197E-2</v>
      </c>
      <c r="J41" s="3">
        <v>1.06E-2</v>
      </c>
    </row>
    <row r="42" spans="1:10" ht="12.95" customHeight="1">
      <c r="A42" s="2" t="s">
        <v>137</v>
      </c>
      <c r="B42" s="15"/>
      <c r="C42" s="45" t="s">
        <v>138</v>
      </c>
      <c r="D42" s="33" t="s">
        <v>139</v>
      </c>
      <c r="E42" s="33" t="s">
        <v>125</v>
      </c>
      <c r="F42" s="36">
        <v>151573</v>
      </c>
      <c r="G42" s="37">
        <v>1375.6007615000001</v>
      </c>
      <c r="H42" s="38">
        <v>1375.6</v>
      </c>
      <c r="I42" s="46">
        <v>1.0343226648789372E-2</v>
      </c>
      <c r="J42" s="3">
        <v>1.03E-2</v>
      </c>
    </row>
    <row r="43" spans="1:10" ht="12.95" customHeight="1">
      <c r="A43" s="2" t="s">
        <v>162</v>
      </c>
      <c r="B43" s="15"/>
      <c r="C43" s="45" t="s">
        <v>163</v>
      </c>
      <c r="D43" s="33" t="s">
        <v>164</v>
      </c>
      <c r="E43" s="33" t="s">
        <v>165</v>
      </c>
      <c r="F43" s="36">
        <v>161947</v>
      </c>
      <c r="G43" s="37">
        <v>1368.6950704999999</v>
      </c>
      <c r="H43" s="38">
        <v>1368.7</v>
      </c>
      <c r="I43" s="46">
        <v>1.0291302333843792E-2</v>
      </c>
      <c r="J43" s="3">
        <v>1.03E-2</v>
      </c>
    </row>
    <row r="44" spans="1:10" ht="12.95" customHeight="1">
      <c r="A44" s="2" t="s">
        <v>106</v>
      </c>
      <c r="B44" s="15"/>
      <c r="C44" s="45" t="s">
        <v>107</v>
      </c>
      <c r="D44" s="33" t="s">
        <v>108</v>
      </c>
      <c r="E44" s="33" t="s">
        <v>76</v>
      </c>
      <c r="F44" s="36">
        <v>865500</v>
      </c>
      <c r="G44" s="37">
        <v>1347.15075</v>
      </c>
      <c r="H44" s="38">
        <v>1347.15</v>
      </c>
      <c r="I44" s="46">
        <v>1.0129309264224763E-2</v>
      </c>
      <c r="J44" s="3">
        <v>1.01E-2</v>
      </c>
    </row>
    <row r="45" spans="1:10" ht="12.95" customHeight="1">
      <c r="A45" s="2" t="s">
        <v>226</v>
      </c>
      <c r="B45" s="15"/>
      <c r="C45" s="45" t="s">
        <v>227</v>
      </c>
      <c r="D45" s="33" t="s">
        <v>228</v>
      </c>
      <c r="E45" s="33" t="s">
        <v>203</v>
      </c>
      <c r="F45" s="36">
        <v>401617</v>
      </c>
      <c r="G45" s="37">
        <v>1276.5396344999999</v>
      </c>
      <c r="H45" s="38">
        <v>1276.54</v>
      </c>
      <c r="I45" s="46">
        <v>9.5983799481171219E-3</v>
      </c>
      <c r="J45" s="3">
        <v>9.5999999999999992E-3</v>
      </c>
    </row>
    <row r="46" spans="1:10" ht="12.95" customHeight="1">
      <c r="A46" s="2" t="s">
        <v>126</v>
      </c>
      <c r="B46" s="15"/>
      <c r="C46" s="45" t="s">
        <v>127</v>
      </c>
      <c r="D46" s="33" t="s">
        <v>128</v>
      </c>
      <c r="E46" s="33" t="s">
        <v>125</v>
      </c>
      <c r="F46" s="36">
        <v>127604</v>
      </c>
      <c r="G46" s="37">
        <v>1265.4488679999999</v>
      </c>
      <c r="H46" s="38">
        <v>1265.45</v>
      </c>
      <c r="I46" s="46">
        <v>9.514987793337263E-3</v>
      </c>
      <c r="J46" s="3">
        <v>9.4999999999999998E-3</v>
      </c>
    </row>
    <row r="47" spans="1:10" ht="12.95" customHeight="1">
      <c r="A47" s="2" t="s">
        <v>81</v>
      </c>
      <c r="B47" s="15"/>
      <c r="C47" s="45" t="s">
        <v>82</v>
      </c>
      <c r="D47" s="33" t="s">
        <v>83</v>
      </c>
      <c r="E47" s="33" t="s">
        <v>84</v>
      </c>
      <c r="F47" s="36">
        <v>81589</v>
      </c>
      <c r="G47" s="37">
        <v>1252.880684</v>
      </c>
      <c r="H47" s="38">
        <v>1252.8800000000001</v>
      </c>
      <c r="I47" s="46">
        <v>9.4204868455957554E-3</v>
      </c>
      <c r="J47" s="3">
        <v>9.4000000000000004E-3</v>
      </c>
    </row>
    <row r="48" spans="1:10" ht="12.95" customHeight="1">
      <c r="A48" s="2" t="s">
        <v>236</v>
      </c>
      <c r="B48" s="15"/>
      <c r="C48" s="45" t="s">
        <v>237</v>
      </c>
      <c r="D48" s="33" t="s">
        <v>238</v>
      </c>
      <c r="E48" s="33" t="s">
        <v>69</v>
      </c>
      <c r="F48" s="36">
        <v>106112</v>
      </c>
      <c r="G48" s="37">
        <v>1183.095744</v>
      </c>
      <c r="H48" s="38">
        <v>1183.0999999999999</v>
      </c>
      <c r="I48" s="46">
        <v>8.8957695938365385E-3</v>
      </c>
      <c r="J48" s="3">
        <v>8.8999999999999999E-3</v>
      </c>
    </row>
    <row r="49" spans="1:10" ht="12.95" customHeight="1">
      <c r="A49" s="2" t="s">
        <v>133</v>
      </c>
      <c r="B49" s="15"/>
      <c r="C49" s="45" t="s">
        <v>134</v>
      </c>
      <c r="D49" s="33" t="s">
        <v>135</v>
      </c>
      <c r="E49" s="33" t="s">
        <v>136</v>
      </c>
      <c r="F49" s="36">
        <v>298012</v>
      </c>
      <c r="G49" s="37">
        <v>1137.6608100000001</v>
      </c>
      <c r="H49" s="38">
        <v>1137.6600000000001</v>
      </c>
      <c r="I49" s="46">
        <v>8.5541415333647303E-3</v>
      </c>
      <c r="J49" s="3">
        <v>8.6E-3</v>
      </c>
    </row>
    <row r="50" spans="1:10" ht="12.95" customHeight="1">
      <c r="A50" s="2" t="s">
        <v>92</v>
      </c>
      <c r="B50" s="15"/>
      <c r="C50" s="45" t="s">
        <v>93</v>
      </c>
      <c r="D50" s="33" t="s">
        <v>94</v>
      </c>
      <c r="E50" s="33" t="s">
        <v>95</v>
      </c>
      <c r="F50" s="36">
        <v>34000</v>
      </c>
      <c r="G50" s="37">
        <v>1047.8800000000001</v>
      </c>
      <c r="H50" s="38">
        <v>1047.8800000000001</v>
      </c>
      <c r="I50" s="46">
        <v>7.8790741064397162E-3</v>
      </c>
      <c r="J50" s="3">
        <v>7.9000000000000008E-3</v>
      </c>
    </row>
    <row r="51" spans="1:10" ht="12.95" customHeight="1">
      <c r="A51" s="2" t="s">
        <v>146</v>
      </c>
      <c r="B51" s="15"/>
      <c r="C51" s="45" t="s">
        <v>147</v>
      </c>
      <c r="D51" s="33" t="s">
        <v>148</v>
      </c>
      <c r="E51" s="33" t="s">
        <v>69</v>
      </c>
      <c r="F51" s="36">
        <v>139380</v>
      </c>
      <c r="G51" s="37">
        <v>1033.92084</v>
      </c>
      <c r="H51" s="38">
        <v>1033.92</v>
      </c>
      <c r="I51" s="46">
        <v>7.7741143246864153E-3</v>
      </c>
      <c r="J51" s="3">
        <v>7.7999999999999996E-3</v>
      </c>
    </row>
    <row r="52" spans="1:10" ht="12.95" customHeight="1">
      <c r="A52" s="2" t="s">
        <v>112</v>
      </c>
      <c r="B52" s="15"/>
      <c r="C52" s="45" t="s">
        <v>113</v>
      </c>
      <c r="D52" s="33" t="s">
        <v>114</v>
      </c>
      <c r="E52" s="33" t="s">
        <v>61</v>
      </c>
      <c r="F52" s="36">
        <v>1444032</v>
      </c>
      <c r="G52" s="37">
        <v>923.45846400000005</v>
      </c>
      <c r="H52" s="38">
        <v>923.46</v>
      </c>
      <c r="I52" s="46">
        <v>6.9435409322393723E-3</v>
      </c>
      <c r="J52" s="3">
        <v>6.8999999999999999E-3</v>
      </c>
    </row>
    <row r="53" spans="1:10" ht="12.95" customHeight="1">
      <c r="A53" s="2" t="s">
        <v>243</v>
      </c>
      <c r="B53" s="15"/>
      <c r="C53" s="45" t="s">
        <v>244</v>
      </c>
      <c r="D53" s="33" t="s">
        <v>245</v>
      </c>
      <c r="E53" s="33" t="s">
        <v>246</v>
      </c>
      <c r="F53" s="36">
        <v>370000</v>
      </c>
      <c r="G53" s="37">
        <v>878.19500000000005</v>
      </c>
      <c r="H53" s="38">
        <v>878.2</v>
      </c>
      <c r="I53" s="46">
        <v>6.6032021652334492E-3</v>
      </c>
      <c r="J53" s="3">
        <v>6.6E-3</v>
      </c>
    </row>
    <row r="54" spans="1:10" ht="12.95" customHeight="1">
      <c r="A54" s="2" t="s">
        <v>207</v>
      </c>
      <c r="B54" s="15"/>
      <c r="C54" s="45" t="s">
        <v>208</v>
      </c>
      <c r="D54" s="33" t="s">
        <v>209</v>
      </c>
      <c r="E54" s="33" t="s">
        <v>84</v>
      </c>
      <c r="F54" s="36">
        <v>90500</v>
      </c>
      <c r="G54" s="37">
        <v>848.12075000000004</v>
      </c>
      <c r="H54" s="38">
        <v>848.12</v>
      </c>
      <c r="I54" s="46">
        <v>6.3770720315868539E-3</v>
      </c>
      <c r="J54" s="3">
        <v>6.4000000000000003E-3</v>
      </c>
    </row>
    <row r="55" spans="1:10" ht="12.95" customHeight="1">
      <c r="A55" s="2" t="s">
        <v>233</v>
      </c>
      <c r="B55" s="15"/>
      <c r="C55" s="45" t="s">
        <v>234</v>
      </c>
      <c r="D55" s="33" t="s">
        <v>235</v>
      </c>
      <c r="E55" s="33" t="s">
        <v>136</v>
      </c>
      <c r="F55" s="36">
        <v>185273</v>
      </c>
      <c r="G55" s="37">
        <v>843.54796899999997</v>
      </c>
      <c r="H55" s="38">
        <v>843.55</v>
      </c>
      <c r="I55" s="46">
        <v>6.342689010275712E-3</v>
      </c>
      <c r="J55" s="3">
        <v>6.3E-3</v>
      </c>
    </row>
    <row r="56" spans="1:10" ht="12.95" customHeight="1">
      <c r="A56" s="2" t="s">
        <v>200</v>
      </c>
      <c r="B56" s="15"/>
      <c r="C56" s="45" t="s">
        <v>201</v>
      </c>
      <c r="D56" s="33" t="s">
        <v>202</v>
      </c>
      <c r="E56" s="33" t="s">
        <v>203</v>
      </c>
      <c r="F56" s="36">
        <v>307560</v>
      </c>
      <c r="G56" s="37">
        <v>826.41372000000001</v>
      </c>
      <c r="H56" s="38">
        <v>826.41</v>
      </c>
      <c r="I56" s="46">
        <v>6.213855539239724E-3</v>
      </c>
      <c r="J56" s="3">
        <v>6.1999999999999998E-3</v>
      </c>
    </row>
    <row r="57" spans="1:10" ht="12.95" customHeight="1">
      <c r="A57" s="2" t="s">
        <v>213</v>
      </c>
      <c r="B57" s="15"/>
      <c r="C57" s="45" t="s">
        <v>214</v>
      </c>
      <c r="D57" s="33" t="s">
        <v>215</v>
      </c>
      <c r="E57" s="33" t="s">
        <v>125</v>
      </c>
      <c r="F57" s="36">
        <v>492854</v>
      </c>
      <c r="G57" s="37">
        <v>786.59498399999995</v>
      </c>
      <c r="H57" s="38">
        <v>786.59</v>
      </c>
      <c r="I57" s="46">
        <v>5.9144560166142718E-3</v>
      </c>
      <c r="J57" s="3">
        <v>5.8999999999999999E-3</v>
      </c>
    </row>
    <row r="58" spans="1:10" ht="12.95" customHeight="1">
      <c r="A58" s="2" t="s">
        <v>329</v>
      </c>
      <c r="B58" s="15"/>
      <c r="C58" s="45" t="s">
        <v>330</v>
      </c>
      <c r="D58" s="33" t="s">
        <v>331</v>
      </c>
      <c r="E58" s="33" t="s">
        <v>332</v>
      </c>
      <c r="F58" s="36">
        <v>238000</v>
      </c>
      <c r="G58" s="37">
        <v>779.68799999999999</v>
      </c>
      <c r="H58" s="38">
        <v>779.69</v>
      </c>
      <c r="I58" s="46">
        <v>5.8625219795222444E-3</v>
      </c>
      <c r="J58" s="3">
        <v>5.8999999999999999E-3</v>
      </c>
    </row>
    <row r="59" spans="1:10" ht="12.95" customHeight="1">
      <c r="A59" s="2" t="s">
        <v>336</v>
      </c>
      <c r="B59" s="15"/>
      <c r="C59" s="45" t="s">
        <v>337</v>
      </c>
      <c r="D59" s="33" t="s">
        <v>338</v>
      </c>
      <c r="E59" s="33" t="s">
        <v>80</v>
      </c>
      <c r="F59" s="36">
        <v>250000</v>
      </c>
      <c r="G59" s="37">
        <v>747.5</v>
      </c>
      <c r="H59" s="38">
        <v>747.5</v>
      </c>
      <c r="I59" s="46">
        <v>5.6204984297473833E-3</v>
      </c>
      <c r="J59" s="3">
        <v>5.5999999999999999E-3</v>
      </c>
    </row>
    <row r="60" spans="1:10" ht="12.95" customHeight="1">
      <c r="A60" s="2" t="s">
        <v>509</v>
      </c>
      <c r="B60" s="15"/>
      <c r="C60" s="45" t="s">
        <v>510</v>
      </c>
      <c r="D60" s="33" t="s">
        <v>511</v>
      </c>
      <c r="E60" s="33" t="s">
        <v>512</v>
      </c>
      <c r="F60" s="36">
        <v>303635</v>
      </c>
      <c r="G60" s="37">
        <v>645.52800999999999</v>
      </c>
      <c r="H60" s="38">
        <v>645.53</v>
      </c>
      <c r="I60" s="46">
        <v>4.8537647713216767E-3</v>
      </c>
      <c r="J60" s="3">
        <v>4.8999999999999998E-3</v>
      </c>
    </row>
    <row r="61" spans="1:10" ht="12.95" customHeight="1">
      <c r="A61" s="2" t="s">
        <v>229</v>
      </c>
      <c r="B61" s="15"/>
      <c r="C61" s="45" t="s">
        <v>230</v>
      </c>
      <c r="D61" s="33" t="s">
        <v>231</v>
      </c>
      <c r="E61" s="33" t="s">
        <v>232</v>
      </c>
      <c r="F61" s="36">
        <v>102287</v>
      </c>
      <c r="G61" s="37">
        <v>528.67035950000002</v>
      </c>
      <c r="H61" s="38">
        <v>528.66999999999996</v>
      </c>
      <c r="I61" s="46">
        <v>3.975104916954829E-3</v>
      </c>
      <c r="J61" s="3">
        <v>4.0000000000000001E-3</v>
      </c>
    </row>
    <row r="62" spans="1:10" ht="12.95" customHeight="1">
      <c r="A62" s="2" t="s">
        <v>153</v>
      </c>
      <c r="B62" s="15"/>
      <c r="C62" s="45" t="s">
        <v>154</v>
      </c>
      <c r="D62" s="33" t="s">
        <v>155</v>
      </c>
      <c r="E62" s="33" t="s">
        <v>95</v>
      </c>
      <c r="F62" s="36">
        <v>72872</v>
      </c>
      <c r="G62" s="37">
        <v>466.635852</v>
      </c>
      <c r="H62" s="38">
        <v>466.64</v>
      </c>
      <c r="I62" s="46">
        <v>3.5086636433843913E-3</v>
      </c>
      <c r="J62" s="3">
        <v>3.5000000000000001E-3</v>
      </c>
    </row>
    <row r="63" spans="1:10" ht="12.95" customHeight="1">
      <c r="A63" s="2" t="s">
        <v>410</v>
      </c>
      <c r="B63" s="15"/>
      <c r="C63" s="45" t="s">
        <v>411</v>
      </c>
      <c r="D63" s="33" t="s">
        <v>412</v>
      </c>
      <c r="E63" s="33" t="s">
        <v>219</v>
      </c>
      <c r="F63" s="36">
        <v>19129</v>
      </c>
      <c r="G63" s="37">
        <v>458.043905</v>
      </c>
      <c r="H63" s="38">
        <v>458.04</v>
      </c>
      <c r="I63" s="46">
        <v>3.4440602659636917E-3</v>
      </c>
      <c r="J63" s="3">
        <v>3.3999999999999998E-3</v>
      </c>
    </row>
    <row r="64" spans="1:10" ht="12.95" customHeight="1">
      <c r="A64" s="2" t="s">
        <v>256</v>
      </c>
      <c r="B64" s="15"/>
      <c r="C64" s="45" t="s">
        <v>257</v>
      </c>
      <c r="D64" s="33" t="s">
        <v>258</v>
      </c>
      <c r="E64" s="33" t="s">
        <v>99</v>
      </c>
      <c r="F64" s="36">
        <v>514879</v>
      </c>
      <c r="G64" s="37">
        <v>419.3689455</v>
      </c>
      <c r="H64" s="38">
        <v>419.37</v>
      </c>
      <c r="I64" s="46">
        <v>3.1532608691204897E-3</v>
      </c>
      <c r="J64" s="3">
        <v>3.2000000000000002E-3</v>
      </c>
    </row>
    <row r="65" spans="1:10" ht="12.95" customHeight="1">
      <c r="A65" s="2" t="s">
        <v>103</v>
      </c>
      <c r="B65" s="15"/>
      <c r="C65" s="45" t="s">
        <v>104</v>
      </c>
      <c r="D65" s="33" t="s">
        <v>105</v>
      </c>
      <c r="E65" s="33" t="s">
        <v>61</v>
      </c>
      <c r="F65" s="36">
        <v>37000</v>
      </c>
      <c r="G65" s="37">
        <v>269.98899999999998</v>
      </c>
      <c r="H65" s="38">
        <v>269.99</v>
      </c>
      <c r="I65" s="46">
        <v>2.0300638803331991E-3</v>
      </c>
      <c r="J65" s="3">
        <v>2E-3</v>
      </c>
    </row>
    <row r="66" spans="1:10" ht="12.95" customHeight="1">
      <c r="A66" s="2" t="s">
        <v>265</v>
      </c>
      <c r="B66" s="15"/>
      <c r="C66" s="45" t="s">
        <v>266</v>
      </c>
      <c r="D66" s="33" t="s">
        <v>267</v>
      </c>
      <c r="E66" s="33" t="s">
        <v>65</v>
      </c>
      <c r="F66" s="36">
        <v>121851</v>
      </c>
      <c r="G66" s="37">
        <v>174.42970650000001</v>
      </c>
      <c r="H66" s="38">
        <v>174.43</v>
      </c>
      <c r="I66" s="46">
        <v>1.3115476809157818E-3</v>
      </c>
      <c r="J66" s="3">
        <v>1.2999999999999999E-3</v>
      </c>
    </row>
    <row r="67" spans="1:10" ht="12.95" customHeight="1">
      <c r="A67" s="2" t="s">
        <v>424</v>
      </c>
      <c r="B67" s="15"/>
      <c r="C67" s="45" t="s">
        <v>425</v>
      </c>
      <c r="D67" s="33" t="s">
        <v>426</v>
      </c>
      <c r="E67" s="33" t="s">
        <v>271</v>
      </c>
      <c r="F67" s="36">
        <v>2097</v>
      </c>
      <c r="G67" s="37">
        <v>4.8094694999999996</v>
      </c>
      <c r="H67" s="38">
        <v>4.8099999999999996</v>
      </c>
      <c r="I67" s="46">
        <v>3.6162696685843391E-5</v>
      </c>
      <c r="J67" s="25" t="s">
        <v>513</v>
      </c>
    </row>
    <row r="68" spans="1:10" ht="12.95" customHeight="1">
      <c r="A68" s="2" t="s">
        <v>253</v>
      </c>
      <c r="B68" s="15"/>
      <c r="C68" s="45" t="s">
        <v>254</v>
      </c>
      <c r="D68" s="33" t="s">
        <v>255</v>
      </c>
      <c r="E68" s="33" t="s">
        <v>69</v>
      </c>
      <c r="F68" s="36">
        <v>400</v>
      </c>
      <c r="G68" s="37">
        <v>4.1967999999999996</v>
      </c>
      <c r="H68" s="38">
        <v>4.2</v>
      </c>
      <c r="I68" s="46">
        <v>3.1555997070185712E-5</v>
      </c>
      <c r="J68" s="25" t="s">
        <v>513</v>
      </c>
    </row>
    <row r="69" spans="1:10" ht="12.95" customHeight="1">
      <c r="A69" s="1"/>
      <c r="B69" s="13"/>
      <c r="C69" s="43" t="s">
        <v>33</v>
      </c>
      <c r="D69" s="33" t="s">
        <v>1</v>
      </c>
      <c r="E69" s="33" t="s">
        <v>1</v>
      </c>
      <c r="F69" s="33" t="s">
        <v>1</v>
      </c>
      <c r="G69" s="39">
        <v>131070.4403475</v>
      </c>
      <c r="H69" s="40">
        <v>131070.49</v>
      </c>
      <c r="I69" s="47">
        <v>0.98552669452765462</v>
      </c>
      <c r="J69" s="26">
        <v>0.98509999999999998</v>
      </c>
    </row>
    <row r="70" spans="1:10" ht="12.95" customHeight="1">
      <c r="A70" s="1"/>
      <c r="B70" s="13"/>
      <c r="C70" s="43"/>
      <c r="D70" s="33"/>
      <c r="E70" s="33"/>
      <c r="F70" s="33"/>
      <c r="G70" s="39"/>
      <c r="H70" s="40"/>
      <c r="I70" s="47"/>
      <c r="J70" s="26"/>
    </row>
    <row r="71" spans="1:10" ht="12.95" customHeight="1">
      <c r="A71" s="1"/>
      <c r="B71" s="13"/>
      <c r="C71" s="43" t="s">
        <v>272</v>
      </c>
      <c r="D71" s="33" t="s">
        <v>1</v>
      </c>
      <c r="E71" s="33" t="s">
        <v>1</v>
      </c>
      <c r="F71" s="33" t="s">
        <v>1</v>
      </c>
      <c r="G71" s="66" t="s">
        <v>273</v>
      </c>
      <c r="H71" s="42" t="s">
        <v>273</v>
      </c>
      <c r="I71" s="68" t="s">
        <v>273</v>
      </c>
      <c r="J71" s="27" t="s">
        <v>273</v>
      </c>
    </row>
    <row r="72" spans="1:10" ht="12.95" customHeight="1">
      <c r="A72" s="1"/>
      <c r="B72" s="13"/>
      <c r="C72" s="43" t="s">
        <v>33</v>
      </c>
      <c r="D72" s="33" t="s">
        <v>1</v>
      </c>
      <c r="E72" s="33" t="s">
        <v>1</v>
      </c>
      <c r="F72" s="33" t="s">
        <v>1</v>
      </c>
      <c r="G72" s="66" t="s">
        <v>273</v>
      </c>
      <c r="H72" s="42" t="s">
        <v>273</v>
      </c>
      <c r="I72" s="68" t="s">
        <v>273</v>
      </c>
      <c r="J72" s="27" t="s">
        <v>273</v>
      </c>
    </row>
    <row r="73" spans="1:10" ht="12.95" customHeight="1">
      <c r="A73" s="1"/>
      <c r="B73" s="13"/>
      <c r="C73" s="43" t="s">
        <v>45</v>
      </c>
      <c r="D73" s="33" t="s">
        <v>1</v>
      </c>
      <c r="E73" s="33" t="s">
        <v>1</v>
      </c>
      <c r="F73" s="33" t="s">
        <v>1</v>
      </c>
      <c r="G73" s="39">
        <v>131070.4403475</v>
      </c>
      <c r="H73" s="40">
        <v>131070.49</v>
      </c>
      <c r="I73" s="47">
        <v>0.98552669452765462</v>
      </c>
      <c r="J73" s="26">
        <v>0.98509999999999998</v>
      </c>
    </row>
    <row r="74" spans="1:10" ht="12.95" customHeight="1">
      <c r="A74" s="1"/>
      <c r="B74" s="13"/>
      <c r="C74" s="43"/>
      <c r="D74" s="33"/>
      <c r="E74" s="33"/>
      <c r="F74" s="33"/>
      <c r="G74" s="39"/>
      <c r="H74" s="40"/>
      <c r="I74" s="47"/>
      <c r="J74" s="63"/>
    </row>
    <row r="75" spans="1:10" ht="12.95" customHeight="1">
      <c r="A75" s="1"/>
      <c r="B75" s="13"/>
      <c r="C75" s="64" t="s">
        <v>546</v>
      </c>
      <c r="D75" s="32"/>
      <c r="E75" s="33"/>
      <c r="F75" s="33"/>
      <c r="G75" s="39"/>
      <c r="H75" s="39"/>
      <c r="I75" s="47"/>
      <c r="J75" s="63"/>
    </row>
    <row r="76" spans="1:10" ht="12.95" customHeight="1">
      <c r="A76" s="1"/>
      <c r="B76" s="13"/>
      <c r="C76" s="65" t="s">
        <v>554</v>
      </c>
      <c r="D76" s="32"/>
      <c r="E76" s="33"/>
      <c r="F76" s="66" t="s">
        <v>273</v>
      </c>
      <c r="G76" s="66" t="s">
        <v>273</v>
      </c>
      <c r="H76" s="67" t="s">
        <v>273</v>
      </c>
      <c r="I76" s="68" t="s">
        <v>273</v>
      </c>
      <c r="J76" s="63"/>
    </row>
    <row r="77" spans="1:10" ht="12.95" customHeight="1">
      <c r="A77" s="1"/>
      <c r="B77" s="13"/>
      <c r="C77" s="69" t="s">
        <v>549</v>
      </c>
      <c r="D77" s="32"/>
      <c r="E77" s="33"/>
      <c r="F77" s="66" t="s">
        <v>273</v>
      </c>
      <c r="G77" s="66" t="s">
        <v>273</v>
      </c>
      <c r="H77" s="67" t="s">
        <v>273</v>
      </c>
      <c r="I77" s="68" t="s">
        <v>273</v>
      </c>
      <c r="J77" s="63"/>
    </row>
    <row r="78" spans="1:10" ht="12.95" customHeight="1">
      <c r="A78" s="1"/>
      <c r="B78" s="13"/>
      <c r="C78" s="69" t="s">
        <v>550</v>
      </c>
      <c r="D78" s="32"/>
      <c r="E78" s="33"/>
      <c r="F78" s="66" t="s">
        <v>273</v>
      </c>
      <c r="G78" s="66" t="s">
        <v>273</v>
      </c>
      <c r="H78" s="67" t="s">
        <v>273</v>
      </c>
      <c r="I78" s="68" t="s">
        <v>273</v>
      </c>
      <c r="J78" s="63"/>
    </row>
    <row r="79" spans="1:10" ht="12.95" customHeight="1">
      <c r="A79" s="1"/>
      <c r="B79" s="13"/>
      <c r="C79" s="43"/>
      <c r="D79" s="33"/>
      <c r="E79" s="33"/>
      <c r="F79" s="33"/>
      <c r="G79" s="39"/>
      <c r="H79" s="40"/>
      <c r="I79" s="47"/>
      <c r="J79" s="63"/>
    </row>
    <row r="80" spans="1:10" ht="12.95" customHeight="1">
      <c r="A80" s="1"/>
      <c r="B80" s="13"/>
      <c r="C80" s="84" t="s">
        <v>11</v>
      </c>
      <c r="D80" s="33"/>
      <c r="E80" s="33"/>
      <c r="F80" s="33"/>
      <c r="G80" s="39"/>
      <c r="H80" s="40"/>
      <c r="I80" s="47"/>
      <c r="J80" s="63"/>
    </row>
    <row r="81" spans="1:10" ht="12.95" customHeight="1">
      <c r="A81" s="1"/>
      <c r="B81" s="13"/>
      <c r="C81" s="43" t="s">
        <v>46</v>
      </c>
      <c r="D81" s="33" t="s">
        <v>1</v>
      </c>
      <c r="E81" s="33" t="s">
        <v>1</v>
      </c>
      <c r="F81" s="33" t="s">
        <v>1</v>
      </c>
      <c r="G81" s="34" t="s">
        <v>1</v>
      </c>
      <c r="H81" s="35"/>
      <c r="I81" s="44" t="s">
        <v>1</v>
      </c>
      <c r="J81" s="4" t="s">
        <v>1</v>
      </c>
    </row>
    <row r="82" spans="1:10" ht="12.95" customHeight="1">
      <c r="A82" s="2" t="s">
        <v>47</v>
      </c>
      <c r="B82" s="15"/>
      <c r="C82" s="45" t="s">
        <v>48</v>
      </c>
      <c r="D82" s="33" t="s">
        <v>1</v>
      </c>
      <c r="E82" s="33" t="s">
        <v>49</v>
      </c>
      <c r="F82" s="36"/>
      <c r="G82" s="37">
        <v>2113.5660499999999</v>
      </c>
      <c r="H82" s="38">
        <v>2113.5700000000002</v>
      </c>
      <c r="I82" s="46">
        <v>1.5892032996912882E-2</v>
      </c>
      <c r="J82" s="3">
        <v>1.5900000000000001E-2</v>
      </c>
    </row>
    <row r="83" spans="1:10" ht="12.95" customHeight="1">
      <c r="A83" s="1"/>
      <c r="B83" s="13"/>
      <c r="C83" s="43" t="s">
        <v>33</v>
      </c>
      <c r="D83" s="33" t="s">
        <v>1</v>
      </c>
      <c r="E83" s="33" t="s">
        <v>1</v>
      </c>
      <c r="F83" s="33" t="s">
        <v>1</v>
      </c>
      <c r="G83" s="39">
        <v>2113.5660499999999</v>
      </c>
      <c r="H83" s="40">
        <v>2113.5700000000002</v>
      </c>
      <c r="I83" s="47">
        <v>1.5892032996912882E-2</v>
      </c>
      <c r="J83" s="26">
        <v>1.5900000000000001E-2</v>
      </c>
    </row>
    <row r="84" spans="1:10" ht="12.95" customHeight="1">
      <c r="A84" s="1"/>
      <c r="B84" s="13"/>
      <c r="C84" s="43"/>
      <c r="D84" s="33"/>
      <c r="E84" s="33"/>
      <c r="F84" s="33"/>
      <c r="G84" s="39"/>
      <c r="H84" s="40"/>
      <c r="I84" s="47"/>
      <c r="J84" s="26"/>
    </row>
    <row r="85" spans="1:10" ht="12.95" customHeight="1">
      <c r="A85" s="1"/>
      <c r="B85" s="13"/>
      <c r="C85" s="43" t="s">
        <v>414</v>
      </c>
      <c r="D85" s="33"/>
      <c r="E85" s="33"/>
      <c r="F85" s="33"/>
      <c r="G85" s="39"/>
      <c r="H85" s="40"/>
      <c r="I85" s="47"/>
      <c r="J85" s="26"/>
    </row>
    <row r="86" spans="1:10" ht="12.95" customHeight="1">
      <c r="A86" s="1"/>
      <c r="B86" s="13"/>
      <c r="C86" s="139" t="s">
        <v>50</v>
      </c>
      <c r="D86" s="33" t="s">
        <v>1</v>
      </c>
      <c r="E86" s="33" t="s">
        <v>1</v>
      </c>
      <c r="F86" s="33" t="s">
        <v>1</v>
      </c>
      <c r="G86" s="75">
        <v>-188.6841243476</v>
      </c>
      <c r="H86" s="76">
        <v>-188.74</v>
      </c>
      <c r="I86" s="77">
        <v>-1.4187275245675275E-3</v>
      </c>
      <c r="J86" s="26">
        <v>-1E-3</v>
      </c>
    </row>
    <row r="87" spans="1:10" ht="12.95" customHeight="1">
      <c r="A87" s="1"/>
      <c r="B87" s="13"/>
      <c r="C87" s="70" t="s">
        <v>33</v>
      </c>
      <c r="D87" s="71"/>
      <c r="E87" s="71"/>
      <c r="F87" s="71"/>
      <c r="G87" s="39">
        <v>-188.6841243476</v>
      </c>
      <c r="H87" s="73"/>
      <c r="I87" s="47">
        <v>-1.4187275245675275E-3</v>
      </c>
      <c r="J87" s="74"/>
    </row>
    <row r="88" spans="1:10" ht="12.95" customHeight="1">
      <c r="A88" s="1"/>
      <c r="B88" s="13"/>
      <c r="C88" s="70" t="s">
        <v>45</v>
      </c>
      <c r="D88" s="71"/>
      <c r="E88" s="71"/>
      <c r="F88" s="71"/>
      <c r="G88" s="72">
        <f>G83+G87</f>
        <v>1924.8819256523998</v>
      </c>
      <c r="H88" s="72">
        <f t="shared" ref="H88:I88" si="0">H83+H87</f>
        <v>2113.5700000000002</v>
      </c>
      <c r="I88" s="47">
        <f t="shared" si="0"/>
        <v>1.4473305472345354E-2</v>
      </c>
      <c r="J88" s="74"/>
    </row>
    <row r="89" spans="1:10" ht="12.95" customHeight="1" thickBot="1">
      <c r="A89" s="1"/>
      <c r="B89" s="13"/>
      <c r="C89" s="48" t="s">
        <v>51</v>
      </c>
      <c r="D89" s="49" t="s">
        <v>1</v>
      </c>
      <c r="E89" s="49" t="s">
        <v>1</v>
      </c>
      <c r="F89" s="49" t="s">
        <v>1</v>
      </c>
      <c r="G89" s="50">
        <v>132995.32227315239</v>
      </c>
      <c r="H89" s="51">
        <v>132995.32</v>
      </c>
      <c r="I89" s="52">
        <v>1</v>
      </c>
      <c r="J89" s="28">
        <v>1</v>
      </c>
    </row>
    <row r="90" spans="1:10" s="16" customFormat="1" ht="12.95" customHeight="1">
      <c r="A90" s="13"/>
      <c r="B90" s="13"/>
      <c r="C90" s="14" t="s">
        <v>1</v>
      </c>
      <c r="D90" s="13"/>
      <c r="E90" s="13"/>
      <c r="F90" s="13"/>
      <c r="G90" s="18"/>
      <c r="H90" s="13"/>
      <c r="I90" s="19"/>
      <c r="J90" s="13"/>
    </row>
    <row r="91" spans="1:10" s="16" customFormat="1" ht="12.95" customHeight="1">
      <c r="A91" s="13"/>
      <c r="B91" s="13"/>
      <c r="C91" s="21" t="s">
        <v>49</v>
      </c>
      <c r="D91" s="13"/>
      <c r="E91" s="13"/>
      <c r="F91" s="13"/>
      <c r="G91" s="18"/>
      <c r="H91" s="13"/>
      <c r="I91" s="19"/>
      <c r="J91" s="13"/>
    </row>
    <row r="92" spans="1:10" s="16" customFormat="1" ht="12.95" customHeight="1">
      <c r="A92" s="13"/>
      <c r="B92" s="13"/>
      <c r="C92" s="78" t="s">
        <v>514</v>
      </c>
      <c r="D92" s="79"/>
      <c r="E92" s="13"/>
      <c r="F92" s="13"/>
      <c r="G92" s="18"/>
      <c r="H92" s="13"/>
      <c r="I92" s="19"/>
      <c r="J92" s="13"/>
    </row>
    <row r="93" spans="1:10" s="16" customFormat="1" ht="12.95" customHeight="1">
      <c r="A93" s="13"/>
      <c r="B93" s="13"/>
      <c r="C93" s="78" t="s">
        <v>539</v>
      </c>
      <c r="D93" s="79"/>
      <c r="E93" s="13"/>
      <c r="F93" s="13"/>
      <c r="G93" s="18"/>
      <c r="H93" s="13"/>
      <c r="I93" s="19"/>
      <c r="J93" s="13"/>
    </row>
    <row r="94" spans="1:10" s="16" customFormat="1" ht="12.95" customHeight="1" thickBot="1">
      <c r="A94" s="13"/>
      <c r="B94" s="13"/>
      <c r="C94" s="78" t="s">
        <v>1</v>
      </c>
      <c r="D94" s="79"/>
      <c r="E94" s="13"/>
      <c r="F94" s="13"/>
      <c r="G94" s="18"/>
      <c r="H94" s="13"/>
      <c r="I94" s="19"/>
      <c r="J94" s="13"/>
    </row>
    <row r="95" spans="1:10" s="16" customFormat="1" ht="13.5" thickBot="1">
      <c r="C95" s="80" t="s">
        <v>555</v>
      </c>
      <c r="D95" s="81">
        <v>0.58720000000000006</v>
      </c>
      <c r="G95" s="22"/>
      <c r="I95" s="23"/>
    </row>
    <row r="96" spans="1:10" s="16" customFormat="1">
      <c r="C96" s="82" t="s">
        <v>556</v>
      </c>
      <c r="D96" s="82"/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  <row r="597" spans="7:9" s="16" customFormat="1">
      <c r="G597" s="22"/>
      <c r="I597" s="23"/>
    </row>
    <row r="598" spans="7:9" s="16" customFormat="1">
      <c r="G598" s="22"/>
      <c r="I598" s="23"/>
    </row>
    <row r="599" spans="7:9" s="16" customFormat="1">
      <c r="G599" s="22"/>
      <c r="I599" s="23"/>
    </row>
    <row r="600" spans="7:9" s="16" customFormat="1">
      <c r="G600" s="22"/>
      <c r="I600" s="23"/>
    </row>
    <row r="601" spans="7:9" s="16" customFormat="1">
      <c r="G601" s="22"/>
      <c r="I601" s="23"/>
    </row>
    <row r="602" spans="7:9" s="16" customFormat="1">
      <c r="G602" s="22"/>
      <c r="I602" s="23"/>
    </row>
    <row r="603" spans="7:9" s="16" customFormat="1">
      <c r="G603" s="22"/>
      <c r="I603" s="23"/>
    </row>
    <row r="604" spans="7:9" s="16" customFormat="1">
      <c r="G604" s="22"/>
      <c r="I604" s="23"/>
    </row>
    <row r="605" spans="7:9" s="16" customFormat="1">
      <c r="G605" s="22"/>
      <c r="I605" s="23"/>
    </row>
    <row r="606" spans="7:9" s="16" customFormat="1">
      <c r="G606" s="22"/>
      <c r="I606" s="23"/>
    </row>
    <row r="607" spans="7:9" s="16" customFormat="1">
      <c r="G607" s="22"/>
      <c r="I607" s="23"/>
    </row>
    <row r="608" spans="7:9" s="16" customFormat="1">
      <c r="G608" s="22"/>
      <c r="I608" s="23"/>
    </row>
    <row r="609" spans="7:9" s="16" customFormat="1">
      <c r="G609" s="22"/>
      <c r="I609" s="23"/>
    </row>
    <row r="610" spans="7:9" s="16" customFormat="1">
      <c r="G610" s="22"/>
      <c r="I610" s="23"/>
    </row>
    <row r="611" spans="7:9" s="16" customFormat="1">
      <c r="G611" s="22"/>
      <c r="I611" s="23"/>
    </row>
    <row r="612" spans="7:9" s="16" customFormat="1">
      <c r="G612" s="22"/>
      <c r="I612" s="23"/>
    </row>
    <row r="613" spans="7:9" s="16" customFormat="1">
      <c r="G613" s="22"/>
      <c r="I613" s="23"/>
    </row>
    <row r="614" spans="7:9" s="16" customFormat="1">
      <c r="G614" s="22"/>
      <c r="I614" s="23"/>
    </row>
    <row r="615" spans="7:9" s="16" customFormat="1">
      <c r="G615" s="22"/>
      <c r="I615" s="23"/>
    </row>
    <row r="616" spans="7:9" s="16" customFormat="1">
      <c r="G616" s="22"/>
      <c r="I616" s="23"/>
    </row>
    <row r="617" spans="7:9" s="16" customFormat="1">
      <c r="G617" s="22"/>
      <c r="I617" s="23"/>
    </row>
    <row r="618" spans="7:9" s="16" customFormat="1">
      <c r="G618" s="22"/>
      <c r="I618" s="23"/>
    </row>
    <row r="619" spans="7:9" s="16" customFormat="1">
      <c r="G619" s="22"/>
      <c r="I619" s="23"/>
    </row>
    <row r="620" spans="7:9" s="16" customFormat="1">
      <c r="G620" s="22"/>
      <c r="I620" s="23"/>
    </row>
    <row r="621" spans="7:9" s="16" customFormat="1">
      <c r="G621" s="22"/>
      <c r="I621" s="23"/>
    </row>
    <row r="622" spans="7:9" s="16" customFormat="1">
      <c r="G622" s="22"/>
      <c r="I622" s="23"/>
    </row>
    <row r="623" spans="7:9" s="16" customFormat="1">
      <c r="G623" s="22"/>
      <c r="I623" s="23"/>
    </row>
    <row r="624" spans="7:9" s="16" customFormat="1">
      <c r="G624" s="22"/>
      <c r="I624" s="23"/>
    </row>
    <row r="625" spans="7:9" s="16" customFormat="1">
      <c r="G625" s="22"/>
      <c r="I625" s="23"/>
    </row>
    <row r="626" spans="7:9" s="16" customFormat="1">
      <c r="G626" s="22"/>
      <c r="I626" s="23"/>
    </row>
    <row r="627" spans="7:9" s="16" customFormat="1">
      <c r="G627" s="22"/>
      <c r="I627" s="23"/>
    </row>
    <row r="628" spans="7:9" s="16" customFormat="1">
      <c r="G628" s="22"/>
      <c r="I628" s="23"/>
    </row>
    <row r="629" spans="7:9" s="16" customFormat="1">
      <c r="G629" s="22"/>
      <c r="I629" s="23"/>
    </row>
    <row r="630" spans="7:9" s="16" customFormat="1">
      <c r="G630" s="22"/>
      <c r="I630" s="23"/>
    </row>
    <row r="631" spans="7:9" s="16" customFormat="1">
      <c r="G631" s="22"/>
      <c r="I631" s="23"/>
    </row>
    <row r="632" spans="7:9" s="16" customFormat="1">
      <c r="G632" s="22"/>
      <c r="I632" s="23"/>
    </row>
    <row r="633" spans="7:9" s="16" customFormat="1">
      <c r="G633" s="22"/>
      <c r="I633" s="23"/>
    </row>
    <row r="634" spans="7:9" s="16" customFormat="1">
      <c r="G634" s="22"/>
      <c r="I634" s="23"/>
    </row>
    <row r="635" spans="7:9" s="16" customFormat="1">
      <c r="G635" s="22"/>
      <c r="I635" s="23"/>
    </row>
    <row r="636" spans="7:9" s="16" customFormat="1">
      <c r="G636" s="22"/>
      <c r="I636" s="23"/>
    </row>
    <row r="637" spans="7:9" s="16" customFormat="1">
      <c r="G637" s="22"/>
      <c r="I637" s="23"/>
    </row>
    <row r="638" spans="7:9" s="16" customFormat="1">
      <c r="G638" s="22"/>
      <c r="I638" s="23"/>
    </row>
    <row r="639" spans="7:9" s="16" customFormat="1">
      <c r="G639" s="22"/>
      <c r="I639" s="23"/>
    </row>
    <row r="640" spans="7:9" s="16" customFormat="1">
      <c r="G640" s="22"/>
      <c r="I640" s="23"/>
    </row>
    <row r="641" spans="7:9" s="16" customFormat="1">
      <c r="G641" s="22"/>
      <c r="I641" s="23"/>
    </row>
    <row r="642" spans="7:9" s="16" customFormat="1">
      <c r="G642" s="22"/>
      <c r="I642" s="23"/>
    </row>
    <row r="643" spans="7:9" s="16" customFormat="1">
      <c r="G643" s="22"/>
      <c r="I643" s="23"/>
    </row>
    <row r="644" spans="7:9" s="16" customFormat="1">
      <c r="G644" s="22"/>
      <c r="I644" s="23"/>
    </row>
    <row r="645" spans="7:9" s="16" customFormat="1">
      <c r="G645" s="22"/>
      <c r="I645" s="23"/>
    </row>
    <row r="646" spans="7:9" s="16" customFormat="1">
      <c r="G646" s="22"/>
      <c r="I646" s="23"/>
    </row>
    <row r="647" spans="7:9" s="16" customFormat="1">
      <c r="G647" s="22"/>
      <c r="I647" s="23"/>
    </row>
    <row r="648" spans="7:9" s="16" customFormat="1">
      <c r="G648" s="22"/>
      <c r="I648" s="23"/>
    </row>
    <row r="649" spans="7:9" s="16" customFormat="1">
      <c r="G649" s="22"/>
      <c r="I649" s="23"/>
    </row>
    <row r="650" spans="7:9" s="16" customFormat="1">
      <c r="G650" s="22"/>
      <c r="I650" s="23"/>
    </row>
    <row r="651" spans="7:9" s="16" customFormat="1">
      <c r="G651" s="22"/>
      <c r="I651" s="23"/>
    </row>
    <row r="652" spans="7:9" s="16" customFormat="1">
      <c r="G652" s="22"/>
      <c r="I652" s="23"/>
    </row>
    <row r="653" spans="7:9" s="16" customFormat="1">
      <c r="G653" s="22"/>
      <c r="I653" s="23"/>
    </row>
    <row r="654" spans="7:9" s="16" customFormat="1">
      <c r="G654" s="22"/>
      <c r="I654" s="23"/>
    </row>
    <row r="655" spans="7:9" s="16" customFormat="1">
      <c r="G655" s="22"/>
      <c r="I655" s="23"/>
    </row>
    <row r="656" spans="7:9" s="16" customFormat="1">
      <c r="G656" s="22"/>
      <c r="I656" s="23"/>
    </row>
    <row r="657" spans="7:9" s="16" customFormat="1">
      <c r="G657" s="22"/>
      <c r="I657" s="23"/>
    </row>
    <row r="658" spans="7:9" s="16" customFormat="1">
      <c r="G658" s="22"/>
      <c r="I658" s="23"/>
    </row>
    <row r="659" spans="7:9" s="16" customFormat="1">
      <c r="G659" s="22"/>
      <c r="I659" s="23"/>
    </row>
    <row r="660" spans="7:9" s="16" customFormat="1">
      <c r="G660" s="22"/>
      <c r="I660" s="23"/>
    </row>
    <row r="661" spans="7:9" s="16" customFormat="1">
      <c r="G661" s="22"/>
      <c r="I661" s="23"/>
    </row>
    <row r="662" spans="7:9" s="16" customFormat="1">
      <c r="G662" s="22"/>
      <c r="I662" s="23"/>
    </row>
    <row r="663" spans="7:9" s="16" customFormat="1">
      <c r="G663" s="22"/>
      <c r="I663" s="23"/>
    </row>
    <row r="664" spans="7:9" s="16" customFormat="1">
      <c r="G664" s="22"/>
      <c r="I664" s="23"/>
    </row>
    <row r="665" spans="7:9" s="16" customFormat="1">
      <c r="G665" s="22"/>
      <c r="I665" s="23"/>
    </row>
    <row r="666" spans="7:9" s="16" customFormat="1">
      <c r="G666" s="22"/>
      <c r="I666" s="23"/>
    </row>
    <row r="667" spans="7:9" s="16" customFormat="1">
      <c r="G667" s="22"/>
      <c r="I667" s="23"/>
    </row>
    <row r="668" spans="7:9" s="16" customFormat="1">
      <c r="G668" s="22"/>
      <c r="I668" s="23"/>
    </row>
    <row r="669" spans="7:9" s="16" customFormat="1">
      <c r="G669" s="22"/>
      <c r="I669" s="23"/>
    </row>
    <row r="670" spans="7:9" s="16" customFormat="1">
      <c r="G670" s="22"/>
      <c r="I670" s="23"/>
    </row>
    <row r="671" spans="7:9" s="16" customFormat="1">
      <c r="G671" s="22"/>
      <c r="I671" s="23"/>
    </row>
    <row r="672" spans="7:9" s="16" customFormat="1">
      <c r="G672" s="22"/>
      <c r="I672" s="23"/>
    </row>
    <row r="673" spans="7:9" s="16" customFormat="1">
      <c r="G673" s="22"/>
      <c r="I673" s="23"/>
    </row>
    <row r="674" spans="7:9" s="16" customFormat="1">
      <c r="G674" s="22"/>
      <c r="I674" s="23"/>
    </row>
    <row r="675" spans="7:9" s="16" customFormat="1">
      <c r="G675" s="22"/>
      <c r="I675" s="23"/>
    </row>
    <row r="676" spans="7:9" s="16" customFormat="1">
      <c r="G676" s="22"/>
      <c r="I676" s="23"/>
    </row>
    <row r="677" spans="7:9" s="16" customFormat="1">
      <c r="G677" s="22"/>
      <c r="I677" s="23"/>
    </row>
    <row r="678" spans="7:9" s="16" customFormat="1">
      <c r="G678" s="22"/>
      <c r="I678" s="23"/>
    </row>
    <row r="679" spans="7:9" s="16" customFormat="1">
      <c r="G679" s="22"/>
      <c r="I679" s="23"/>
    </row>
    <row r="680" spans="7:9" s="16" customFormat="1">
      <c r="G680" s="22"/>
      <c r="I680" s="23"/>
    </row>
    <row r="681" spans="7:9" s="16" customFormat="1">
      <c r="G681" s="22"/>
      <c r="I681" s="23"/>
    </row>
    <row r="682" spans="7:9" s="16" customFormat="1">
      <c r="G682" s="22"/>
      <c r="I682" s="23"/>
    </row>
    <row r="683" spans="7:9" s="16" customFormat="1">
      <c r="G683" s="22"/>
      <c r="I683" s="23"/>
    </row>
    <row r="684" spans="7:9" s="16" customFormat="1">
      <c r="G684" s="22"/>
      <c r="I684" s="23"/>
    </row>
    <row r="685" spans="7:9" s="16" customFormat="1">
      <c r="G685" s="22"/>
      <c r="I685" s="23"/>
    </row>
    <row r="686" spans="7:9" s="16" customFormat="1">
      <c r="G686" s="22"/>
      <c r="I686" s="23"/>
    </row>
    <row r="687" spans="7:9" s="16" customFormat="1">
      <c r="G687" s="22"/>
      <c r="I687" s="23"/>
    </row>
    <row r="688" spans="7:9" s="16" customFormat="1">
      <c r="G688" s="22"/>
      <c r="I688" s="23"/>
    </row>
    <row r="689" spans="7:9" s="16" customFormat="1">
      <c r="G689" s="22"/>
      <c r="I689" s="23"/>
    </row>
    <row r="690" spans="7:9" s="16" customFormat="1">
      <c r="G690" s="22"/>
      <c r="I690" s="23"/>
    </row>
    <row r="691" spans="7:9" s="16" customFormat="1">
      <c r="G691" s="22"/>
      <c r="I691" s="23"/>
    </row>
    <row r="692" spans="7:9" s="16" customFormat="1">
      <c r="G692" s="22"/>
      <c r="I692" s="23"/>
    </row>
    <row r="693" spans="7:9" s="16" customFormat="1">
      <c r="G693" s="22"/>
      <c r="I693" s="23"/>
    </row>
    <row r="694" spans="7:9" s="16" customFormat="1">
      <c r="G694" s="22"/>
      <c r="I694" s="23"/>
    </row>
    <row r="695" spans="7:9" s="16" customFormat="1">
      <c r="G695" s="22"/>
      <c r="I695" s="23"/>
    </row>
    <row r="696" spans="7:9" s="16" customFormat="1">
      <c r="G696" s="22"/>
      <c r="I696" s="23"/>
    </row>
    <row r="697" spans="7:9" s="16" customFormat="1">
      <c r="G697" s="22"/>
      <c r="I697" s="23"/>
    </row>
    <row r="698" spans="7:9" s="16" customFormat="1">
      <c r="G698" s="22"/>
      <c r="I698" s="23"/>
    </row>
    <row r="699" spans="7:9" s="16" customFormat="1">
      <c r="G699" s="22"/>
      <c r="I699" s="23"/>
    </row>
    <row r="700" spans="7:9" s="16" customFormat="1">
      <c r="G700" s="22"/>
      <c r="I700" s="23"/>
    </row>
    <row r="701" spans="7:9" s="16" customFormat="1">
      <c r="G701" s="22"/>
      <c r="I701" s="23"/>
    </row>
    <row r="702" spans="7:9" s="16" customFormat="1">
      <c r="G702" s="22"/>
      <c r="I702" s="23"/>
    </row>
    <row r="703" spans="7:9" s="16" customFormat="1">
      <c r="G703" s="22"/>
      <c r="I703" s="23"/>
    </row>
    <row r="704" spans="7:9" s="16" customFormat="1">
      <c r="G704" s="22"/>
      <c r="I704" s="23"/>
    </row>
    <row r="705" spans="7:9" s="16" customFormat="1">
      <c r="G705" s="22"/>
      <c r="I705" s="23"/>
    </row>
    <row r="706" spans="7:9" s="16" customFormat="1">
      <c r="G706" s="22"/>
      <c r="I706" s="23"/>
    </row>
    <row r="707" spans="7:9" s="16" customFormat="1">
      <c r="G707" s="22"/>
      <c r="I707" s="23"/>
    </row>
    <row r="708" spans="7:9" s="16" customFormat="1">
      <c r="G708" s="22"/>
      <c r="I708" s="23"/>
    </row>
    <row r="709" spans="7:9" s="16" customFormat="1">
      <c r="G709" s="22"/>
      <c r="I709" s="23"/>
    </row>
    <row r="710" spans="7:9" s="16" customFormat="1">
      <c r="G710" s="22"/>
      <c r="I710" s="23"/>
    </row>
    <row r="711" spans="7:9" s="16" customFormat="1">
      <c r="G711" s="22"/>
      <c r="I711" s="23"/>
    </row>
    <row r="712" spans="7:9" s="16" customFormat="1">
      <c r="G712" s="22"/>
      <c r="I712" s="23"/>
    </row>
    <row r="713" spans="7:9" s="16" customFormat="1">
      <c r="G713" s="22"/>
      <c r="I713" s="23"/>
    </row>
    <row r="714" spans="7:9" s="16" customFormat="1">
      <c r="G714" s="22"/>
      <c r="I714" s="23"/>
    </row>
    <row r="715" spans="7:9" s="16" customFormat="1">
      <c r="G715" s="22"/>
      <c r="I715" s="23"/>
    </row>
    <row r="716" spans="7:9" s="16" customFormat="1">
      <c r="G716" s="22"/>
      <c r="I716" s="23"/>
    </row>
    <row r="717" spans="7:9" s="16" customFormat="1">
      <c r="G717" s="22"/>
      <c r="I717" s="23"/>
    </row>
    <row r="718" spans="7:9" s="16" customFormat="1">
      <c r="G718" s="22"/>
      <c r="I718" s="23"/>
    </row>
    <row r="719" spans="7:9" s="16" customFormat="1">
      <c r="G719" s="22"/>
      <c r="I719" s="23"/>
    </row>
    <row r="720" spans="7:9" s="16" customFormat="1">
      <c r="G720" s="22"/>
      <c r="I720" s="23"/>
    </row>
    <row r="721" spans="7:9" s="16" customFormat="1">
      <c r="G721" s="22"/>
      <c r="I721" s="23"/>
    </row>
    <row r="722" spans="7:9" s="16" customFormat="1">
      <c r="G722" s="22"/>
      <c r="I722" s="23"/>
    </row>
    <row r="723" spans="7:9" s="16" customFormat="1">
      <c r="G723" s="22"/>
      <c r="I723" s="23"/>
    </row>
    <row r="724" spans="7:9" s="16" customFormat="1">
      <c r="G724" s="22"/>
      <c r="I724" s="23"/>
    </row>
    <row r="725" spans="7:9" s="16" customFormat="1">
      <c r="G725" s="22"/>
      <c r="I725" s="23"/>
    </row>
    <row r="726" spans="7:9" s="16" customFormat="1">
      <c r="G726" s="22"/>
      <c r="I726" s="23"/>
    </row>
    <row r="727" spans="7:9" s="16" customFormat="1">
      <c r="G727" s="22"/>
      <c r="I727" s="23"/>
    </row>
    <row r="728" spans="7:9" s="16" customFormat="1">
      <c r="G728" s="22"/>
      <c r="I728" s="23"/>
    </row>
    <row r="729" spans="7:9" s="16" customFormat="1">
      <c r="G729" s="22"/>
      <c r="I729" s="23"/>
    </row>
    <row r="730" spans="7:9" s="16" customFormat="1">
      <c r="G730" s="22"/>
      <c r="I730" s="23"/>
    </row>
    <row r="731" spans="7:9" s="16" customFormat="1">
      <c r="G731" s="22"/>
      <c r="I731" s="23"/>
    </row>
    <row r="732" spans="7:9" s="16" customFormat="1">
      <c r="G732" s="22"/>
      <c r="I732" s="23"/>
    </row>
    <row r="733" spans="7:9" s="16" customFormat="1">
      <c r="G733" s="22"/>
      <c r="I733" s="23"/>
    </row>
    <row r="734" spans="7:9" s="16" customFormat="1">
      <c r="G734" s="22"/>
      <c r="I734" s="23"/>
    </row>
    <row r="735" spans="7:9" s="16" customFormat="1">
      <c r="G735" s="22"/>
      <c r="I735" s="23"/>
    </row>
    <row r="736" spans="7:9" s="16" customFormat="1">
      <c r="G736" s="22"/>
      <c r="I736" s="23"/>
    </row>
    <row r="737" spans="7:9" s="16" customFormat="1">
      <c r="G737" s="22"/>
      <c r="I737" s="23"/>
    </row>
    <row r="738" spans="7:9" s="16" customFormat="1">
      <c r="G738" s="22"/>
      <c r="I738" s="23"/>
    </row>
    <row r="739" spans="7:9" s="16" customFormat="1">
      <c r="G739" s="22"/>
      <c r="I739" s="23"/>
    </row>
    <row r="740" spans="7:9" s="16" customFormat="1">
      <c r="G740" s="22"/>
      <c r="I740" s="23"/>
    </row>
    <row r="741" spans="7:9" s="16" customFormat="1">
      <c r="G741" s="22"/>
      <c r="I741" s="23"/>
    </row>
    <row r="742" spans="7:9" s="16" customFormat="1">
      <c r="G742" s="22"/>
      <c r="I742" s="23"/>
    </row>
    <row r="743" spans="7:9" s="16" customFormat="1">
      <c r="G743" s="22"/>
      <c r="I743" s="23"/>
    </row>
    <row r="744" spans="7:9" s="16" customFormat="1">
      <c r="G744" s="22"/>
      <c r="I744" s="23"/>
    </row>
    <row r="745" spans="7:9" s="16" customFormat="1">
      <c r="G745" s="22"/>
      <c r="I745" s="23"/>
    </row>
    <row r="746" spans="7:9" s="16" customFormat="1">
      <c r="G746" s="22"/>
      <c r="I746" s="23"/>
    </row>
    <row r="747" spans="7:9" s="16" customFormat="1">
      <c r="G747" s="22"/>
      <c r="I747" s="23"/>
    </row>
    <row r="748" spans="7:9" s="16" customFormat="1">
      <c r="G748" s="22"/>
      <c r="I748" s="23"/>
    </row>
    <row r="749" spans="7:9" s="16" customFormat="1">
      <c r="G749" s="22"/>
      <c r="I749" s="23"/>
    </row>
    <row r="750" spans="7:9" s="16" customFormat="1">
      <c r="G750" s="22"/>
      <c r="I750" s="23"/>
    </row>
    <row r="751" spans="7:9" s="16" customFormat="1">
      <c r="G751" s="22"/>
      <c r="I751" s="23"/>
    </row>
    <row r="752" spans="7:9" s="16" customFormat="1">
      <c r="G752" s="22"/>
      <c r="I752" s="23"/>
    </row>
    <row r="753" spans="7:9" s="16" customFormat="1">
      <c r="G753" s="22"/>
      <c r="I753" s="23"/>
    </row>
    <row r="754" spans="7:9" s="16" customFormat="1">
      <c r="G754" s="22"/>
      <c r="I754" s="23"/>
    </row>
    <row r="755" spans="7:9" s="16" customFormat="1">
      <c r="G755" s="22"/>
      <c r="I755" s="23"/>
    </row>
    <row r="756" spans="7:9" s="16" customFormat="1">
      <c r="G756" s="22"/>
      <c r="I756" s="23"/>
    </row>
    <row r="757" spans="7:9" s="16" customFormat="1">
      <c r="G757" s="22"/>
      <c r="I757" s="23"/>
    </row>
    <row r="758" spans="7:9" s="16" customFormat="1">
      <c r="G758" s="22"/>
      <c r="I758" s="23"/>
    </row>
    <row r="759" spans="7:9" s="16" customFormat="1">
      <c r="G759" s="22"/>
      <c r="I759" s="23"/>
    </row>
    <row r="760" spans="7:9" s="16" customFormat="1">
      <c r="G760" s="22"/>
      <c r="I760" s="23"/>
    </row>
    <row r="761" spans="7:9" s="16" customFormat="1">
      <c r="G761" s="22"/>
      <c r="I761" s="23"/>
    </row>
    <row r="762" spans="7:9" s="16" customFormat="1">
      <c r="G762" s="22"/>
      <c r="I762" s="23"/>
    </row>
    <row r="763" spans="7:9" s="16" customFormat="1">
      <c r="G763" s="22"/>
      <c r="I763" s="23"/>
    </row>
    <row r="764" spans="7:9" s="16" customFormat="1">
      <c r="G764" s="22"/>
      <c r="I764" s="23"/>
    </row>
    <row r="765" spans="7:9" s="16" customFormat="1">
      <c r="G765" s="22"/>
      <c r="I765" s="23"/>
    </row>
  </sheetData>
  <mergeCells count="2">
    <mergeCell ref="C1:I1"/>
    <mergeCell ref="C2:I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38"/>
  <sheetViews>
    <sheetView topLeftCell="B1" zoomScaleNormal="100" workbookViewId="0">
      <selection activeCell="C89" sqref="C89"/>
    </sheetView>
  </sheetViews>
  <sheetFormatPr defaultRowHeight="12.75"/>
  <cols>
    <col min="1" max="1" width="4.28515625" hidden="1" customWidth="1"/>
    <col min="2" max="2" width="4.285156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6" width="9.140625" style="16"/>
  </cols>
  <sheetData>
    <row r="1" spans="1:10" ht="15.95" customHeight="1">
      <c r="A1" s="1"/>
      <c r="B1" s="13"/>
      <c r="C1" s="147" t="s">
        <v>54</v>
      </c>
      <c r="D1" s="148"/>
      <c r="E1" s="148"/>
      <c r="F1" s="148"/>
      <c r="G1" s="148"/>
      <c r="H1" s="148"/>
      <c r="I1" s="149"/>
      <c r="J1" s="1"/>
    </row>
    <row r="2" spans="1:10" ht="12.95" customHeight="1" thickBot="1">
      <c r="A2" s="1"/>
      <c r="B2" s="13"/>
      <c r="C2" s="150" t="s">
        <v>557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541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53" t="s">
        <v>56</v>
      </c>
      <c r="D7" s="54" t="s">
        <v>1</v>
      </c>
      <c r="E7" s="54" t="s">
        <v>1</v>
      </c>
      <c r="F7" s="54" t="s">
        <v>1</v>
      </c>
      <c r="G7" s="55" t="s">
        <v>1</v>
      </c>
      <c r="H7" s="56"/>
      <c r="I7" s="57" t="s">
        <v>1</v>
      </c>
      <c r="J7" s="4" t="s">
        <v>1</v>
      </c>
    </row>
    <row r="8" spans="1:10" ht="12.95" customHeight="1">
      <c r="A8" s="1"/>
      <c r="B8" s="13"/>
      <c r="C8" s="43" t="s">
        <v>57</v>
      </c>
      <c r="D8" s="33" t="s">
        <v>1</v>
      </c>
      <c r="E8" s="33" t="s">
        <v>1</v>
      </c>
      <c r="F8" s="33" t="s">
        <v>1</v>
      </c>
      <c r="G8" s="34" t="s">
        <v>1</v>
      </c>
      <c r="H8" s="35"/>
      <c r="I8" s="44" t="s">
        <v>1</v>
      </c>
      <c r="J8" s="4" t="s">
        <v>1</v>
      </c>
    </row>
    <row r="9" spans="1:10" ht="12.95" customHeight="1">
      <c r="A9" s="2" t="s">
        <v>58</v>
      </c>
      <c r="B9" s="15"/>
      <c r="C9" s="45" t="s">
        <v>59</v>
      </c>
      <c r="D9" s="33" t="s">
        <v>60</v>
      </c>
      <c r="E9" s="33" t="s">
        <v>61</v>
      </c>
      <c r="F9" s="36">
        <v>587546</v>
      </c>
      <c r="G9" s="37">
        <v>3807.8856259999998</v>
      </c>
      <c r="H9" s="38">
        <v>3807.89</v>
      </c>
      <c r="I9" s="46">
        <v>3.9998460438915591E-2</v>
      </c>
      <c r="J9" s="3">
        <v>0.04</v>
      </c>
    </row>
    <row r="10" spans="1:10" ht="12.95" customHeight="1">
      <c r="A10" s="2" t="s">
        <v>62</v>
      </c>
      <c r="B10" s="15"/>
      <c r="C10" s="45" t="s">
        <v>63</v>
      </c>
      <c r="D10" s="33" t="s">
        <v>64</v>
      </c>
      <c r="E10" s="33" t="s">
        <v>65</v>
      </c>
      <c r="F10" s="36">
        <v>425644</v>
      </c>
      <c r="G10" s="37">
        <v>3294.2717379999999</v>
      </c>
      <c r="H10" s="38">
        <v>3294.27</v>
      </c>
      <c r="I10" s="46">
        <v>3.460340218407356E-2</v>
      </c>
      <c r="J10" s="3">
        <v>3.4599999999999999E-2</v>
      </c>
    </row>
    <row r="11" spans="1:10" ht="12.95" customHeight="1">
      <c r="A11" s="2" t="s">
        <v>66</v>
      </c>
      <c r="B11" s="15"/>
      <c r="C11" s="45" t="s">
        <v>67</v>
      </c>
      <c r="D11" s="33" t="s">
        <v>68</v>
      </c>
      <c r="E11" s="33" t="s">
        <v>69</v>
      </c>
      <c r="F11" s="36">
        <v>118088</v>
      </c>
      <c r="G11" s="37">
        <v>2918.5449199999998</v>
      </c>
      <c r="H11" s="38">
        <v>2918.54</v>
      </c>
      <c r="I11" s="46">
        <v>3.0656725276815882E-2</v>
      </c>
      <c r="J11" s="3">
        <v>3.0700000000000002E-2</v>
      </c>
    </row>
    <row r="12" spans="1:10" ht="12.95" customHeight="1">
      <c r="A12" s="2" t="s">
        <v>70</v>
      </c>
      <c r="B12" s="15"/>
      <c r="C12" s="45" t="s">
        <v>71</v>
      </c>
      <c r="D12" s="33" t="s">
        <v>72</v>
      </c>
      <c r="E12" s="33" t="s">
        <v>69</v>
      </c>
      <c r="F12" s="36">
        <v>193060</v>
      </c>
      <c r="G12" s="37">
        <v>2900.2438499999998</v>
      </c>
      <c r="H12" s="38">
        <v>2900.24</v>
      </c>
      <c r="I12" s="46">
        <v>3.0464488771762614E-2</v>
      </c>
      <c r="J12" s="3">
        <v>3.0499999999999999E-2</v>
      </c>
    </row>
    <row r="13" spans="1:10" ht="12.95" customHeight="1">
      <c r="A13" s="2" t="s">
        <v>73</v>
      </c>
      <c r="B13" s="15"/>
      <c r="C13" s="45" t="s">
        <v>74</v>
      </c>
      <c r="D13" s="33" t="s">
        <v>75</v>
      </c>
      <c r="E13" s="33" t="s">
        <v>76</v>
      </c>
      <c r="F13" s="36">
        <v>273178</v>
      </c>
      <c r="G13" s="37">
        <v>2812.7772770000001</v>
      </c>
      <c r="H13" s="38">
        <v>2812.78</v>
      </c>
      <c r="I13" s="46">
        <v>2.9545730015990038E-2</v>
      </c>
      <c r="J13" s="3">
        <v>2.9499999999999998E-2</v>
      </c>
    </row>
    <row r="14" spans="1:10" ht="12.95" customHeight="1">
      <c r="A14" s="2" t="s">
        <v>77</v>
      </c>
      <c r="B14" s="15"/>
      <c r="C14" s="45" t="s">
        <v>78</v>
      </c>
      <c r="D14" s="33" t="s">
        <v>79</v>
      </c>
      <c r="E14" s="33" t="s">
        <v>80</v>
      </c>
      <c r="F14" s="36">
        <v>720708</v>
      </c>
      <c r="G14" s="37">
        <v>2573.287914</v>
      </c>
      <c r="H14" s="38">
        <v>2573.29</v>
      </c>
      <c r="I14" s="46">
        <v>2.7030106714152822E-2</v>
      </c>
      <c r="J14" s="3">
        <v>2.7E-2</v>
      </c>
    </row>
    <row r="15" spans="1:10" ht="12.95" customHeight="1">
      <c r="A15" s="2" t="s">
        <v>81</v>
      </c>
      <c r="B15" s="15"/>
      <c r="C15" s="45" t="s">
        <v>82</v>
      </c>
      <c r="D15" s="33" t="s">
        <v>83</v>
      </c>
      <c r="E15" s="33" t="s">
        <v>84</v>
      </c>
      <c r="F15" s="36">
        <v>164038</v>
      </c>
      <c r="G15" s="37">
        <v>2518.9675280000001</v>
      </c>
      <c r="H15" s="38">
        <v>2518.9699999999998</v>
      </c>
      <c r="I15" s="46">
        <v>2.6459519248076546E-2</v>
      </c>
      <c r="J15" s="3">
        <v>2.6499999999999999E-2</v>
      </c>
    </row>
    <row r="16" spans="1:10" ht="12.95" customHeight="1">
      <c r="A16" s="2" t="s">
        <v>85</v>
      </c>
      <c r="B16" s="15"/>
      <c r="C16" s="45" t="s">
        <v>86</v>
      </c>
      <c r="D16" s="33" t="s">
        <v>87</v>
      </c>
      <c r="E16" s="33" t="s">
        <v>61</v>
      </c>
      <c r="F16" s="36">
        <v>247758</v>
      </c>
      <c r="G16" s="37">
        <v>2334.9952709999998</v>
      </c>
      <c r="H16" s="38">
        <v>2335</v>
      </c>
      <c r="I16" s="46">
        <v>2.4527053894277992E-2</v>
      </c>
      <c r="J16" s="3">
        <v>2.4500000000000001E-2</v>
      </c>
    </row>
    <row r="17" spans="1:10" ht="12.95" customHeight="1">
      <c r="A17" s="2" t="s">
        <v>88</v>
      </c>
      <c r="B17" s="15"/>
      <c r="C17" s="45" t="s">
        <v>89</v>
      </c>
      <c r="D17" s="33" t="s">
        <v>90</v>
      </c>
      <c r="E17" s="33" t="s">
        <v>91</v>
      </c>
      <c r="F17" s="36">
        <v>839446</v>
      </c>
      <c r="G17" s="37">
        <v>2252.2336180000002</v>
      </c>
      <c r="H17" s="38">
        <v>2252.23</v>
      </c>
      <c r="I17" s="46">
        <v>2.3657716149263548E-2</v>
      </c>
      <c r="J17" s="3">
        <v>2.3699999999999999E-2</v>
      </c>
    </row>
    <row r="18" spans="1:10" ht="12.95" customHeight="1">
      <c r="A18" s="2" t="s">
        <v>92</v>
      </c>
      <c r="B18" s="15"/>
      <c r="C18" s="45" t="s">
        <v>93</v>
      </c>
      <c r="D18" s="33" t="s">
        <v>94</v>
      </c>
      <c r="E18" s="33" t="s">
        <v>95</v>
      </c>
      <c r="F18" s="36">
        <v>71840</v>
      </c>
      <c r="G18" s="37">
        <v>2214.1088</v>
      </c>
      <c r="H18" s="38">
        <v>2214.11</v>
      </c>
      <c r="I18" s="46">
        <v>2.3257248757569397E-2</v>
      </c>
      <c r="J18" s="3">
        <v>2.3300000000000001E-2</v>
      </c>
    </row>
    <row r="19" spans="1:10" ht="12.95" customHeight="1">
      <c r="A19" s="2" t="s">
        <v>96</v>
      </c>
      <c r="B19" s="15"/>
      <c r="C19" s="45" t="s">
        <v>97</v>
      </c>
      <c r="D19" s="33" t="s">
        <v>98</v>
      </c>
      <c r="E19" s="33" t="s">
        <v>99</v>
      </c>
      <c r="F19" s="36">
        <v>549000</v>
      </c>
      <c r="G19" s="37">
        <v>2154.5504999999998</v>
      </c>
      <c r="H19" s="38">
        <v>2154.5500000000002</v>
      </c>
      <c r="I19" s="46">
        <v>2.2631641651596132E-2</v>
      </c>
      <c r="J19" s="3">
        <v>2.2599999999999999E-2</v>
      </c>
    </row>
    <row r="20" spans="1:10" ht="12.95" customHeight="1">
      <c r="A20" s="2" t="s">
        <v>100</v>
      </c>
      <c r="B20" s="15"/>
      <c r="C20" s="45" t="s">
        <v>101</v>
      </c>
      <c r="D20" s="33" t="s">
        <v>102</v>
      </c>
      <c r="E20" s="33" t="s">
        <v>95</v>
      </c>
      <c r="F20" s="36">
        <v>254100</v>
      </c>
      <c r="G20" s="37">
        <v>2138.5056</v>
      </c>
      <c r="H20" s="38">
        <v>2138.5100000000002</v>
      </c>
      <c r="I20" s="46">
        <v>2.2463104210892981E-2</v>
      </c>
      <c r="J20" s="3">
        <v>2.2499999999999999E-2</v>
      </c>
    </row>
    <row r="21" spans="1:10" ht="12.95" customHeight="1">
      <c r="A21" s="2" t="s">
        <v>103</v>
      </c>
      <c r="B21" s="15"/>
      <c r="C21" s="45" t="s">
        <v>104</v>
      </c>
      <c r="D21" s="33" t="s">
        <v>105</v>
      </c>
      <c r="E21" s="33" t="s">
        <v>61</v>
      </c>
      <c r="F21" s="36">
        <v>293000</v>
      </c>
      <c r="G21" s="37">
        <v>2138.0210000000002</v>
      </c>
      <c r="H21" s="38">
        <v>2138.02</v>
      </c>
      <c r="I21" s="46">
        <v>2.2458013917792695E-2</v>
      </c>
      <c r="J21" s="3">
        <v>2.2499999999999999E-2</v>
      </c>
    </row>
    <row r="22" spans="1:10" ht="12.95" customHeight="1">
      <c r="A22" s="2" t="s">
        <v>106</v>
      </c>
      <c r="B22" s="15"/>
      <c r="C22" s="45" t="s">
        <v>107</v>
      </c>
      <c r="D22" s="33" t="s">
        <v>108</v>
      </c>
      <c r="E22" s="33" t="s">
        <v>76</v>
      </c>
      <c r="F22" s="36">
        <v>1356533</v>
      </c>
      <c r="G22" s="37">
        <v>2111.4436145</v>
      </c>
      <c r="H22" s="38">
        <v>2111.44</v>
      </c>
      <c r="I22" s="46">
        <v>2.2178842060520225E-2</v>
      </c>
      <c r="J22" s="3">
        <v>2.2200000000000001E-2</v>
      </c>
    </row>
    <row r="23" spans="1:10" ht="12.95" customHeight="1">
      <c r="A23" s="2" t="s">
        <v>109</v>
      </c>
      <c r="B23" s="15"/>
      <c r="C23" s="45" t="s">
        <v>110</v>
      </c>
      <c r="D23" s="33" t="s">
        <v>111</v>
      </c>
      <c r="E23" s="33" t="s">
        <v>76</v>
      </c>
      <c r="F23" s="36">
        <v>158000</v>
      </c>
      <c r="G23" s="37">
        <v>2025.481</v>
      </c>
      <c r="H23" s="38">
        <v>2025.48</v>
      </c>
      <c r="I23" s="46">
        <v>2.1275881054594256E-2</v>
      </c>
      <c r="J23" s="3">
        <v>2.1299999999999999E-2</v>
      </c>
    </row>
    <row r="24" spans="1:10" ht="12.95" customHeight="1">
      <c r="A24" s="2" t="s">
        <v>112</v>
      </c>
      <c r="B24" s="15"/>
      <c r="C24" s="45" t="s">
        <v>113</v>
      </c>
      <c r="D24" s="33" t="s">
        <v>114</v>
      </c>
      <c r="E24" s="33" t="s">
        <v>61</v>
      </c>
      <c r="F24" s="36">
        <v>3135190</v>
      </c>
      <c r="G24" s="37">
        <v>2004.9540050000001</v>
      </c>
      <c r="H24" s="38">
        <v>2004.95</v>
      </c>
      <c r="I24" s="46">
        <v>2.1060263182084836E-2</v>
      </c>
      <c r="J24" s="3">
        <v>2.1100000000000001E-2</v>
      </c>
    </row>
    <row r="25" spans="1:10" ht="12.95" customHeight="1">
      <c r="A25" s="2" t="s">
        <v>115</v>
      </c>
      <c r="B25" s="15"/>
      <c r="C25" s="45" t="s">
        <v>116</v>
      </c>
      <c r="D25" s="33" t="s">
        <v>117</v>
      </c>
      <c r="E25" s="33" t="s">
        <v>61</v>
      </c>
      <c r="F25" s="36">
        <v>737500</v>
      </c>
      <c r="G25" s="37">
        <v>1993.83125</v>
      </c>
      <c r="H25" s="38">
        <v>1993.83</v>
      </c>
      <c r="I25" s="46">
        <v>2.094342850805956E-2</v>
      </c>
      <c r="J25" s="3">
        <v>2.0899999999999998E-2</v>
      </c>
    </row>
    <row r="26" spans="1:10" ht="12.95" customHeight="1">
      <c r="A26" s="2" t="s">
        <v>118</v>
      </c>
      <c r="B26" s="15"/>
      <c r="C26" s="45" t="s">
        <v>119</v>
      </c>
      <c r="D26" s="33" t="s">
        <v>120</v>
      </c>
      <c r="E26" s="33" t="s">
        <v>121</v>
      </c>
      <c r="F26" s="36">
        <v>245348</v>
      </c>
      <c r="G26" s="37">
        <v>1958.981106</v>
      </c>
      <c r="H26" s="38">
        <v>1958.98</v>
      </c>
      <c r="I26" s="46">
        <v>2.0577358661697395E-2</v>
      </c>
      <c r="J26" s="3">
        <v>2.06E-2</v>
      </c>
    </row>
    <row r="27" spans="1:10" ht="12.95" customHeight="1">
      <c r="A27" s="2" t="s">
        <v>122</v>
      </c>
      <c r="B27" s="15"/>
      <c r="C27" s="45" t="s">
        <v>123</v>
      </c>
      <c r="D27" s="33" t="s">
        <v>124</v>
      </c>
      <c r="E27" s="33" t="s">
        <v>125</v>
      </c>
      <c r="F27" s="36">
        <v>47573</v>
      </c>
      <c r="G27" s="37">
        <v>1919.5467635</v>
      </c>
      <c r="H27" s="38">
        <v>1919.55</v>
      </c>
      <c r="I27" s="46">
        <v>2.0163135876839808E-2</v>
      </c>
      <c r="J27" s="3">
        <v>2.0199999999999999E-2</v>
      </c>
    </row>
    <row r="28" spans="1:10" ht="12.95" customHeight="1">
      <c r="A28" s="2" t="s">
        <v>126</v>
      </c>
      <c r="B28" s="15"/>
      <c r="C28" s="45" t="s">
        <v>127</v>
      </c>
      <c r="D28" s="33" t="s">
        <v>128</v>
      </c>
      <c r="E28" s="33" t="s">
        <v>125</v>
      </c>
      <c r="F28" s="36">
        <v>182513</v>
      </c>
      <c r="G28" s="37">
        <v>1809.981421</v>
      </c>
      <c r="H28" s="38">
        <v>1809.98</v>
      </c>
      <c r="I28" s="46">
        <v>1.9012249151792334E-2</v>
      </c>
      <c r="J28" s="3">
        <v>1.9E-2</v>
      </c>
    </row>
    <row r="29" spans="1:10" ht="12.95" customHeight="1">
      <c r="A29" s="2" t="s">
        <v>129</v>
      </c>
      <c r="B29" s="15"/>
      <c r="C29" s="45" t="s">
        <v>130</v>
      </c>
      <c r="D29" s="33" t="s">
        <v>131</v>
      </c>
      <c r="E29" s="33" t="s">
        <v>132</v>
      </c>
      <c r="F29" s="36">
        <v>260487</v>
      </c>
      <c r="G29" s="37">
        <v>1701.8918145</v>
      </c>
      <c r="H29" s="38">
        <v>1701.89</v>
      </c>
      <c r="I29" s="46">
        <v>1.7876863724265789E-2</v>
      </c>
      <c r="J29" s="3">
        <v>1.7899999999999999E-2</v>
      </c>
    </row>
    <row r="30" spans="1:10" ht="12.95" customHeight="1">
      <c r="A30" s="2" t="s">
        <v>133</v>
      </c>
      <c r="B30" s="15"/>
      <c r="C30" s="45" t="s">
        <v>134</v>
      </c>
      <c r="D30" s="33" t="s">
        <v>135</v>
      </c>
      <c r="E30" s="33" t="s">
        <v>136</v>
      </c>
      <c r="F30" s="36">
        <v>440535</v>
      </c>
      <c r="G30" s="37">
        <v>1681.7423624999999</v>
      </c>
      <c r="H30" s="38">
        <v>1681.74</v>
      </c>
      <c r="I30" s="46">
        <v>1.7665211606044361E-2</v>
      </c>
      <c r="J30" s="3">
        <v>1.77E-2</v>
      </c>
    </row>
    <row r="31" spans="1:10" ht="12.95" customHeight="1">
      <c r="A31" s="2" t="s">
        <v>137</v>
      </c>
      <c r="B31" s="15"/>
      <c r="C31" s="45" t="s">
        <v>138</v>
      </c>
      <c r="D31" s="33" t="s">
        <v>139</v>
      </c>
      <c r="E31" s="33" t="s">
        <v>125</v>
      </c>
      <c r="F31" s="36">
        <v>174573</v>
      </c>
      <c r="G31" s="37">
        <v>1584.3372615000001</v>
      </c>
      <c r="H31" s="38">
        <v>1584.34</v>
      </c>
      <c r="I31" s="46">
        <v>1.664205743032672E-2</v>
      </c>
      <c r="J31" s="3">
        <v>1.66E-2</v>
      </c>
    </row>
    <row r="32" spans="1:10" ht="12.95" customHeight="1">
      <c r="A32" s="2" t="s">
        <v>140</v>
      </c>
      <c r="B32" s="15"/>
      <c r="C32" s="45" t="s">
        <v>141</v>
      </c>
      <c r="D32" s="33" t="s">
        <v>142</v>
      </c>
      <c r="E32" s="33" t="s">
        <v>136</v>
      </c>
      <c r="F32" s="36">
        <v>101346</v>
      </c>
      <c r="G32" s="37">
        <v>1576.43703</v>
      </c>
      <c r="H32" s="38">
        <v>1576.44</v>
      </c>
      <c r="I32" s="46">
        <v>1.6559072506894826E-2</v>
      </c>
      <c r="J32" s="3">
        <v>1.66E-2</v>
      </c>
    </row>
    <row r="33" spans="1:10" ht="12.95" customHeight="1">
      <c r="A33" s="2" t="s">
        <v>143</v>
      </c>
      <c r="B33" s="15"/>
      <c r="C33" s="45" t="s">
        <v>144</v>
      </c>
      <c r="D33" s="33" t="s">
        <v>145</v>
      </c>
      <c r="E33" s="33" t="s">
        <v>95</v>
      </c>
      <c r="F33" s="36">
        <v>134450</v>
      </c>
      <c r="G33" s="37">
        <v>1549.6706999999999</v>
      </c>
      <c r="H33" s="38">
        <v>1549.67</v>
      </c>
      <c r="I33" s="46">
        <v>1.6277915955266831E-2</v>
      </c>
      <c r="J33" s="3">
        <v>1.6299999999999999E-2</v>
      </c>
    </row>
    <row r="34" spans="1:10" ht="12.95" customHeight="1">
      <c r="A34" s="2" t="s">
        <v>146</v>
      </c>
      <c r="B34" s="15"/>
      <c r="C34" s="45" t="s">
        <v>147</v>
      </c>
      <c r="D34" s="33" t="s">
        <v>148</v>
      </c>
      <c r="E34" s="33" t="s">
        <v>69</v>
      </c>
      <c r="F34" s="36">
        <v>206867</v>
      </c>
      <c r="G34" s="37">
        <v>1534.5394060000001</v>
      </c>
      <c r="H34" s="38">
        <v>1534.54</v>
      </c>
      <c r="I34" s="46">
        <v>1.6118975135112956E-2</v>
      </c>
      <c r="J34" s="3">
        <v>1.61E-2</v>
      </c>
    </row>
    <row r="35" spans="1:10" ht="12.95" customHeight="1">
      <c r="A35" s="2" t="s">
        <v>149</v>
      </c>
      <c r="B35" s="15"/>
      <c r="C35" s="45" t="s">
        <v>150</v>
      </c>
      <c r="D35" s="33" t="s">
        <v>151</v>
      </c>
      <c r="E35" s="33" t="s">
        <v>152</v>
      </c>
      <c r="F35" s="36">
        <v>891027</v>
      </c>
      <c r="G35" s="37">
        <v>1521.4286024999999</v>
      </c>
      <c r="H35" s="38">
        <v>1521.43</v>
      </c>
      <c r="I35" s="46">
        <v>1.5981257775238358E-2</v>
      </c>
      <c r="J35" s="3">
        <v>1.6E-2</v>
      </c>
    </row>
    <row r="36" spans="1:10" ht="12.95" customHeight="1">
      <c r="A36" s="2" t="s">
        <v>153</v>
      </c>
      <c r="B36" s="15"/>
      <c r="C36" s="45" t="s">
        <v>154</v>
      </c>
      <c r="D36" s="33" t="s">
        <v>155</v>
      </c>
      <c r="E36" s="33" t="s">
        <v>95</v>
      </c>
      <c r="F36" s="36">
        <v>228204</v>
      </c>
      <c r="G36" s="37">
        <v>1461.304314</v>
      </c>
      <c r="H36" s="38">
        <v>1461.3</v>
      </c>
      <c r="I36" s="46">
        <v>1.5349705462173902E-2</v>
      </c>
      <c r="J36" s="3">
        <v>1.5299999999999999E-2</v>
      </c>
    </row>
    <row r="37" spans="1:10" ht="12.95" customHeight="1">
      <c r="A37" s="2" t="s">
        <v>156</v>
      </c>
      <c r="B37" s="15"/>
      <c r="C37" s="45" t="s">
        <v>157</v>
      </c>
      <c r="D37" s="33" t="s">
        <v>158</v>
      </c>
      <c r="E37" s="33" t="s">
        <v>84</v>
      </c>
      <c r="F37" s="36">
        <v>27263</v>
      </c>
      <c r="G37" s="37">
        <v>1398.9326874999999</v>
      </c>
      <c r="H37" s="38">
        <v>1398.93</v>
      </c>
      <c r="I37" s="46">
        <v>1.4694546857084257E-2</v>
      </c>
      <c r="J37" s="3">
        <v>1.47E-2</v>
      </c>
    </row>
    <row r="38" spans="1:10" ht="12.95" customHeight="1">
      <c r="A38" s="2" t="s">
        <v>159</v>
      </c>
      <c r="B38" s="15"/>
      <c r="C38" s="45" t="s">
        <v>160</v>
      </c>
      <c r="D38" s="33" t="s">
        <v>161</v>
      </c>
      <c r="E38" s="33" t="s">
        <v>121</v>
      </c>
      <c r="F38" s="36">
        <v>565000</v>
      </c>
      <c r="G38" s="37">
        <v>1398.6575</v>
      </c>
      <c r="H38" s="38">
        <v>1398.66</v>
      </c>
      <c r="I38" s="46">
        <v>1.4691656256521867E-2</v>
      </c>
      <c r="J38" s="3">
        <v>1.47E-2</v>
      </c>
    </row>
    <row r="39" spans="1:10" ht="12.95" customHeight="1">
      <c r="A39" s="2" t="s">
        <v>162</v>
      </c>
      <c r="B39" s="15"/>
      <c r="C39" s="45" t="s">
        <v>163</v>
      </c>
      <c r="D39" s="33" t="s">
        <v>164</v>
      </c>
      <c r="E39" s="33" t="s">
        <v>165</v>
      </c>
      <c r="F39" s="36">
        <v>153053</v>
      </c>
      <c r="G39" s="37">
        <v>1293.5274294999999</v>
      </c>
      <c r="H39" s="38">
        <v>1293.53</v>
      </c>
      <c r="I39" s="46">
        <v>1.3587358129203413E-2</v>
      </c>
      <c r="J39" s="3">
        <v>1.3599999999999999E-2</v>
      </c>
    </row>
    <row r="40" spans="1:10" ht="12.95" customHeight="1">
      <c r="A40" s="2" t="s">
        <v>166</v>
      </c>
      <c r="B40" s="15"/>
      <c r="C40" s="45" t="s">
        <v>167</v>
      </c>
      <c r="D40" s="33" t="s">
        <v>168</v>
      </c>
      <c r="E40" s="33" t="s">
        <v>95</v>
      </c>
      <c r="F40" s="36">
        <v>88166</v>
      </c>
      <c r="G40" s="37">
        <v>1218.0132900000001</v>
      </c>
      <c r="H40" s="38">
        <v>1218.01</v>
      </c>
      <c r="I40" s="46">
        <v>1.2794149084071891E-2</v>
      </c>
      <c r="J40" s="3">
        <v>1.2800000000000001E-2</v>
      </c>
    </row>
    <row r="41" spans="1:10" ht="12.95" customHeight="1">
      <c r="A41" s="2" t="s">
        <v>169</v>
      </c>
      <c r="B41" s="15"/>
      <c r="C41" s="45" t="s">
        <v>170</v>
      </c>
      <c r="D41" s="33" t="s">
        <v>171</v>
      </c>
      <c r="E41" s="33" t="s">
        <v>84</v>
      </c>
      <c r="F41" s="36">
        <v>256803</v>
      </c>
      <c r="G41" s="37">
        <v>1208.3865165</v>
      </c>
      <c r="H41" s="38">
        <v>1208.3900000000001</v>
      </c>
      <c r="I41" s="46">
        <v>1.2693028368584795E-2</v>
      </c>
      <c r="J41" s="3">
        <v>1.2699999999999999E-2</v>
      </c>
    </row>
    <row r="42" spans="1:10" ht="12.95" customHeight="1">
      <c r="A42" s="2" t="s">
        <v>172</v>
      </c>
      <c r="B42" s="15"/>
      <c r="C42" s="45" t="s">
        <v>173</v>
      </c>
      <c r="D42" s="33" t="s">
        <v>174</v>
      </c>
      <c r="E42" s="33" t="s">
        <v>175</v>
      </c>
      <c r="F42" s="36">
        <v>673014</v>
      </c>
      <c r="G42" s="37">
        <v>1205.704581</v>
      </c>
      <c r="H42" s="38">
        <v>1205.7</v>
      </c>
      <c r="I42" s="46">
        <v>1.2664857015363466E-2</v>
      </c>
      <c r="J42" s="3">
        <v>1.2699999999999999E-2</v>
      </c>
    </row>
    <row r="43" spans="1:10" ht="12.95" customHeight="1">
      <c r="A43" s="2" t="s">
        <v>176</v>
      </c>
      <c r="B43" s="15"/>
      <c r="C43" s="45" t="s">
        <v>177</v>
      </c>
      <c r="D43" s="33" t="s">
        <v>178</v>
      </c>
      <c r="E43" s="33" t="s">
        <v>121</v>
      </c>
      <c r="F43" s="36">
        <v>293000</v>
      </c>
      <c r="G43" s="37">
        <v>1202.0325</v>
      </c>
      <c r="H43" s="38">
        <v>1202.03</v>
      </c>
      <c r="I43" s="46">
        <v>1.2626285062045297E-2</v>
      </c>
      <c r="J43" s="3">
        <v>1.26E-2</v>
      </c>
    </row>
    <row r="44" spans="1:10" ht="12.95" customHeight="1">
      <c r="A44" s="2" t="s">
        <v>179</v>
      </c>
      <c r="B44" s="15"/>
      <c r="C44" s="45" t="s">
        <v>180</v>
      </c>
      <c r="D44" s="33" t="s">
        <v>181</v>
      </c>
      <c r="E44" s="33" t="s">
        <v>121</v>
      </c>
      <c r="F44" s="36">
        <v>251596</v>
      </c>
      <c r="G44" s="37">
        <v>1189.294292</v>
      </c>
      <c r="H44" s="38">
        <v>1189.29</v>
      </c>
      <c r="I44" s="46">
        <v>1.2492481487360232E-2</v>
      </c>
      <c r="J44" s="3">
        <v>1.2500000000000001E-2</v>
      </c>
    </row>
    <row r="45" spans="1:10" ht="12.95" customHeight="1">
      <c r="A45" s="2" t="s">
        <v>182</v>
      </c>
      <c r="B45" s="15"/>
      <c r="C45" s="45" t="s">
        <v>183</v>
      </c>
      <c r="D45" s="33" t="s">
        <v>184</v>
      </c>
      <c r="E45" s="33" t="s">
        <v>125</v>
      </c>
      <c r="F45" s="36">
        <v>122573</v>
      </c>
      <c r="G45" s="37">
        <v>1188.4065215000001</v>
      </c>
      <c r="H45" s="38">
        <v>1188.4100000000001</v>
      </c>
      <c r="I45" s="46">
        <v>1.2483156245819197E-2</v>
      </c>
      <c r="J45" s="3">
        <v>1.2500000000000001E-2</v>
      </c>
    </row>
    <row r="46" spans="1:10" ht="12.95" customHeight="1">
      <c r="A46" s="2" t="s">
        <v>185</v>
      </c>
      <c r="B46" s="15"/>
      <c r="C46" s="45" t="s">
        <v>186</v>
      </c>
      <c r="D46" s="33" t="s">
        <v>187</v>
      </c>
      <c r="E46" s="33" t="s">
        <v>125</v>
      </c>
      <c r="F46" s="36">
        <v>197000</v>
      </c>
      <c r="G46" s="37">
        <v>1183.97</v>
      </c>
      <c r="H46" s="38">
        <v>1183.97</v>
      </c>
      <c r="I46" s="46">
        <v>1.2436554523201138E-2</v>
      </c>
      <c r="J46" s="3">
        <v>1.24E-2</v>
      </c>
    </row>
    <row r="47" spans="1:10" ht="12.95" customHeight="1">
      <c r="A47" s="2" t="s">
        <v>188</v>
      </c>
      <c r="B47" s="15"/>
      <c r="C47" s="45" t="s">
        <v>189</v>
      </c>
      <c r="D47" s="33" t="s">
        <v>190</v>
      </c>
      <c r="E47" s="33" t="s">
        <v>121</v>
      </c>
      <c r="F47" s="36">
        <v>74124</v>
      </c>
      <c r="G47" s="37">
        <v>1176.2366939999999</v>
      </c>
      <c r="H47" s="38">
        <v>1176.24</v>
      </c>
      <c r="I47" s="46">
        <v>1.2355323004063322E-2</v>
      </c>
      <c r="J47" s="3">
        <v>1.24E-2</v>
      </c>
    </row>
    <row r="48" spans="1:10" ht="12.95" customHeight="1">
      <c r="A48" s="2" t="s">
        <v>191</v>
      </c>
      <c r="B48" s="15"/>
      <c r="C48" s="45" t="s">
        <v>192</v>
      </c>
      <c r="D48" s="33" t="s">
        <v>193</v>
      </c>
      <c r="E48" s="33" t="s">
        <v>76</v>
      </c>
      <c r="F48" s="36">
        <v>505000</v>
      </c>
      <c r="G48" s="37">
        <v>1163.2674999999999</v>
      </c>
      <c r="H48" s="38">
        <v>1163.27</v>
      </c>
      <c r="I48" s="46">
        <v>1.2219093126361207E-2</v>
      </c>
      <c r="J48" s="3">
        <v>1.2200000000000001E-2</v>
      </c>
    </row>
    <row r="49" spans="1:10" ht="12.95" customHeight="1">
      <c r="A49" s="2" t="s">
        <v>194</v>
      </c>
      <c r="B49" s="15"/>
      <c r="C49" s="45" t="s">
        <v>195</v>
      </c>
      <c r="D49" s="33" t="s">
        <v>196</v>
      </c>
      <c r="E49" s="33" t="s">
        <v>95</v>
      </c>
      <c r="F49" s="36">
        <v>23823</v>
      </c>
      <c r="G49" s="37">
        <v>1159.0127729999999</v>
      </c>
      <c r="H49" s="38">
        <v>1159.01</v>
      </c>
      <c r="I49" s="46">
        <v>1.21744009936916E-2</v>
      </c>
      <c r="J49" s="3">
        <v>1.2200000000000001E-2</v>
      </c>
    </row>
    <row r="50" spans="1:10" ht="12.95" customHeight="1">
      <c r="A50" s="2" t="s">
        <v>197</v>
      </c>
      <c r="B50" s="15"/>
      <c r="C50" s="45" t="s">
        <v>198</v>
      </c>
      <c r="D50" s="33" t="s">
        <v>199</v>
      </c>
      <c r="E50" s="33" t="s">
        <v>136</v>
      </c>
      <c r="F50" s="36">
        <v>202000</v>
      </c>
      <c r="G50" s="37">
        <v>1111.5050000000001</v>
      </c>
      <c r="H50" s="38">
        <v>1111.51</v>
      </c>
      <c r="I50" s="46">
        <v>1.1675373983555901E-2</v>
      </c>
      <c r="J50" s="3">
        <v>1.17E-2</v>
      </c>
    </row>
    <row r="51" spans="1:10" ht="12.95" customHeight="1">
      <c r="A51" s="2" t="s">
        <v>200</v>
      </c>
      <c r="B51" s="15"/>
      <c r="C51" s="45" t="s">
        <v>201</v>
      </c>
      <c r="D51" s="33" t="s">
        <v>202</v>
      </c>
      <c r="E51" s="33" t="s">
        <v>203</v>
      </c>
      <c r="F51" s="36">
        <v>407261</v>
      </c>
      <c r="G51" s="37">
        <v>1094.310307</v>
      </c>
      <c r="H51" s="38">
        <v>1094.31</v>
      </c>
      <c r="I51" s="46">
        <v>1.1494758987395352E-2</v>
      </c>
      <c r="J51" s="3">
        <v>1.15E-2</v>
      </c>
    </row>
    <row r="52" spans="1:10" ht="12.95" customHeight="1">
      <c r="A52" s="2" t="s">
        <v>204</v>
      </c>
      <c r="B52" s="15"/>
      <c r="C52" s="45" t="s">
        <v>205</v>
      </c>
      <c r="D52" s="33" t="s">
        <v>206</v>
      </c>
      <c r="E52" s="33" t="s">
        <v>91</v>
      </c>
      <c r="F52" s="36">
        <v>765129</v>
      </c>
      <c r="G52" s="37">
        <v>1086.8657444999999</v>
      </c>
      <c r="H52" s="38">
        <v>1086.8699999999999</v>
      </c>
      <c r="I52" s="46">
        <v>1.1416560462574091E-2</v>
      </c>
      <c r="J52" s="3">
        <v>1.14E-2</v>
      </c>
    </row>
    <row r="53" spans="1:10" ht="12.95" customHeight="1">
      <c r="A53" s="2" t="s">
        <v>207</v>
      </c>
      <c r="B53" s="15"/>
      <c r="C53" s="45" t="s">
        <v>208</v>
      </c>
      <c r="D53" s="33" t="s">
        <v>209</v>
      </c>
      <c r="E53" s="33" t="s">
        <v>84</v>
      </c>
      <c r="F53" s="36">
        <v>115500</v>
      </c>
      <c r="G53" s="37">
        <v>1082.40825</v>
      </c>
      <c r="H53" s="38">
        <v>1082.4100000000001</v>
      </c>
      <c r="I53" s="46">
        <v>1.1369738437196658E-2</v>
      </c>
      <c r="J53" s="3">
        <v>1.14E-2</v>
      </c>
    </row>
    <row r="54" spans="1:10" ht="12.95" customHeight="1">
      <c r="A54" s="2" t="s">
        <v>210</v>
      </c>
      <c r="B54" s="15"/>
      <c r="C54" s="45" t="s">
        <v>211</v>
      </c>
      <c r="D54" s="33" t="s">
        <v>212</v>
      </c>
      <c r="E54" s="33" t="s">
        <v>65</v>
      </c>
      <c r="F54" s="36">
        <v>226821</v>
      </c>
      <c r="G54" s="37">
        <v>1082.1629909999999</v>
      </c>
      <c r="H54" s="38">
        <v>1082.1600000000001</v>
      </c>
      <c r="I54" s="46">
        <v>1.1367162208976512E-2</v>
      </c>
      <c r="J54" s="3">
        <v>1.14E-2</v>
      </c>
    </row>
    <row r="55" spans="1:10" ht="12.95" customHeight="1">
      <c r="A55" s="2" t="s">
        <v>213</v>
      </c>
      <c r="B55" s="15"/>
      <c r="C55" s="45" t="s">
        <v>214</v>
      </c>
      <c r="D55" s="33" t="s">
        <v>215</v>
      </c>
      <c r="E55" s="33" t="s">
        <v>125</v>
      </c>
      <c r="F55" s="36">
        <v>673495</v>
      </c>
      <c r="G55" s="37">
        <v>1074.8980200000001</v>
      </c>
      <c r="H55" s="38">
        <v>1074.9000000000001</v>
      </c>
      <c r="I55" s="46">
        <v>1.1290850133543034E-2</v>
      </c>
      <c r="J55" s="3">
        <v>1.1299999999999999E-2</v>
      </c>
    </row>
    <row r="56" spans="1:10" ht="12.95" customHeight="1">
      <c r="A56" s="2" t="s">
        <v>216</v>
      </c>
      <c r="B56" s="15"/>
      <c r="C56" s="45" t="s">
        <v>217</v>
      </c>
      <c r="D56" s="33" t="s">
        <v>218</v>
      </c>
      <c r="E56" s="33" t="s">
        <v>219</v>
      </c>
      <c r="F56" s="36">
        <v>80030</v>
      </c>
      <c r="G56" s="37">
        <v>1053.5949499999999</v>
      </c>
      <c r="H56" s="38">
        <v>1053.5899999999999</v>
      </c>
      <c r="I56" s="46">
        <v>1.1067080281632453E-2</v>
      </c>
      <c r="J56" s="3">
        <v>1.11E-2</v>
      </c>
    </row>
    <row r="57" spans="1:10" ht="12.95" customHeight="1">
      <c r="A57" s="2" t="s">
        <v>220</v>
      </c>
      <c r="B57" s="15"/>
      <c r="C57" s="45" t="s">
        <v>221</v>
      </c>
      <c r="D57" s="33" t="s">
        <v>222</v>
      </c>
      <c r="E57" s="33" t="s">
        <v>80</v>
      </c>
      <c r="F57" s="36">
        <v>13144</v>
      </c>
      <c r="G57" s="37">
        <v>984.56446400000004</v>
      </c>
      <c r="H57" s="38">
        <v>984.56</v>
      </c>
      <c r="I57" s="46">
        <v>1.0341976264721491E-2</v>
      </c>
      <c r="J57" s="3">
        <v>1.03E-2</v>
      </c>
    </row>
    <row r="58" spans="1:10" ht="12.95" customHeight="1">
      <c r="A58" s="2" t="s">
        <v>223</v>
      </c>
      <c r="B58" s="15"/>
      <c r="C58" s="45" t="s">
        <v>224</v>
      </c>
      <c r="D58" s="33" t="s">
        <v>225</v>
      </c>
      <c r="E58" s="33" t="s">
        <v>61</v>
      </c>
      <c r="F58" s="36">
        <v>218302</v>
      </c>
      <c r="G58" s="37">
        <v>976.35569499999997</v>
      </c>
      <c r="H58" s="38">
        <v>976.36</v>
      </c>
      <c r="I58" s="46">
        <v>1.0255750428562751E-2</v>
      </c>
      <c r="J58" s="3">
        <v>1.03E-2</v>
      </c>
    </row>
    <row r="59" spans="1:10" ht="12.95" customHeight="1">
      <c r="A59" s="2" t="s">
        <v>226</v>
      </c>
      <c r="B59" s="15"/>
      <c r="C59" s="45" t="s">
        <v>227</v>
      </c>
      <c r="D59" s="33" t="s">
        <v>228</v>
      </c>
      <c r="E59" s="33" t="s">
        <v>203</v>
      </c>
      <c r="F59" s="36">
        <v>281833</v>
      </c>
      <c r="G59" s="37">
        <v>895.80619049999996</v>
      </c>
      <c r="H59" s="38">
        <v>895.81</v>
      </c>
      <c r="I59" s="46">
        <v>9.4096493410934009E-3</v>
      </c>
      <c r="J59" s="3">
        <v>9.4000000000000004E-3</v>
      </c>
    </row>
    <row r="60" spans="1:10" ht="12.95" customHeight="1">
      <c r="A60" s="2" t="s">
        <v>229</v>
      </c>
      <c r="B60" s="15"/>
      <c r="C60" s="45" t="s">
        <v>230</v>
      </c>
      <c r="D60" s="33" t="s">
        <v>231</v>
      </c>
      <c r="E60" s="33" t="s">
        <v>232</v>
      </c>
      <c r="F60" s="36">
        <v>169024</v>
      </c>
      <c r="G60" s="37">
        <v>873.60054400000001</v>
      </c>
      <c r="H60" s="38">
        <v>873.6</v>
      </c>
      <c r="I60" s="46">
        <v>9.1763987237465251E-3</v>
      </c>
      <c r="J60" s="3">
        <v>9.1999999999999998E-3</v>
      </c>
    </row>
    <row r="61" spans="1:10" ht="12.95" customHeight="1">
      <c r="A61" s="2" t="s">
        <v>233</v>
      </c>
      <c r="B61" s="15"/>
      <c r="C61" s="45" t="s">
        <v>234</v>
      </c>
      <c r="D61" s="33" t="s">
        <v>235</v>
      </c>
      <c r="E61" s="33" t="s">
        <v>136</v>
      </c>
      <c r="F61" s="36">
        <v>186372</v>
      </c>
      <c r="G61" s="37">
        <v>848.55171600000006</v>
      </c>
      <c r="H61" s="38">
        <v>848.55</v>
      </c>
      <c r="I61" s="46">
        <v>8.9132830069933253E-3</v>
      </c>
      <c r="J61" s="3">
        <v>8.8999999999999999E-3</v>
      </c>
    </row>
    <row r="62" spans="1:10" ht="12.95" customHeight="1">
      <c r="A62" s="2" t="s">
        <v>236</v>
      </c>
      <c r="B62" s="15"/>
      <c r="C62" s="45" t="s">
        <v>237</v>
      </c>
      <c r="D62" s="33" t="s">
        <v>238</v>
      </c>
      <c r="E62" s="33" t="s">
        <v>69</v>
      </c>
      <c r="F62" s="36">
        <v>75034</v>
      </c>
      <c r="G62" s="37">
        <v>836.59158300000001</v>
      </c>
      <c r="H62" s="38">
        <v>836.59</v>
      </c>
      <c r="I62" s="46">
        <v>8.7876524199351751E-3</v>
      </c>
      <c r="J62" s="3">
        <v>8.8000000000000005E-3</v>
      </c>
    </row>
    <row r="63" spans="1:10" ht="12.95" customHeight="1">
      <c r="A63" s="2" t="s">
        <v>239</v>
      </c>
      <c r="B63" s="15"/>
      <c r="C63" s="45" t="s">
        <v>240</v>
      </c>
      <c r="D63" s="33" t="s">
        <v>241</v>
      </c>
      <c r="E63" s="33" t="s">
        <v>242</v>
      </c>
      <c r="F63" s="36">
        <v>504000</v>
      </c>
      <c r="G63" s="37">
        <v>780.19200000000001</v>
      </c>
      <c r="H63" s="38">
        <v>780.19</v>
      </c>
      <c r="I63" s="46">
        <v>8.195224833876991E-3</v>
      </c>
      <c r="J63" s="3">
        <v>8.2000000000000007E-3</v>
      </c>
    </row>
    <row r="64" spans="1:10" ht="12.95" customHeight="1">
      <c r="A64" s="2" t="s">
        <v>243</v>
      </c>
      <c r="B64" s="15"/>
      <c r="C64" s="45" t="s">
        <v>244</v>
      </c>
      <c r="D64" s="33" t="s">
        <v>245</v>
      </c>
      <c r="E64" s="33" t="s">
        <v>246</v>
      </c>
      <c r="F64" s="36">
        <v>325000</v>
      </c>
      <c r="G64" s="37">
        <v>771.38750000000005</v>
      </c>
      <c r="H64" s="38">
        <v>771.39</v>
      </c>
      <c r="I64" s="46">
        <v>8.1027413720498129E-3</v>
      </c>
      <c r="J64" s="3">
        <v>8.0999999999999996E-3</v>
      </c>
    </row>
    <row r="65" spans="1:10" ht="12.95" customHeight="1">
      <c r="A65" s="2" t="s">
        <v>247</v>
      </c>
      <c r="B65" s="15"/>
      <c r="C65" s="45" t="s">
        <v>248</v>
      </c>
      <c r="D65" s="33" t="s">
        <v>249</v>
      </c>
      <c r="E65" s="33" t="s">
        <v>152</v>
      </c>
      <c r="F65" s="36">
        <v>560425</v>
      </c>
      <c r="G65" s="37">
        <v>596.29219999999998</v>
      </c>
      <c r="H65" s="38">
        <v>596.29</v>
      </c>
      <c r="I65" s="46">
        <v>6.2635205765851814E-3</v>
      </c>
      <c r="J65" s="3">
        <v>6.3E-3</v>
      </c>
    </row>
    <row r="66" spans="1:10" ht="12.95" customHeight="1">
      <c r="A66" s="2" t="s">
        <v>250</v>
      </c>
      <c r="B66" s="15"/>
      <c r="C66" s="45" t="s">
        <v>251</v>
      </c>
      <c r="D66" s="33" t="s">
        <v>252</v>
      </c>
      <c r="E66" s="33" t="s">
        <v>152</v>
      </c>
      <c r="F66" s="36">
        <v>67530</v>
      </c>
      <c r="G66" s="37">
        <v>575.22054000000003</v>
      </c>
      <c r="H66" s="38">
        <v>575.22</v>
      </c>
      <c r="I66" s="46">
        <v>6.0421814814355101E-3</v>
      </c>
      <c r="J66" s="3">
        <v>6.0000000000000001E-3</v>
      </c>
    </row>
    <row r="67" spans="1:10" ht="12.95" customHeight="1">
      <c r="A67" s="2" t="s">
        <v>253</v>
      </c>
      <c r="B67" s="15"/>
      <c r="C67" s="45" t="s">
        <v>254</v>
      </c>
      <c r="D67" s="33" t="s">
        <v>255</v>
      </c>
      <c r="E67" s="33" t="s">
        <v>69</v>
      </c>
      <c r="F67" s="36">
        <v>47310</v>
      </c>
      <c r="G67" s="37">
        <v>496.37652000000003</v>
      </c>
      <c r="H67" s="38">
        <v>496.38</v>
      </c>
      <c r="I67" s="46">
        <v>5.2139949956644506E-3</v>
      </c>
      <c r="J67" s="3">
        <v>5.1999999999999998E-3</v>
      </c>
    </row>
    <row r="68" spans="1:10" ht="12.95" customHeight="1">
      <c r="A68" s="2" t="s">
        <v>256</v>
      </c>
      <c r="B68" s="15"/>
      <c r="C68" s="45" t="s">
        <v>257</v>
      </c>
      <c r="D68" s="33" t="s">
        <v>258</v>
      </c>
      <c r="E68" s="33" t="s">
        <v>99</v>
      </c>
      <c r="F68" s="36">
        <v>579929</v>
      </c>
      <c r="G68" s="37">
        <v>472.3521705</v>
      </c>
      <c r="H68" s="38">
        <v>472.35</v>
      </c>
      <c r="I68" s="46">
        <v>4.9616405167154992E-3</v>
      </c>
      <c r="J68" s="3">
        <v>5.0000000000000001E-3</v>
      </c>
    </row>
    <row r="69" spans="1:10" ht="12.95" customHeight="1">
      <c r="A69" s="2" t="s">
        <v>259</v>
      </c>
      <c r="B69" s="15"/>
      <c r="C69" s="45" t="s">
        <v>260</v>
      </c>
      <c r="D69" s="33" t="s">
        <v>261</v>
      </c>
      <c r="E69" s="33" t="s">
        <v>132</v>
      </c>
      <c r="F69" s="36">
        <v>466474</v>
      </c>
      <c r="G69" s="37">
        <v>415.628334</v>
      </c>
      <c r="H69" s="38">
        <v>415.63</v>
      </c>
      <c r="I69" s="46">
        <v>4.3658069352924926E-3</v>
      </c>
      <c r="J69" s="3">
        <v>4.4000000000000003E-3</v>
      </c>
    </row>
    <row r="70" spans="1:10" ht="12.95" customHeight="1">
      <c r="A70" s="2" t="s">
        <v>262</v>
      </c>
      <c r="B70" s="15"/>
      <c r="C70" s="45" t="s">
        <v>263</v>
      </c>
      <c r="D70" s="33" t="s">
        <v>264</v>
      </c>
      <c r="E70" s="33" t="s">
        <v>125</v>
      </c>
      <c r="F70" s="36">
        <v>46919</v>
      </c>
      <c r="G70" s="37">
        <v>290.19401499999998</v>
      </c>
      <c r="H70" s="38">
        <v>290.19</v>
      </c>
      <c r="I70" s="46">
        <v>3.0482306898436183E-3</v>
      </c>
      <c r="J70" s="3">
        <v>3.0000000000000001E-3</v>
      </c>
    </row>
    <row r="71" spans="1:10" ht="12.95" customHeight="1">
      <c r="A71" s="2" t="s">
        <v>265</v>
      </c>
      <c r="B71" s="15"/>
      <c r="C71" s="45" t="s">
        <v>266</v>
      </c>
      <c r="D71" s="33" t="s">
        <v>267</v>
      </c>
      <c r="E71" s="33" t="s">
        <v>65</v>
      </c>
      <c r="F71" s="36">
        <v>104230</v>
      </c>
      <c r="G71" s="37">
        <v>149.20524499999999</v>
      </c>
      <c r="H71" s="38">
        <v>149.21</v>
      </c>
      <c r="I71" s="46">
        <v>1.5672687353480948E-3</v>
      </c>
      <c r="J71" s="3">
        <v>1.6000000000000001E-3</v>
      </c>
    </row>
    <row r="72" spans="1:10" ht="12.95" customHeight="1">
      <c r="A72" s="2" t="s">
        <v>268</v>
      </c>
      <c r="B72" s="15"/>
      <c r="C72" s="45" t="s">
        <v>269</v>
      </c>
      <c r="D72" s="33" t="s">
        <v>270</v>
      </c>
      <c r="E72" s="33" t="s">
        <v>271</v>
      </c>
      <c r="F72" s="36">
        <v>1500</v>
      </c>
      <c r="G72" s="37">
        <v>6.35025</v>
      </c>
      <c r="H72" s="38">
        <v>6.35</v>
      </c>
      <c r="I72" s="46">
        <v>6.6703742798346257E-5</v>
      </c>
      <c r="J72" s="3">
        <v>1E-4</v>
      </c>
    </row>
    <row r="73" spans="1:10" ht="12.95" customHeight="1">
      <c r="A73" s="1"/>
      <c r="B73" s="13"/>
      <c r="C73" s="43" t="s">
        <v>33</v>
      </c>
      <c r="D73" s="33" t="s">
        <v>1</v>
      </c>
      <c r="E73" s="33" t="s">
        <v>1</v>
      </c>
      <c r="F73" s="33" t="s">
        <v>1</v>
      </c>
      <c r="G73" s="39">
        <v>94033.8208075</v>
      </c>
      <c r="H73" s="40">
        <v>94033.82</v>
      </c>
      <c r="I73" s="47">
        <v>0.9877418680350003</v>
      </c>
      <c r="J73" s="26">
        <v>0.98829999999999996</v>
      </c>
    </row>
    <row r="74" spans="1:10" ht="12.95" customHeight="1">
      <c r="A74" s="1"/>
      <c r="B74" s="13"/>
      <c r="C74" s="43" t="s">
        <v>272</v>
      </c>
      <c r="D74" s="33" t="s">
        <v>1</v>
      </c>
      <c r="E74" s="33" t="s">
        <v>1</v>
      </c>
      <c r="F74" s="33" t="s">
        <v>1</v>
      </c>
      <c r="G74" s="39" t="s">
        <v>273</v>
      </c>
      <c r="H74" s="42" t="s">
        <v>273</v>
      </c>
      <c r="I74" s="47" t="s">
        <v>273</v>
      </c>
      <c r="J74" s="27" t="s">
        <v>273</v>
      </c>
    </row>
    <row r="75" spans="1:10" ht="12.95" customHeight="1">
      <c r="A75" s="1"/>
      <c r="B75" s="13"/>
      <c r="C75" s="43" t="s">
        <v>33</v>
      </c>
      <c r="D75" s="33" t="s">
        <v>1</v>
      </c>
      <c r="E75" s="33" t="s">
        <v>1</v>
      </c>
      <c r="F75" s="33" t="s">
        <v>1</v>
      </c>
      <c r="G75" s="39" t="s">
        <v>273</v>
      </c>
      <c r="H75" s="42" t="s">
        <v>273</v>
      </c>
      <c r="I75" s="47" t="s">
        <v>273</v>
      </c>
      <c r="J75" s="27" t="s">
        <v>273</v>
      </c>
    </row>
    <row r="76" spans="1:10" ht="12.95" customHeight="1">
      <c r="A76" s="1"/>
      <c r="B76" s="13"/>
      <c r="C76" s="43" t="s">
        <v>45</v>
      </c>
      <c r="D76" s="33" t="s">
        <v>1</v>
      </c>
      <c r="E76" s="33" t="s">
        <v>1</v>
      </c>
      <c r="F76" s="33" t="s">
        <v>1</v>
      </c>
      <c r="G76" s="39">
        <v>94033.8208075</v>
      </c>
      <c r="H76" s="40">
        <v>94033.82</v>
      </c>
      <c r="I76" s="47">
        <v>0.9877418680350003</v>
      </c>
      <c r="J76" s="26">
        <v>0.98829999999999996</v>
      </c>
    </row>
    <row r="77" spans="1:10" ht="12.95" customHeight="1">
      <c r="A77" s="1"/>
      <c r="B77" s="13"/>
      <c r="C77" s="43"/>
      <c r="D77" s="33"/>
      <c r="E77" s="33"/>
      <c r="F77" s="33"/>
      <c r="G77" s="39"/>
      <c r="H77" s="40"/>
      <c r="I77" s="47"/>
      <c r="J77" s="63"/>
    </row>
    <row r="78" spans="1:10" ht="12.95" customHeight="1">
      <c r="A78" s="1"/>
      <c r="B78" s="13"/>
      <c r="C78" s="84" t="s">
        <v>546</v>
      </c>
      <c r="D78" s="33"/>
      <c r="E78" s="33"/>
      <c r="F78" s="33"/>
      <c r="G78" s="39"/>
      <c r="H78" s="40"/>
      <c r="I78" s="47"/>
      <c r="J78" s="63"/>
    </row>
    <row r="79" spans="1:10" ht="12.95" customHeight="1">
      <c r="A79" s="1"/>
      <c r="B79" s="13"/>
      <c r="C79" s="85" t="s">
        <v>554</v>
      </c>
      <c r="D79" s="33"/>
      <c r="E79" s="33"/>
      <c r="F79" s="42" t="s">
        <v>273</v>
      </c>
      <c r="G79" s="42" t="s">
        <v>273</v>
      </c>
      <c r="H79" s="42" t="s">
        <v>273</v>
      </c>
      <c r="I79" s="47" t="s">
        <v>273</v>
      </c>
      <c r="J79" s="63"/>
    </row>
    <row r="80" spans="1:10" ht="12.95" customHeight="1">
      <c r="A80" s="1"/>
      <c r="B80" s="13"/>
      <c r="C80" s="85" t="s">
        <v>549</v>
      </c>
      <c r="D80" s="33"/>
      <c r="E80" s="33"/>
      <c r="F80" s="42" t="s">
        <v>273</v>
      </c>
      <c r="G80" s="42" t="s">
        <v>273</v>
      </c>
      <c r="H80" s="42" t="s">
        <v>273</v>
      </c>
      <c r="I80" s="47" t="s">
        <v>273</v>
      </c>
      <c r="J80" s="63"/>
    </row>
    <row r="81" spans="1:10" ht="12.95" customHeight="1">
      <c r="A81" s="1"/>
      <c r="B81" s="13"/>
      <c r="C81" s="85" t="s">
        <v>550</v>
      </c>
      <c r="D81" s="33"/>
      <c r="E81" s="33"/>
      <c r="F81" s="42" t="s">
        <v>273</v>
      </c>
      <c r="G81" s="42" t="s">
        <v>273</v>
      </c>
      <c r="H81" s="42" t="s">
        <v>273</v>
      </c>
      <c r="I81" s="47" t="s">
        <v>273</v>
      </c>
      <c r="J81" s="63"/>
    </row>
    <row r="82" spans="1:10" ht="12.95" customHeight="1">
      <c r="A82" s="1"/>
      <c r="B82" s="13"/>
      <c r="C82" s="85"/>
      <c r="D82" s="33"/>
      <c r="E82" s="33"/>
      <c r="F82" s="33"/>
      <c r="G82" s="39"/>
      <c r="H82" s="40"/>
      <c r="I82" s="47"/>
      <c r="J82" s="63"/>
    </row>
    <row r="83" spans="1:10" ht="12.95" customHeight="1">
      <c r="A83" s="1"/>
      <c r="B83" s="13"/>
      <c r="C83" s="84" t="s">
        <v>11</v>
      </c>
      <c r="D83" s="33"/>
      <c r="E83" s="33"/>
      <c r="F83" s="33"/>
      <c r="G83" s="39"/>
      <c r="H83" s="40"/>
      <c r="I83" s="47"/>
      <c r="J83" s="63"/>
    </row>
    <row r="84" spans="1:10" ht="12.95" customHeight="1">
      <c r="A84" s="1"/>
      <c r="B84" s="13"/>
      <c r="C84" s="43" t="s">
        <v>46</v>
      </c>
      <c r="D84" s="33" t="s">
        <v>1</v>
      </c>
      <c r="E84" s="33" t="s">
        <v>1</v>
      </c>
      <c r="F84" s="33" t="s">
        <v>1</v>
      </c>
      <c r="G84" s="34" t="s">
        <v>1</v>
      </c>
      <c r="H84" s="35"/>
      <c r="I84" s="44" t="s">
        <v>1</v>
      </c>
      <c r="J84" s="4" t="s">
        <v>1</v>
      </c>
    </row>
    <row r="85" spans="1:10" ht="12.95" customHeight="1">
      <c r="A85" s="2" t="s">
        <v>47</v>
      </c>
      <c r="B85" s="15"/>
      <c r="C85" s="45" t="s">
        <v>48</v>
      </c>
      <c r="D85" s="33" t="s">
        <v>1</v>
      </c>
      <c r="E85" s="33" t="s">
        <v>49</v>
      </c>
      <c r="F85" s="36"/>
      <c r="G85" s="37">
        <v>1031.7561499999999</v>
      </c>
      <c r="H85" s="38">
        <v>1031.76</v>
      </c>
      <c r="I85" s="46">
        <v>1.0837683061330178E-2</v>
      </c>
      <c r="J85" s="3">
        <v>1.0800000000000001E-2</v>
      </c>
    </row>
    <row r="86" spans="1:10" ht="12.95" customHeight="1">
      <c r="A86" s="1"/>
      <c r="B86" s="13"/>
      <c r="C86" s="43" t="s">
        <v>45</v>
      </c>
      <c r="D86" s="33" t="s">
        <v>1</v>
      </c>
      <c r="E86" s="33" t="s">
        <v>1</v>
      </c>
      <c r="F86" s="33" t="s">
        <v>1</v>
      </c>
      <c r="G86" s="39">
        <v>1031.7561499999999</v>
      </c>
      <c r="H86" s="40">
        <v>1031.76</v>
      </c>
      <c r="I86" s="47">
        <v>1.0837683061330178E-2</v>
      </c>
      <c r="J86" s="26">
        <v>1.0800000000000001E-2</v>
      </c>
    </row>
    <row r="87" spans="1:10" ht="12.95" customHeight="1">
      <c r="A87" s="1"/>
      <c r="B87" s="13"/>
      <c r="C87" s="43"/>
      <c r="D87" s="33"/>
      <c r="E87" s="33"/>
      <c r="F87" s="33"/>
      <c r="G87" s="39"/>
      <c r="H87" s="40"/>
      <c r="I87" s="47"/>
      <c r="J87" s="26"/>
    </row>
    <row r="88" spans="1:10" ht="12.95" customHeight="1">
      <c r="A88" s="1"/>
      <c r="B88" s="13"/>
      <c r="C88" s="43" t="s">
        <v>414</v>
      </c>
      <c r="D88" s="33"/>
      <c r="E88" s="33"/>
      <c r="F88" s="33"/>
      <c r="G88" s="39"/>
      <c r="H88" s="40"/>
      <c r="I88" s="47"/>
      <c r="J88" s="26"/>
    </row>
    <row r="89" spans="1:10" ht="12.95" customHeight="1">
      <c r="A89" s="1"/>
      <c r="B89" s="13"/>
      <c r="C89" s="139" t="s">
        <v>50</v>
      </c>
      <c r="D89" s="33" t="s">
        <v>1</v>
      </c>
      <c r="E89" s="33" t="s">
        <v>1</v>
      </c>
      <c r="F89" s="33" t="s">
        <v>1</v>
      </c>
      <c r="G89" s="75">
        <v>135.22787885829999</v>
      </c>
      <c r="H89" s="76">
        <v>135.22</v>
      </c>
      <c r="I89" s="77">
        <v>1.4204489036695198E-3</v>
      </c>
      <c r="J89" s="26">
        <v>8.9999999999999998E-4</v>
      </c>
    </row>
    <row r="90" spans="1:10" ht="12.95" customHeight="1">
      <c r="A90" s="1"/>
      <c r="B90" s="13"/>
      <c r="C90" s="43" t="s">
        <v>33</v>
      </c>
      <c r="D90" s="71"/>
      <c r="E90" s="71"/>
      <c r="F90" s="71"/>
      <c r="G90" s="39">
        <v>135.22787885829999</v>
      </c>
      <c r="H90" s="40">
        <v>135.22</v>
      </c>
      <c r="I90" s="47">
        <v>1.4204489036695198E-3</v>
      </c>
      <c r="J90" s="74"/>
    </row>
    <row r="91" spans="1:10" ht="12.95" customHeight="1">
      <c r="A91" s="1"/>
      <c r="B91" s="13"/>
      <c r="C91" s="43" t="s">
        <v>45</v>
      </c>
      <c r="D91" s="71"/>
      <c r="E91" s="71"/>
      <c r="F91" s="71"/>
      <c r="G91" s="72">
        <f>G86+G90</f>
        <v>1166.9840288583</v>
      </c>
      <c r="H91" s="72">
        <f t="shared" ref="H91:I91" si="0">H86+H90</f>
        <v>1166.98</v>
      </c>
      <c r="I91" s="47">
        <f t="shared" si="0"/>
        <v>1.2258131964999697E-2</v>
      </c>
      <c r="J91" s="74"/>
    </row>
    <row r="92" spans="1:10" ht="12.95" customHeight="1" thickBot="1">
      <c r="A92" s="1"/>
      <c r="B92" s="13"/>
      <c r="C92" s="48" t="s">
        <v>51</v>
      </c>
      <c r="D92" s="49" t="s">
        <v>1</v>
      </c>
      <c r="E92" s="49" t="s">
        <v>1</v>
      </c>
      <c r="F92" s="49" t="s">
        <v>1</v>
      </c>
      <c r="G92" s="50">
        <v>95200.804836358293</v>
      </c>
      <c r="H92" s="51">
        <v>95200.8</v>
      </c>
      <c r="I92" s="52">
        <v>1</v>
      </c>
      <c r="J92" s="28">
        <v>1</v>
      </c>
    </row>
    <row r="93" spans="1:10" s="16" customFormat="1" ht="12.95" customHeight="1">
      <c r="A93" s="13"/>
      <c r="B93" s="13"/>
      <c r="C93" s="14" t="s">
        <v>1</v>
      </c>
      <c r="D93" s="13"/>
      <c r="E93" s="13"/>
      <c r="F93" s="13"/>
      <c r="G93" s="18"/>
      <c r="H93" s="13"/>
      <c r="I93" s="19"/>
      <c r="J93" s="13"/>
    </row>
    <row r="94" spans="1:10" s="16" customFormat="1" ht="12.95" customHeight="1">
      <c r="A94" s="13"/>
      <c r="B94" s="13"/>
      <c r="C94" s="21" t="s">
        <v>49</v>
      </c>
      <c r="D94" s="13"/>
      <c r="E94" s="13"/>
      <c r="F94" s="13"/>
      <c r="G94" s="18"/>
      <c r="H94" s="13"/>
      <c r="I94" s="19"/>
      <c r="J94" s="13"/>
    </row>
    <row r="95" spans="1:10" s="16" customFormat="1" ht="12.95" customHeight="1">
      <c r="A95" s="13"/>
      <c r="B95" s="13"/>
      <c r="C95" s="78" t="s">
        <v>514</v>
      </c>
      <c r="D95" s="79"/>
      <c r="E95" s="13"/>
      <c r="F95" s="13"/>
      <c r="G95" s="18"/>
      <c r="H95" s="13"/>
      <c r="I95" s="19"/>
      <c r="J95" s="13"/>
    </row>
    <row r="96" spans="1:10" s="16" customFormat="1" ht="12.95" customHeight="1">
      <c r="A96" s="13"/>
      <c r="B96" s="13"/>
      <c r="C96" s="78" t="s">
        <v>539</v>
      </c>
      <c r="D96" s="79"/>
      <c r="E96" s="13"/>
      <c r="F96" s="13"/>
      <c r="G96" s="18"/>
      <c r="H96" s="13"/>
      <c r="I96" s="19"/>
      <c r="J96" s="13"/>
    </row>
    <row r="97" spans="3:9" s="16" customFormat="1" ht="13.5" thickBot="1">
      <c r="C97" s="78" t="s">
        <v>1</v>
      </c>
      <c r="D97" s="79"/>
      <c r="G97" s="22"/>
      <c r="I97" s="23"/>
    </row>
    <row r="98" spans="3:9" s="16" customFormat="1" ht="13.5" thickBot="1">
      <c r="C98" s="86" t="s">
        <v>555</v>
      </c>
      <c r="D98" s="81">
        <v>0.71379999999999999</v>
      </c>
      <c r="G98" s="22"/>
      <c r="I98" s="23"/>
    </row>
    <row r="99" spans="3:9" s="16" customFormat="1">
      <c r="C99" s="79" t="s">
        <v>556</v>
      </c>
      <c r="D99" s="79"/>
      <c r="G99" s="22"/>
      <c r="I99" s="23"/>
    </row>
    <row r="100" spans="3:9" s="16" customFormat="1">
      <c r="G100" s="22"/>
      <c r="I100" s="23"/>
    </row>
    <row r="101" spans="3:9" s="16" customFormat="1">
      <c r="G101" s="22"/>
      <c r="I101" s="23"/>
    </row>
    <row r="102" spans="3:9" s="16" customFormat="1">
      <c r="G102" s="22"/>
      <c r="I102" s="23"/>
    </row>
    <row r="103" spans="3:9" s="16" customFormat="1">
      <c r="G103" s="22"/>
      <c r="I103" s="23"/>
    </row>
    <row r="104" spans="3:9" s="16" customFormat="1">
      <c r="G104" s="22"/>
      <c r="I104" s="23"/>
    </row>
    <row r="105" spans="3:9" s="16" customFormat="1">
      <c r="G105" s="22"/>
      <c r="I105" s="23"/>
    </row>
    <row r="106" spans="3:9" s="16" customFormat="1">
      <c r="G106" s="22"/>
      <c r="I106" s="23"/>
    </row>
    <row r="107" spans="3:9" s="16" customFormat="1">
      <c r="G107" s="22"/>
      <c r="I107" s="23"/>
    </row>
    <row r="108" spans="3:9" s="16" customFormat="1">
      <c r="G108" s="22"/>
      <c r="I108" s="23"/>
    </row>
    <row r="109" spans="3:9" s="16" customFormat="1">
      <c r="G109" s="22"/>
      <c r="I109" s="23"/>
    </row>
    <row r="110" spans="3:9" s="16" customFormat="1">
      <c r="G110" s="22"/>
      <c r="I110" s="23"/>
    </row>
    <row r="111" spans="3:9" s="16" customFormat="1">
      <c r="G111" s="22"/>
      <c r="I111" s="23"/>
    </row>
    <row r="112" spans="3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  <row r="597" spans="7:9" s="16" customFormat="1">
      <c r="G597" s="22"/>
      <c r="I597" s="23"/>
    </row>
    <row r="598" spans="7:9" s="16" customFormat="1">
      <c r="G598" s="22"/>
      <c r="I598" s="23"/>
    </row>
    <row r="599" spans="7:9" s="16" customFormat="1">
      <c r="G599" s="22"/>
      <c r="I599" s="23"/>
    </row>
    <row r="600" spans="7:9" s="16" customFormat="1">
      <c r="G600" s="22"/>
      <c r="I600" s="23"/>
    </row>
    <row r="601" spans="7:9" s="16" customFormat="1">
      <c r="G601" s="22"/>
      <c r="I601" s="23"/>
    </row>
    <row r="602" spans="7:9" s="16" customFormat="1">
      <c r="G602" s="22"/>
      <c r="I602" s="23"/>
    </row>
    <row r="603" spans="7:9" s="16" customFormat="1">
      <c r="G603" s="22"/>
      <c r="I603" s="23"/>
    </row>
    <row r="604" spans="7:9" s="16" customFormat="1">
      <c r="G604" s="22"/>
      <c r="I604" s="23"/>
    </row>
    <row r="605" spans="7:9" s="16" customFormat="1">
      <c r="G605" s="22"/>
      <c r="I605" s="23"/>
    </row>
    <row r="606" spans="7:9" s="16" customFormat="1">
      <c r="G606" s="22"/>
      <c r="I606" s="23"/>
    </row>
    <row r="607" spans="7:9" s="16" customFormat="1">
      <c r="G607" s="22"/>
      <c r="I607" s="23"/>
    </row>
    <row r="608" spans="7:9" s="16" customFormat="1">
      <c r="G608" s="22"/>
      <c r="I608" s="23"/>
    </row>
    <row r="609" spans="7:9" s="16" customFormat="1">
      <c r="G609" s="22"/>
      <c r="I609" s="23"/>
    </row>
    <row r="610" spans="7:9" s="16" customFormat="1">
      <c r="G610" s="22"/>
      <c r="I610" s="23"/>
    </row>
    <row r="611" spans="7:9" s="16" customFormat="1">
      <c r="G611" s="22"/>
      <c r="I611" s="23"/>
    </row>
    <row r="612" spans="7:9" s="16" customFormat="1">
      <c r="G612" s="22"/>
      <c r="I612" s="23"/>
    </row>
    <row r="613" spans="7:9" s="16" customFormat="1">
      <c r="G613" s="22"/>
      <c r="I613" s="23"/>
    </row>
    <row r="614" spans="7:9" s="16" customFormat="1">
      <c r="G614" s="22"/>
      <c r="I614" s="23"/>
    </row>
    <row r="615" spans="7:9" s="16" customFormat="1">
      <c r="G615" s="22"/>
      <c r="I615" s="23"/>
    </row>
    <row r="616" spans="7:9" s="16" customFormat="1">
      <c r="G616" s="22"/>
      <c r="I616" s="23"/>
    </row>
    <row r="617" spans="7:9" s="16" customFormat="1">
      <c r="G617" s="22"/>
      <c r="I617" s="23"/>
    </row>
    <row r="618" spans="7:9" s="16" customFormat="1">
      <c r="G618" s="22"/>
      <c r="I618" s="23"/>
    </row>
    <row r="619" spans="7:9" s="16" customFormat="1">
      <c r="G619" s="22"/>
      <c r="I619" s="23"/>
    </row>
    <row r="620" spans="7:9" s="16" customFormat="1">
      <c r="G620" s="22"/>
      <c r="I620" s="23"/>
    </row>
    <row r="621" spans="7:9" s="16" customFormat="1">
      <c r="G621" s="22"/>
      <c r="I621" s="23"/>
    </row>
    <row r="622" spans="7:9" s="16" customFormat="1">
      <c r="G622" s="22"/>
      <c r="I622" s="23"/>
    </row>
    <row r="623" spans="7:9" s="16" customFormat="1">
      <c r="G623" s="22"/>
      <c r="I623" s="23"/>
    </row>
    <row r="624" spans="7:9" s="16" customFormat="1">
      <c r="G624" s="22"/>
      <c r="I624" s="23"/>
    </row>
    <row r="625" spans="7:9" s="16" customFormat="1">
      <c r="G625" s="22"/>
      <c r="I625" s="23"/>
    </row>
    <row r="626" spans="7:9" s="16" customFormat="1">
      <c r="G626" s="22"/>
      <c r="I626" s="23"/>
    </row>
    <row r="627" spans="7:9" s="16" customFormat="1">
      <c r="G627" s="22"/>
      <c r="I627" s="23"/>
    </row>
    <row r="628" spans="7:9" s="16" customFormat="1">
      <c r="G628" s="22"/>
      <c r="I628" s="23"/>
    </row>
    <row r="629" spans="7:9" s="16" customFormat="1">
      <c r="G629" s="22"/>
      <c r="I629" s="23"/>
    </row>
    <row r="630" spans="7:9" s="16" customFormat="1">
      <c r="G630" s="22"/>
      <c r="I630" s="23"/>
    </row>
    <row r="631" spans="7:9" s="16" customFormat="1">
      <c r="G631" s="22"/>
      <c r="I631" s="23"/>
    </row>
    <row r="632" spans="7:9" s="16" customFormat="1">
      <c r="G632" s="22"/>
      <c r="I632" s="23"/>
    </row>
    <row r="633" spans="7:9" s="16" customFormat="1">
      <c r="G633" s="22"/>
      <c r="I633" s="23"/>
    </row>
    <row r="634" spans="7:9" s="16" customFormat="1">
      <c r="G634" s="22"/>
      <c r="I634" s="23"/>
    </row>
    <row r="635" spans="7:9" s="16" customFormat="1">
      <c r="G635" s="22"/>
      <c r="I635" s="23"/>
    </row>
    <row r="636" spans="7:9" s="16" customFormat="1">
      <c r="G636" s="22"/>
      <c r="I636" s="23"/>
    </row>
    <row r="637" spans="7:9" s="16" customFormat="1">
      <c r="G637" s="22"/>
      <c r="I637" s="23"/>
    </row>
    <row r="638" spans="7:9" s="16" customFormat="1">
      <c r="G638" s="22"/>
      <c r="I638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612"/>
  <sheetViews>
    <sheetView topLeftCell="B1" zoomScaleNormal="100" workbookViewId="0">
      <selection activeCell="C77" sqref="C77"/>
    </sheetView>
  </sheetViews>
  <sheetFormatPr defaultRowHeight="12.75"/>
  <cols>
    <col min="1" max="1" width="13.85546875" hidden="1" customWidth="1"/>
    <col min="2" max="2" width="4.1406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4" width="9.140625" style="16"/>
  </cols>
  <sheetData>
    <row r="1" spans="1:10" ht="15.95" customHeight="1">
      <c r="A1" s="1"/>
      <c r="B1" s="13"/>
      <c r="C1" s="141" t="s">
        <v>359</v>
      </c>
      <c r="D1" s="142"/>
      <c r="E1" s="142"/>
      <c r="F1" s="142"/>
      <c r="G1" s="142"/>
      <c r="H1" s="142"/>
      <c r="I1" s="143"/>
      <c r="J1" s="1"/>
    </row>
    <row r="2" spans="1:10" ht="12.95" customHeight="1" thickBot="1">
      <c r="A2" s="1"/>
      <c r="B2" s="13"/>
      <c r="C2" s="153" t="s">
        <v>553</v>
      </c>
      <c r="D2" s="154"/>
      <c r="E2" s="154"/>
      <c r="F2" s="154"/>
      <c r="G2" s="154"/>
      <c r="H2" s="154"/>
      <c r="I2" s="155"/>
      <c r="J2" s="1"/>
    </row>
    <row r="3" spans="1:10" s="16" customFormat="1" ht="12.95" customHeight="1">
      <c r="A3" s="13"/>
      <c r="B3" s="13"/>
      <c r="C3" s="87"/>
      <c r="D3" s="87"/>
      <c r="E3" s="87"/>
      <c r="F3" s="87"/>
      <c r="G3" s="87"/>
      <c r="H3" s="87"/>
      <c r="I3" s="87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55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53" t="s">
        <v>56</v>
      </c>
      <c r="D7" s="54" t="s">
        <v>1</v>
      </c>
      <c r="E7" s="54" t="s">
        <v>1</v>
      </c>
      <c r="F7" s="54" t="s">
        <v>1</v>
      </c>
      <c r="G7" s="55" t="s">
        <v>1</v>
      </c>
      <c r="H7" s="56"/>
      <c r="I7" s="57" t="s">
        <v>1</v>
      </c>
      <c r="J7" s="4" t="s">
        <v>1</v>
      </c>
    </row>
    <row r="8" spans="1:10" ht="12.95" customHeight="1">
      <c r="A8" s="1"/>
      <c r="B8" s="13"/>
      <c r="C8" s="43" t="s">
        <v>57</v>
      </c>
      <c r="D8" s="33" t="s">
        <v>1</v>
      </c>
      <c r="E8" s="33" t="s">
        <v>1</v>
      </c>
      <c r="F8" s="33" t="s">
        <v>1</v>
      </c>
      <c r="G8" s="34" t="s">
        <v>1</v>
      </c>
      <c r="H8" s="35"/>
      <c r="I8" s="44" t="s">
        <v>1</v>
      </c>
      <c r="J8" s="4" t="s">
        <v>1</v>
      </c>
    </row>
    <row r="9" spans="1:10" ht="12.95" customHeight="1">
      <c r="A9" s="1"/>
      <c r="B9" s="13"/>
      <c r="C9" s="43" t="s">
        <v>536</v>
      </c>
      <c r="D9" s="33"/>
      <c r="E9" s="33"/>
      <c r="F9" s="33"/>
      <c r="G9" s="34"/>
      <c r="H9" s="35"/>
      <c r="I9" s="44"/>
      <c r="J9" s="4"/>
    </row>
    <row r="10" spans="1:10" ht="12.95" customHeight="1">
      <c r="A10" s="2" t="s">
        <v>281</v>
      </c>
      <c r="B10" s="15"/>
      <c r="C10" s="45" t="s">
        <v>276</v>
      </c>
      <c r="D10" s="33" t="s">
        <v>277</v>
      </c>
      <c r="E10" s="33" t="s">
        <v>61</v>
      </c>
      <c r="F10" s="36">
        <v>28000</v>
      </c>
      <c r="G10" s="37">
        <v>299.26400000000001</v>
      </c>
      <c r="H10" s="38">
        <v>299.26</v>
      </c>
      <c r="I10" s="46">
        <v>8.5944353066899334E-2</v>
      </c>
      <c r="J10" s="3">
        <v>8.5900000000000004E-2</v>
      </c>
    </row>
    <row r="11" spans="1:10" ht="12.95" customHeight="1">
      <c r="A11" s="2" t="s">
        <v>100</v>
      </c>
      <c r="B11" s="15"/>
      <c r="C11" s="45" t="s">
        <v>288</v>
      </c>
      <c r="D11" s="33" t="s">
        <v>289</v>
      </c>
      <c r="E11" s="33" t="s">
        <v>219</v>
      </c>
      <c r="F11" s="36">
        <v>3930</v>
      </c>
      <c r="G11" s="37">
        <v>184.14408</v>
      </c>
      <c r="H11" s="38">
        <v>184.14</v>
      </c>
      <c r="I11" s="46">
        <v>5.2883553740842054E-2</v>
      </c>
      <c r="J11" s="3">
        <v>5.2900000000000003E-2</v>
      </c>
    </row>
    <row r="12" spans="1:10" ht="12.95" customHeight="1">
      <c r="A12" s="2" t="s">
        <v>360</v>
      </c>
      <c r="B12" s="15"/>
      <c r="C12" s="45" t="s">
        <v>116</v>
      </c>
      <c r="D12" s="33" t="s">
        <v>117</v>
      </c>
      <c r="E12" s="33" t="s">
        <v>61</v>
      </c>
      <c r="F12" s="36">
        <v>65250</v>
      </c>
      <c r="G12" s="37">
        <v>176.40337500000001</v>
      </c>
      <c r="H12" s="38">
        <v>176.4</v>
      </c>
      <c r="I12" s="46">
        <v>5.0660533653204672E-2</v>
      </c>
      <c r="J12" s="3">
        <v>5.0700000000000002E-2</v>
      </c>
    </row>
    <row r="13" spans="1:10" ht="12.95" customHeight="1">
      <c r="A13" s="2" t="s">
        <v>73</v>
      </c>
      <c r="B13" s="15"/>
      <c r="C13" s="45" t="s">
        <v>86</v>
      </c>
      <c r="D13" s="33" t="s">
        <v>87</v>
      </c>
      <c r="E13" s="33" t="s">
        <v>61</v>
      </c>
      <c r="F13" s="36">
        <v>15500</v>
      </c>
      <c r="G13" s="37">
        <v>146.07974999999999</v>
      </c>
      <c r="H13" s="38">
        <v>146.08000000000001</v>
      </c>
      <c r="I13" s="46">
        <v>4.1952020991246487E-2</v>
      </c>
      <c r="J13" s="3">
        <v>4.2000000000000003E-2</v>
      </c>
    </row>
    <row r="14" spans="1:10" ht="12.95" customHeight="1">
      <c r="A14" s="2" t="s">
        <v>92</v>
      </c>
      <c r="B14" s="15"/>
      <c r="C14" s="45" t="s">
        <v>282</v>
      </c>
      <c r="D14" s="33" t="s">
        <v>283</v>
      </c>
      <c r="E14" s="33" t="s">
        <v>95</v>
      </c>
      <c r="F14" s="36">
        <v>40100</v>
      </c>
      <c r="G14" s="37">
        <v>131.84880000000001</v>
      </c>
      <c r="H14" s="38">
        <v>131.85</v>
      </c>
      <c r="I14" s="46">
        <v>3.7865095095457511E-2</v>
      </c>
      <c r="J14" s="3">
        <v>3.7900000000000003E-2</v>
      </c>
    </row>
    <row r="15" spans="1:10" ht="12.95" customHeight="1">
      <c r="A15" s="2" t="s">
        <v>62</v>
      </c>
      <c r="B15" s="15"/>
      <c r="C15" s="45" t="s">
        <v>101</v>
      </c>
      <c r="D15" s="33" t="s">
        <v>102</v>
      </c>
      <c r="E15" s="33" t="s">
        <v>95</v>
      </c>
      <c r="F15" s="36">
        <v>15250</v>
      </c>
      <c r="G15" s="37">
        <v>128.34399999999999</v>
      </c>
      <c r="H15" s="38">
        <v>128.34</v>
      </c>
      <c r="I15" s="46">
        <v>3.6858566516581107E-2</v>
      </c>
      <c r="J15" s="3">
        <v>3.6900000000000002E-2</v>
      </c>
    </row>
    <row r="16" spans="1:10" ht="12.95" customHeight="1">
      <c r="A16" s="2" t="s">
        <v>77</v>
      </c>
      <c r="B16" s="15"/>
      <c r="C16" s="45" t="s">
        <v>74</v>
      </c>
      <c r="D16" s="33" t="s">
        <v>75</v>
      </c>
      <c r="E16" s="33" t="s">
        <v>76</v>
      </c>
      <c r="F16" s="36">
        <v>11185</v>
      </c>
      <c r="G16" s="37">
        <v>115.1663525</v>
      </c>
      <c r="H16" s="38">
        <v>115.17</v>
      </c>
      <c r="I16" s="46">
        <v>3.3074134077894383E-2</v>
      </c>
      <c r="J16" s="3">
        <v>3.3099999999999997E-2</v>
      </c>
    </row>
    <row r="17" spans="1:10" ht="12.95" customHeight="1">
      <c r="A17" s="2" t="s">
        <v>296</v>
      </c>
      <c r="B17" s="15"/>
      <c r="C17" s="45" t="s">
        <v>93</v>
      </c>
      <c r="D17" s="33" t="s">
        <v>94</v>
      </c>
      <c r="E17" s="33" t="s">
        <v>95</v>
      </c>
      <c r="F17" s="36">
        <v>3546</v>
      </c>
      <c r="G17" s="37">
        <v>109.28771999999999</v>
      </c>
      <c r="H17" s="38">
        <v>109.29</v>
      </c>
      <c r="I17" s="46">
        <v>3.1385874657681632E-2</v>
      </c>
      <c r="J17" s="3">
        <v>3.1399999999999997E-2</v>
      </c>
    </row>
    <row r="18" spans="1:10" ht="12.95" customHeight="1">
      <c r="A18" s="2" t="s">
        <v>364</v>
      </c>
      <c r="B18" s="15"/>
      <c r="C18" s="45" t="s">
        <v>63</v>
      </c>
      <c r="D18" s="33" t="s">
        <v>64</v>
      </c>
      <c r="E18" s="33" t="s">
        <v>65</v>
      </c>
      <c r="F18" s="36">
        <v>14100</v>
      </c>
      <c r="G18" s="37">
        <v>109.12694999999999</v>
      </c>
      <c r="H18" s="38">
        <v>109.13</v>
      </c>
      <c r="I18" s="46">
        <v>3.1339703806384567E-2</v>
      </c>
      <c r="J18" s="3">
        <v>3.1300000000000001E-2</v>
      </c>
    </row>
    <row r="19" spans="1:10" ht="12.95" customHeight="1">
      <c r="A19" s="2" t="s">
        <v>367</v>
      </c>
      <c r="B19" s="15"/>
      <c r="C19" s="45" t="s">
        <v>78</v>
      </c>
      <c r="D19" s="33" t="s">
        <v>79</v>
      </c>
      <c r="E19" s="33" t="s">
        <v>80</v>
      </c>
      <c r="F19" s="36">
        <v>26979</v>
      </c>
      <c r="G19" s="37">
        <v>96.328519499999999</v>
      </c>
      <c r="H19" s="38">
        <v>96.33</v>
      </c>
      <c r="I19" s="46">
        <v>2.7664177082173926E-2</v>
      </c>
      <c r="J19" s="3">
        <v>2.7699999999999999E-2</v>
      </c>
    </row>
    <row r="20" spans="1:10" ht="12.95" customHeight="1">
      <c r="A20" s="2" t="s">
        <v>371</v>
      </c>
      <c r="B20" s="15"/>
      <c r="C20" s="45" t="s">
        <v>297</v>
      </c>
      <c r="D20" s="33" t="s">
        <v>298</v>
      </c>
      <c r="E20" s="33" t="s">
        <v>61</v>
      </c>
      <c r="F20" s="36">
        <v>39950</v>
      </c>
      <c r="G20" s="37">
        <v>94.741425000000007</v>
      </c>
      <c r="H20" s="38">
        <v>94.74</v>
      </c>
      <c r="I20" s="46">
        <v>2.7208386174953095E-2</v>
      </c>
      <c r="J20" s="3">
        <v>2.7199999999999998E-2</v>
      </c>
    </row>
    <row r="21" spans="1:10" ht="12.95" customHeight="1">
      <c r="A21" s="2" t="s">
        <v>194</v>
      </c>
      <c r="B21" s="15"/>
      <c r="C21" s="45" t="s">
        <v>365</v>
      </c>
      <c r="D21" s="33" t="s">
        <v>366</v>
      </c>
      <c r="E21" s="33" t="s">
        <v>95</v>
      </c>
      <c r="F21" s="36">
        <v>1400</v>
      </c>
      <c r="G21" s="37">
        <v>87.462199999999996</v>
      </c>
      <c r="H21" s="38">
        <v>87.46</v>
      </c>
      <c r="I21" s="46">
        <v>2.5117896562258619E-2</v>
      </c>
      <c r="J21" s="3">
        <v>2.5100000000000001E-2</v>
      </c>
    </row>
    <row r="22" spans="1:10" ht="12.95" customHeight="1">
      <c r="A22" s="2" t="s">
        <v>143</v>
      </c>
      <c r="B22" s="15"/>
      <c r="C22" s="45" t="s">
        <v>372</v>
      </c>
      <c r="D22" s="33" t="s">
        <v>373</v>
      </c>
      <c r="E22" s="33" t="s">
        <v>95</v>
      </c>
      <c r="F22" s="36">
        <v>1400</v>
      </c>
      <c r="G22" s="37">
        <v>84.700699999999998</v>
      </c>
      <c r="H22" s="38">
        <v>84.7</v>
      </c>
      <c r="I22" s="46">
        <v>2.4324833143356771E-2</v>
      </c>
      <c r="J22" s="3">
        <v>2.4299999999999999E-2</v>
      </c>
    </row>
    <row r="23" spans="1:10" ht="12.95" customHeight="1">
      <c r="A23" s="2" t="s">
        <v>374</v>
      </c>
      <c r="B23" s="15"/>
      <c r="C23" s="45" t="s">
        <v>195</v>
      </c>
      <c r="D23" s="33" t="s">
        <v>196</v>
      </c>
      <c r="E23" s="33" t="s">
        <v>95</v>
      </c>
      <c r="F23" s="36">
        <v>1700</v>
      </c>
      <c r="G23" s="37">
        <v>82.706699999999998</v>
      </c>
      <c r="H23" s="38">
        <v>82.71</v>
      </c>
      <c r="I23" s="46">
        <v>2.3752184779319008E-2</v>
      </c>
      <c r="J23" s="3">
        <v>2.3800000000000002E-2</v>
      </c>
    </row>
    <row r="24" spans="1:10" ht="12.95" customHeight="1">
      <c r="A24" s="2" t="s">
        <v>96</v>
      </c>
      <c r="B24" s="15"/>
      <c r="C24" s="45" t="s">
        <v>144</v>
      </c>
      <c r="D24" s="33" t="s">
        <v>145</v>
      </c>
      <c r="E24" s="33" t="s">
        <v>95</v>
      </c>
      <c r="F24" s="36">
        <v>7000</v>
      </c>
      <c r="G24" s="37">
        <v>80.682000000000002</v>
      </c>
      <c r="H24" s="38">
        <v>80.680000000000007</v>
      </c>
      <c r="I24" s="46">
        <v>2.3170719813086681E-2</v>
      </c>
      <c r="J24" s="3">
        <v>2.3199999999999998E-2</v>
      </c>
    </row>
    <row r="25" spans="1:10" ht="12.95" customHeight="1">
      <c r="A25" s="2" t="s">
        <v>378</v>
      </c>
      <c r="B25" s="15"/>
      <c r="C25" s="45" t="s">
        <v>97</v>
      </c>
      <c r="D25" s="33" t="s">
        <v>98</v>
      </c>
      <c r="E25" s="33" t="s">
        <v>99</v>
      </c>
      <c r="F25" s="36">
        <v>19800</v>
      </c>
      <c r="G25" s="37">
        <v>77.705100000000002</v>
      </c>
      <c r="H25" s="38">
        <v>77.709999999999994</v>
      </c>
      <c r="I25" s="46">
        <v>2.2315796585953271E-2</v>
      </c>
      <c r="J25" s="3">
        <v>2.23E-2</v>
      </c>
    </row>
    <row r="26" spans="1:10" ht="12.95" customHeight="1">
      <c r="A26" s="2" t="s">
        <v>302</v>
      </c>
      <c r="B26" s="15"/>
      <c r="C26" s="45" t="s">
        <v>303</v>
      </c>
      <c r="D26" s="33" t="s">
        <v>304</v>
      </c>
      <c r="E26" s="33" t="s">
        <v>95</v>
      </c>
      <c r="F26" s="36">
        <v>8700</v>
      </c>
      <c r="G26" s="37">
        <v>70.883250000000004</v>
      </c>
      <c r="H26" s="38">
        <v>70.88</v>
      </c>
      <c r="I26" s="46">
        <v>2.0356658550742129E-2</v>
      </c>
      <c r="J26" s="3">
        <v>2.0400000000000001E-2</v>
      </c>
    </row>
    <row r="27" spans="1:10" ht="12.95" customHeight="1">
      <c r="A27" s="2" t="s">
        <v>118</v>
      </c>
      <c r="B27" s="15"/>
      <c r="C27" s="45" t="s">
        <v>119</v>
      </c>
      <c r="D27" s="33" t="s">
        <v>120</v>
      </c>
      <c r="E27" s="33" t="s">
        <v>121</v>
      </c>
      <c r="F27" s="36">
        <v>7944</v>
      </c>
      <c r="G27" s="37">
        <v>63.428868000000001</v>
      </c>
      <c r="H27" s="38">
        <v>63.43</v>
      </c>
      <c r="I27" s="46">
        <v>1.8215866345520186E-2</v>
      </c>
      <c r="J27" s="3">
        <v>1.8200000000000001E-2</v>
      </c>
    </row>
    <row r="28" spans="1:10" ht="12.95" customHeight="1">
      <c r="A28" s="2" t="s">
        <v>308</v>
      </c>
      <c r="B28" s="15"/>
      <c r="C28" s="45" t="s">
        <v>552</v>
      </c>
      <c r="D28" s="33" t="s">
        <v>309</v>
      </c>
      <c r="E28" s="33" t="s">
        <v>219</v>
      </c>
      <c r="F28" s="36">
        <v>28286</v>
      </c>
      <c r="G28" s="37">
        <v>61.225047000000004</v>
      </c>
      <c r="H28" s="38">
        <v>61.23</v>
      </c>
      <c r="I28" s="46">
        <v>1.7582960382490062E-2</v>
      </c>
      <c r="J28" s="3">
        <v>1.7600000000000001E-2</v>
      </c>
    </row>
    <row r="29" spans="1:10" ht="12.95" customHeight="1">
      <c r="A29" s="2" t="s">
        <v>381</v>
      </c>
      <c r="B29" s="15"/>
      <c r="C29" s="45" t="s">
        <v>130</v>
      </c>
      <c r="D29" s="33" t="s">
        <v>131</v>
      </c>
      <c r="E29" s="33" t="s">
        <v>132</v>
      </c>
      <c r="F29" s="36">
        <v>9250</v>
      </c>
      <c r="G29" s="37">
        <v>60.434874999999998</v>
      </c>
      <c r="H29" s="38">
        <v>60.43</v>
      </c>
      <c r="I29" s="46">
        <v>1.7356034252546004E-2</v>
      </c>
      <c r="J29" s="3">
        <v>1.7399999999999999E-2</v>
      </c>
    </row>
    <row r="30" spans="1:10" ht="12.95" customHeight="1">
      <c r="A30" s="2" t="s">
        <v>129</v>
      </c>
      <c r="B30" s="15"/>
      <c r="C30" s="45" t="s">
        <v>221</v>
      </c>
      <c r="D30" s="33" t="s">
        <v>222</v>
      </c>
      <c r="E30" s="33" t="s">
        <v>80</v>
      </c>
      <c r="F30" s="36">
        <v>700</v>
      </c>
      <c r="G30" s="37">
        <v>52.434199999999997</v>
      </c>
      <c r="H30" s="38">
        <v>52.43</v>
      </c>
      <c r="I30" s="46">
        <v>1.5058354488279288E-2</v>
      </c>
      <c r="J30" s="3">
        <v>1.5100000000000001E-2</v>
      </c>
    </row>
    <row r="31" spans="1:10" ht="12.95" customHeight="1">
      <c r="A31" s="2" t="s">
        <v>384</v>
      </c>
      <c r="B31" s="15"/>
      <c r="C31" s="45" t="s">
        <v>300</v>
      </c>
      <c r="D31" s="33" t="s">
        <v>301</v>
      </c>
      <c r="E31" s="33" t="s">
        <v>84</v>
      </c>
      <c r="F31" s="36">
        <v>4216</v>
      </c>
      <c r="G31" s="37">
        <v>51.129539999999999</v>
      </c>
      <c r="H31" s="38">
        <v>51.13</v>
      </c>
      <c r="I31" s="46">
        <v>1.4683674741726877E-2</v>
      </c>
      <c r="J31" s="3">
        <v>1.47E-2</v>
      </c>
    </row>
    <row r="32" spans="1:10" ht="12.95" customHeight="1">
      <c r="A32" s="2" t="s">
        <v>388</v>
      </c>
      <c r="B32" s="15"/>
      <c r="C32" s="45" t="s">
        <v>326</v>
      </c>
      <c r="D32" s="33" t="s">
        <v>327</v>
      </c>
      <c r="E32" s="33" t="s">
        <v>328</v>
      </c>
      <c r="F32" s="36">
        <v>15078</v>
      </c>
      <c r="G32" s="37">
        <v>50.941023000000001</v>
      </c>
      <c r="H32" s="38">
        <v>50.94</v>
      </c>
      <c r="I32" s="46">
        <v>1.4629535347723212E-2</v>
      </c>
      <c r="J32" s="3">
        <v>1.46E-2</v>
      </c>
    </row>
    <row r="33" spans="1:10" ht="12.95" customHeight="1">
      <c r="A33" s="2" t="s">
        <v>220</v>
      </c>
      <c r="B33" s="15"/>
      <c r="C33" s="45" t="s">
        <v>323</v>
      </c>
      <c r="D33" s="33" t="s">
        <v>324</v>
      </c>
      <c r="E33" s="33" t="s">
        <v>95</v>
      </c>
      <c r="F33" s="36">
        <v>15600</v>
      </c>
      <c r="G33" s="37">
        <v>43.055999999999997</v>
      </c>
      <c r="H33" s="38">
        <v>43.06</v>
      </c>
      <c r="I33" s="46">
        <v>1.2365069188570686E-2</v>
      </c>
      <c r="J33" s="3">
        <v>1.24E-2</v>
      </c>
    </row>
    <row r="34" spans="1:10" ht="12.95" customHeight="1">
      <c r="A34" s="2" t="s">
        <v>299</v>
      </c>
      <c r="B34" s="15"/>
      <c r="C34" s="45" t="s">
        <v>227</v>
      </c>
      <c r="D34" s="33" t="s">
        <v>228</v>
      </c>
      <c r="E34" s="33" t="s">
        <v>203</v>
      </c>
      <c r="F34" s="36">
        <v>13314</v>
      </c>
      <c r="G34" s="37">
        <v>42.318548999999997</v>
      </c>
      <c r="H34" s="38">
        <v>42.32</v>
      </c>
      <c r="I34" s="46">
        <v>1.2153283777984922E-2</v>
      </c>
      <c r="J34" s="3">
        <v>1.2200000000000001E-2</v>
      </c>
    </row>
    <row r="35" spans="1:10" ht="12.95" customHeight="1">
      <c r="A35" s="2" t="s">
        <v>325</v>
      </c>
      <c r="B35" s="15"/>
      <c r="C35" s="45" t="s">
        <v>201</v>
      </c>
      <c r="D35" s="33" t="s">
        <v>202</v>
      </c>
      <c r="E35" s="33" t="s">
        <v>203</v>
      </c>
      <c r="F35" s="36">
        <v>15309</v>
      </c>
      <c r="G35" s="37">
        <v>41.135283000000001</v>
      </c>
      <c r="H35" s="38">
        <v>41.14</v>
      </c>
      <c r="I35" s="46">
        <v>1.1813466657061398E-2</v>
      </c>
      <c r="J35" s="3">
        <v>1.18E-2</v>
      </c>
    </row>
    <row r="36" spans="1:10" ht="12.95" customHeight="1">
      <c r="A36" s="2" t="s">
        <v>391</v>
      </c>
      <c r="B36" s="15"/>
      <c r="C36" s="45" t="s">
        <v>154</v>
      </c>
      <c r="D36" s="33" t="s">
        <v>155</v>
      </c>
      <c r="E36" s="33" t="s">
        <v>95</v>
      </c>
      <c r="F36" s="36">
        <v>5681</v>
      </c>
      <c r="G36" s="37">
        <v>36.378283500000002</v>
      </c>
      <c r="H36" s="38">
        <v>36.380000000000003</v>
      </c>
      <c r="I36" s="46">
        <v>1.04473242391058E-2</v>
      </c>
      <c r="J36" s="3">
        <v>1.04E-2</v>
      </c>
    </row>
    <row r="37" spans="1:10" ht="12.95" customHeight="1">
      <c r="A37" s="2" t="s">
        <v>394</v>
      </c>
      <c r="B37" s="15"/>
      <c r="C37" s="45" t="s">
        <v>89</v>
      </c>
      <c r="D37" s="33" t="s">
        <v>90</v>
      </c>
      <c r="E37" s="33" t="s">
        <v>91</v>
      </c>
      <c r="F37" s="36">
        <v>13000</v>
      </c>
      <c r="G37" s="37">
        <v>34.878999999999998</v>
      </c>
      <c r="H37" s="38">
        <v>34.880000000000003</v>
      </c>
      <c r="I37" s="46">
        <v>1.0016751398833077E-2</v>
      </c>
      <c r="J37" s="3">
        <v>0.01</v>
      </c>
    </row>
    <row r="38" spans="1:10" ht="12.95" customHeight="1">
      <c r="A38" s="2" t="s">
        <v>322</v>
      </c>
      <c r="B38" s="15"/>
      <c r="C38" s="45" t="s">
        <v>150</v>
      </c>
      <c r="D38" s="33" t="s">
        <v>151</v>
      </c>
      <c r="E38" s="33" t="s">
        <v>152</v>
      </c>
      <c r="F38" s="36">
        <v>20000</v>
      </c>
      <c r="G38" s="37">
        <v>34.15</v>
      </c>
      <c r="H38" s="38">
        <v>34.15</v>
      </c>
      <c r="I38" s="46">
        <v>9.8073929949296021E-3</v>
      </c>
      <c r="J38" s="3">
        <v>9.7999999999999997E-3</v>
      </c>
    </row>
    <row r="39" spans="1:10" ht="12.95" customHeight="1">
      <c r="A39" s="2" t="s">
        <v>226</v>
      </c>
      <c r="B39" s="15"/>
      <c r="C39" s="45" t="s">
        <v>183</v>
      </c>
      <c r="D39" s="33" t="s">
        <v>184</v>
      </c>
      <c r="E39" s="33" t="s">
        <v>125</v>
      </c>
      <c r="F39" s="36">
        <v>3197</v>
      </c>
      <c r="G39" s="37">
        <v>30.996513499999999</v>
      </c>
      <c r="H39" s="38">
        <v>31</v>
      </c>
      <c r="I39" s="46">
        <v>8.9017566432544899E-3</v>
      </c>
      <c r="J39" s="3">
        <v>8.8999999999999999E-3</v>
      </c>
    </row>
    <row r="40" spans="1:10" ht="12.95" customHeight="1">
      <c r="A40" s="2" t="s">
        <v>200</v>
      </c>
      <c r="B40" s="15"/>
      <c r="C40" s="45" t="s">
        <v>411</v>
      </c>
      <c r="D40" s="33" t="s">
        <v>412</v>
      </c>
      <c r="E40" s="33" t="s">
        <v>219</v>
      </c>
      <c r="F40" s="36">
        <v>1203</v>
      </c>
      <c r="G40" s="37">
        <v>28.805834999999998</v>
      </c>
      <c r="H40" s="38">
        <v>28.81</v>
      </c>
      <c r="I40" s="46">
        <v>8.2726250188022814E-3</v>
      </c>
      <c r="J40" s="3">
        <v>8.3000000000000001E-3</v>
      </c>
    </row>
    <row r="41" spans="1:10" ht="12.95" customHeight="1">
      <c r="A41" s="2"/>
      <c r="B41" s="15"/>
      <c r="C41" s="43" t="s">
        <v>33</v>
      </c>
      <c r="D41" s="33"/>
      <c r="E41" s="33"/>
      <c r="F41" s="36"/>
      <c r="G41" s="7">
        <f>SUM(G10:G40)</f>
        <v>2706.1879390000004</v>
      </c>
      <c r="H41" s="5"/>
      <c r="I41" s="88">
        <f>SUM(I10:I40)</f>
        <v>0.77717858377486326</v>
      </c>
      <c r="J41" s="3"/>
    </row>
    <row r="42" spans="1:10" ht="12.95" customHeight="1">
      <c r="A42" s="2"/>
      <c r="B42" s="15"/>
      <c r="C42" s="45"/>
      <c r="D42" s="33"/>
      <c r="E42" s="33"/>
      <c r="F42" s="36"/>
      <c r="G42" s="37"/>
      <c r="H42" s="38"/>
      <c r="I42" s="46"/>
      <c r="J42" s="3"/>
    </row>
    <row r="43" spans="1:10" ht="12.95" customHeight="1">
      <c r="A43" s="2"/>
      <c r="B43" s="15"/>
      <c r="C43" s="89" t="s">
        <v>537</v>
      </c>
      <c r="D43" s="33"/>
      <c r="E43" s="33"/>
      <c r="F43" s="36"/>
      <c r="G43" s="37"/>
      <c r="H43" s="38"/>
      <c r="I43" s="46"/>
      <c r="J43" s="3"/>
    </row>
    <row r="44" spans="1:10" ht="12.95" customHeight="1">
      <c r="A44" s="2"/>
      <c r="B44" s="15"/>
      <c r="C44" s="89" t="s">
        <v>535</v>
      </c>
      <c r="D44" s="33"/>
      <c r="E44" s="33"/>
      <c r="F44" s="36"/>
      <c r="G44" s="37"/>
      <c r="H44" s="38"/>
      <c r="I44" s="46"/>
      <c r="J44" s="3"/>
    </row>
    <row r="45" spans="1:10" ht="12.95" customHeight="1">
      <c r="A45" s="2" t="s">
        <v>275</v>
      </c>
      <c r="B45" s="15"/>
      <c r="C45" s="45" t="s">
        <v>382</v>
      </c>
      <c r="D45" s="33" t="s">
        <v>383</v>
      </c>
      <c r="E45" s="33" t="s">
        <v>363</v>
      </c>
      <c r="F45" s="36">
        <v>1600</v>
      </c>
      <c r="G45" s="37">
        <v>60.819054000000001</v>
      </c>
      <c r="H45" s="38">
        <v>60.82</v>
      </c>
      <c r="I45" s="46">
        <v>1.7466364982660181E-2</v>
      </c>
      <c r="J45" s="3">
        <v>1.7500000000000002E-2</v>
      </c>
    </row>
    <row r="46" spans="1:10" ht="12.95" customHeight="1">
      <c r="A46" s="2" t="s">
        <v>287</v>
      </c>
      <c r="B46" s="15"/>
      <c r="C46" s="45" t="s">
        <v>385</v>
      </c>
      <c r="D46" s="33" t="s">
        <v>386</v>
      </c>
      <c r="E46" s="33" t="s">
        <v>387</v>
      </c>
      <c r="F46" s="36">
        <v>5000</v>
      </c>
      <c r="G46" s="37">
        <v>53.2837289</v>
      </c>
      <c r="H46" s="38">
        <v>53.28</v>
      </c>
      <c r="I46" s="46">
        <v>1.5302327073428637E-2</v>
      </c>
      <c r="J46" s="3">
        <v>1.5299999999999999E-2</v>
      </c>
    </row>
    <row r="47" spans="1:10" ht="12.95" customHeight="1">
      <c r="A47" s="2" t="s">
        <v>115</v>
      </c>
      <c r="B47" s="15"/>
      <c r="C47" s="45" t="s">
        <v>395</v>
      </c>
      <c r="D47" s="33" t="s">
        <v>396</v>
      </c>
      <c r="E47" s="33" t="s">
        <v>387</v>
      </c>
      <c r="F47" s="36">
        <v>2900</v>
      </c>
      <c r="G47" s="37">
        <v>46.576093</v>
      </c>
      <c r="H47" s="38">
        <v>46.58</v>
      </c>
      <c r="I47" s="46">
        <v>1.3375989698957237E-2</v>
      </c>
      <c r="J47" s="3">
        <v>1.34E-2</v>
      </c>
    </row>
    <row r="48" spans="1:10" ht="12.95" customHeight="1">
      <c r="A48" s="2" t="s">
        <v>85</v>
      </c>
      <c r="B48" s="15"/>
      <c r="C48" s="45" t="s">
        <v>408</v>
      </c>
      <c r="D48" s="33" t="s">
        <v>409</v>
      </c>
      <c r="E48" s="33" t="s">
        <v>363</v>
      </c>
      <c r="F48" s="36">
        <v>350</v>
      </c>
      <c r="G48" s="37">
        <v>31.4495623</v>
      </c>
      <c r="H48" s="38">
        <v>31.45</v>
      </c>
      <c r="I48" s="46">
        <v>9.0318657977927399E-3</v>
      </c>
      <c r="J48" s="3">
        <v>8.9999999999999993E-3</v>
      </c>
    </row>
    <row r="49" spans="1:10" ht="12.95" customHeight="1">
      <c r="A49" s="2"/>
      <c r="B49" s="15"/>
      <c r="C49" s="43" t="s">
        <v>33</v>
      </c>
      <c r="D49" s="33"/>
      <c r="E49" s="33"/>
      <c r="F49" s="36"/>
      <c r="G49" s="7">
        <f>SUM(G45:G48)</f>
        <v>192.12843819999998</v>
      </c>
      <c r="H49" s="5"/>
      <c r="I49" s="88">
        <f>SUM(I45:I48)</f>
        <v>5.5176547552838795E-2</v>
      </c>
      <c r="J49" s="3"/>
    </row>
    <row r="50" spans="1:10" ht="12.95" customHeight="1">
      <c r="A50" s="2"/>
      <c r="B50" s="15"/>
      <c r="C50" s="45"/>
      <c r="D50" s="33"/>
      <c r="E50" s="33"/>
      <c r="F50" s="36"/>
      <c r="G50" s="37"/>
      <c r="H50" s="38"/>
      <c r="I50" s="46"/>
      <c r="J50" s="3"/>
    </row>
    <row r="51" spans="1:10" ht="12.95" customHeight="1">
      <c r="A51" s="2"/>
      <c r="B51" s="15"/>
      <c r="C51" s="89" t="s">
        <v>538</v>
      </c>
      <c r="D51" s="33"/>
      <c r="E51" s="33"/>
      <c r="F51" s="36"/>
      <c r="G51" s="37"/>
      <c r="H51" s="38"/>
      <c r="I51" s="46"/>
      <c r="J51" s="3"/>
    </row>
    <row r="52" spans="1:10" ht="12.95" customHeight="1">
      <c r="A52" s="2" t="s">
        <v>153</v>
      </c>
      <c r="B52" s="15"/>
      <c r="C52" s="45" t="s">
        <v>361</v>
      </c>
      <c r="D52" s="33" t="s">
        <v>362</v>
      </c>
      <c r="E52" s="33" t="s">
        <v>363</v>
      </c>
      <c r="F52" s="36">
        <v>10800</v>
      </c>
      <c r="G52" s="37">
        <v>118.18211359999999</v>
      </c>
      <c r="H52" s="38">
        <v>118.18</v>
      </c>
      <c r="I52" s="46">
        <v>3.3940217658758841E-2</v>
      </c>
      <c r="J52" s="3">
        <v>3.39E-2</v>
      </c>
    </row>
    <row r="53" spans="1:10" ht="12.95" customHeight="1">
      <c r="A53" s="2" t="s">
        <v>88</v>
      </c>
      <c r="B53" s="15"/>
      <c r="C53" s="45" t="s">
        <v>368</v>
      </c>
      <c r="D53" s="33" t="s">
        <v>369</v>
      </c>
      <c r="E53" s="33" t="s">
        <v>370</v>
      </c>
      <c r="F53" s="36">
        <v>40800</v>
      </c>
      <c r="G53" s="37">
        <v>87.186856199999994</v>
      </c>
      <c r="H53" s="38">
        <v>87.19</v>
      </c>
      <c r="I53" s="46">
        <v>2.5038821749511407E-2</v>
      </c>
      <c r="J53" s="3">
        <v>2.5000000000000001E-2</v>
      </c>
    </row>
    <row r="54" spans="1:10" ht="12.95" customHeight="1">
      <c r="A54" s="2" t="s">
        <v>397</v>
      </c>
      <c r="B54" s="15"/>
      <c r="C54" s="45" t="s">
        <v>375</v>
      </c>
      <c r="D54" s="33" t="s">
        <v>376</v>
      </c>
      <c r="E54" s="33" t="s">
        <v>377</v>
      </c>
      <c r="F54" s="36">
        <v>24000</v>
      </c>
      <c r="G54" s="37">
        <v>77.894372399999995</v>
      </c>
      <c r="H54" s="38">
        <v>77.89</v>
      </c>
      <c r="I54" s="46">
        <v>2.2370152920064355E-2</v>
      </c>
      <c r="J54" s="3">
        <v>2.24E-2</v>
      </c>
    </row>
    <row r="55" spans="1:10" ht="12.95" customHeight="1">
      <c r="A55" s="2" t="s">
        <v>149</v>
      </c>
      <c r="B55" s="15"/>
      <c r="C55" s="45" t="s">
        <v>379</v>
      </c>
      <c r="D55" s="33" t="s">
        <v>380</v>
      </c>
      <c r="E55" s="33" t="s">
        <v>377</v>
      </c>
      <c r="F55" s="36">
        <v>21200</v>
      </c>
      <c r="G55" s="37">
        <v>71.856796900000006</v>
      </c>
      <c r="H55" s="38">
        <v>71.86</v>
      </c>
      <c r="I55" s="46">
        <v>2.0636247336900119E-2</v>
      </c>
      <c r="J55" s="3">
        <v>2.06E-2</v>
      </c>
    </row>
    <row r="56" spans="1:10" ht="12.95" customHeight="1">
      <c r="A56" s="2" t="s">
        <v>401</v>
      </c>
      <c r="B56" s="15"/>
      <c r="C56" s="45" t="s">
        <v>389</v>
      </c>
      <c r="D56" s="33" t="s">
        <v>390</v>
      </c>
      <c r="E56" s="33" t="s">
        <v>69</v>
      </c>
      <c r="F56" s="36">
        <v>90000</v>
      </c>
      <c r="G56" s="37">
        <v>52.479683100000003</v>
      </c>
      <c r="H56" s="38">
        <v>52.48</v>
      </c>
      <c r="I56" s="46">
        <v>1.507141658597556E-2</v>
      </c>
      <c r="J56" s="3">
        <v>1.5100000000000001E-2</v>
      </c>
    </row>
    <row r="57" spans="1:10" ht="12.95" customHeight="1">
      <c r="A57" s="2" t="s">
        <v>404</v>
      </c>
      <c r="B57" s="15"/>
      <c r="C57" s="45" t="s">
        <v>392</v>
      </c>
      <c r="D57" s="33" t="s">
        <v>393</v>
      </c>
      <c r="E57" s="33" t="s">
        <v>69</v>
      </c>
      <c r="F57" s="36">
        <v>127000</v>
      </c>
      <c r="G57" s="37">
        <v>47.399284199999997</v>
      </c>
      <c r="H57" s="38">
        <v>47.4</v>
      </c>
      <c r="I57" s="46">
        <v>1.3612398472262295E-2</v>
      </c>
      <c r="J57" s="3">
        <v>1.3599999999999999E-2</v>
      </c>
    </row>
    <row r="58" spans="1:10" ht="12.95" customHeight="1">
      <c r="A58" s="2" t="s">
        <v>407</v>
      </c>
      <c r="B58" s="15"/>
      <c r="C58" s="45" t="s">
        <v>398</v>
      </c>
      <c r="D58" s="33" t="s">
        <v>399</v>
      </c>
      <c r="E58" s="33" t="s">
        <v>400</v>
      </c>
      <c r="F58" s="36">
        <v>62000</v>
      </c>
      <c r="G58" s="37">
        <v>34.2637067</v>
      </c>
      <c r="H58" s="38">
        <v>34.26</v>
      </c>
      <c r="I58" s="46">
        <v>9.8400479376252546E-3</v>
      </c>
      <c r="J58" s="3">
        <v>9.7999999999999997E-3</v>
      </c>
    </row>
    <row r="59" spans="1:10" ht="12.95" customHeight="1">
      <c r="A59" s="2" t="s">
        <v>182</v>
      </c>
      <c r="B59" s="15"/>
      <c r="C59" s="45" t="s">
        <v>402</v>
      </c>
      <c r="D59" s="33" t="s">
        <v>403</v>
      </c>
      <c r="E59" s="33" t="s">
        <v>69</v>
      </c>
      <c r="F59" s="36">
        <v>58000</v>
      </c>
      <c r="G59" s="37">
        <v>33.329380399999998</v>
      </c>
      <c r="H59" s="38">
        <v>33.33</v>
      </c>
      <c r="I59" s="46">
        <v>9.5717227484715655E-3</v>
      </c>
      <c r="J59" s="3">
        <v>9.5999999999999992E-3</v>
      </c>
    </row>
    <row r="60" spans="1:10" ht="12.95" customHeight="1">
      <c r="A60" s="2" t="s">
        <v>410</v>
      </c>
      <c r="B60" s="15"/>
      <c r="C60" s="45" t="s">
        <v>405</v>
      </c>
      <c r="D60" s="33" t="s">
        <v>406</v>
      </c>
      <c r="E60" s="33" t="s">
        <v>377</v>
      </c>
      <c r="F60" s="36">
        <v>14000</v>
      </c>
      <c r="G60" s="37">
        <v>31.7535512</v>
      </c>
      <c r="H60" s="38">
        <v>31.75</v>
      </c>
      <c r="I60" s="46">
        <v>9.1191670747589586E-3</v>
      </c>
      <c r="J60" s="3">
        <v>9.1000000000000004E-3</v>
      </c>
    </row>
    <row r="61" spans="1:10" ht="12.95" customHeight="1">
      <c r="A61" s="1"/>
      <c r="B61" s="13"/>
      <c r="C61" s="43" t="s">
        <v>33</v>
      </c>
      <c r="D61" s="33" t="s">
        <v>1</v>
      </c>
      <c r="E61" s="33" t="s">
        <v>1</v>
      </c>
      <c r="F61" s="33" t="s">
        <v>1</v>
      </c>
      <c r="G61" s="39">
        <f>SUM(G52:G60)</f>
        <v>554.34574469999995</v>
      </c>
      <c r="H61" s="40">
        <v>3452.67</v>
      </c>
      <c r="I61" s="47">
        <f>SUM(I52:I60)</f>
        <v>0.15920019248432835</v>
      </c>
      <c r="J61" s="26">
        <v>0.99180000000000001</v>
      </c>
    </row>
    <row r="62" spans="1:10" ht="12.95" customHeight="1">
      <c r="A62" s="1"/>
      <c r="B62" s="13"/>
      <c r="C62" s="43" t="s">
        <v>272</v>
      </c>
      <c r="D62" s="33" t="s">
        <v>1</v>
      </c>
      <c r="E62" s="33" t="s">
        <v>1</v>
      </c>
      <c r="F62" s="33" t="s">
        <v>1</v>
      </c>
      <c r="G62" s="39" t="s">
        <v>273</v>
      </c>
      <c r="H62" s="42" t="s">
        <v>273</v>
      </c>
      <c r="I62" s="47" t="s">
        <v>273</v>
      </c>
      <c r="J62" s="27" t="s">
        <v>273</v>
      </c>
    </row>
    <row r="63" spans="1:10" ht="12.95" customHeight="1">
      <c r="A63" s="1"/>
      <c r="B63" s="13"/>
      <c r="C63" s="43" t="s">
        <v>33</v>
      </c>
      <c r="D63" s="33" t="s">
        <v>1</v>
      </c>
      <c r="E63" s="33" t="s">
        <v>1</v>
      </c>
      <c r="F63" s="33" t="s">
        <v>1</v>
      </c>
      <c r="G63" s="39" t="s">
        <v>273</v>
      </c>
      <c r="H63" s="42" t="s">
        <v>273</v>
      </c>
      <c r="I63" s="47" t="s">
        <v>273</v>
      </c>
      <c r="J63" s="27" t="s">
        <v>273</v>
      </c>
    </row>
    <row r="64" spans="1:10" ht="12.95" customHeight="1">
      <c r="A64" s="1"/>
      <c r="B64" s="13"/>
      <c r="C64" s="43" t="s">
        <v>45</v>
      </c>
      <c r="D64" s="33" t="s">
        <v>1</v>
      </c>
      <c r="E64" s="33" t="s">
        <v>1</v>
      </c>
      <c r="F64" s="33" t="s">
        <v>1</v>
      </c>
      <c r="G64" s="39">
        <v>3452.6621218999999</v>
      </c>
      <c r="H64" s="40">
        <v>3452.67</v>
      </c>
      <c r="I64" s="47">
        <v>0.99155532381203026</v>
      </c>
      <c r="J64" s="26">
        <v>0.99180000000000001</v>
      </c>
    </row>
    <row r="65" spans="1:10" ht="12.95" customHeight="1">
      <c r="A65" s="1"/>
      <c r="B65" s="13"/>
      <c r="C65" s="43"/>
      <c r="D65" s="33"/>
      <c r="E65" s="33"/>
      <c r="F65" s="33"/>
      <c r="G65" s="39"/>
      <c r="H65" s="40"/>
      <c r="I65" s="47"/>
      <c r="J65" s="63"/>
    </row>
    <row r="66" spans="1:10" ht="12.95" customHeight="1">
      <c r="A66" s="1"/>
      <c r="B66" s="13"/>
      <c r="C66" s="64" t="s">
        <v>546</v>
      </c>
      <c r="D66" s="33"/>
      <c r="E66" s="33"/>
      <c r="F66" s="33"/>
      <c r="G66" s="39"/>
      <c r="H66" s="40"/>
      <c r="I66" s="47"/>
      <c r="J66" s="63"/>
    </row>
    <row r="67" spans="1:10" ht="12.95" customHeight="1">
      <c r="A67" s="1"/>
      <c r="B67" s="13"/>
      <c r="C67" s="65" t="s">
        <v>554</v>
      </c>
      <c r="D67" s="33"/>
      <c r="E67" s="33"/>
      <c r="F67" s="91" t="s">
        <v>273</v>
      </c>
      <c r="G67" s="91" t="s">
        <v>273</v>
      </c>
      <c r="H67" s="91" t="s">
        <v>273</v>
      </c>
      <c r="I67" s="88" t="s">
        <v>273</v>
      </c>
      <c r="J67" s="63"/>
    </row>
    <row r="68" spans="1:10" ht="12.95" customHeight="1">
      <c r="A68" s="1"/>
      <c r="B68" s="13"/>
      <c r="C68" s="69" t="s">
        <v>549</v>
      </c>
      <c r="D68" s="33"/>
      <c r="E68" s="33"/>
      <c r="F68" s="91" t="s">
        <v>273</v>
      </c>
      <c r="G68" s="91" t="s">
        <v>273</v>
      </c>
      <c r="H68" s="91" t="s">
        <v>273</v>
      </c>
      <c r="I68" s="88" t="s">
        <v>273</v>
      </c>
      <c r="J68" s="63"/>
    </row>
    <row r="69" spans="1:10" ht="12.95" customHeight="1">
      <c r="A69" s="1"/>
      <c r="B69" s="13"/>
      <c r="C69" s="69" t="s">
        <v>550</v>
      </c>
      <c r="D69" s="33"/>
      <c r="E69" s="33"/>
      <c r="F69" s="91" t="s">
        <v>273</v>
      </c>
      <c r="G69" s="91" t="s">
        <v>273</v>
      </c>
      <c r="H69" s="91" t="s">
        <v>273</v>
      </c>
      <c r="I69" s="88" t="s">
        <v>273</v>
      </c>
      <c r="J69" s="63"/>
    </row>
    <row r="70" spans="1:10" ht="12.95" customHeight="1">
      <c r="A70" s="1"/>
      <c r="B70" s="13"/>
      <c r="C70" s="69"/>
      <c r="D70" s="33"/>
      <c r="E70" s="33"/>
      <c r="F70" s="33"/>
      <c r="G70" s="39"/>
      <c r="H70" s="40"/>
      <c r="I70" s="47"/>
      <c r="J70" s="63"/>
    </row>
    <row r="71" spans="1:10" ht="12.95" customHeight="1">
      <c r="A71" s="1"/>
      <c r="B71" s="13"/>
      <c r="C71" s="90" t="s">
        <v>11</v>
      </c>
      <c r="D71" s="33"/>
      <c r="E71" s="33"/>
      <c r="F71" s="33"/>
      <c r="G71" s="39"/>
      <c r="H71" s="40"/>
      <c r="I71" s="47"/>
      <c r="J71" s="63"/>
    </row>
    <row r="72" spans="1:10" ht="12.95" customHeight="1">
      <c r="A72" s="1"/>
      <c r="B72" s="13"/>
      <c r="C72" s="43" t="s">
        <v>46</v>
      </c>
      <c r="D72" s="33" t="s">
        <v>1</v>
      </c>
      <c r="E72" s="33" t="s">
        <v>1</v>
      </c>
      <c r="F72" s="33" t="s">
        <v>1</v>
      </c>
      <c r="G72" s="34" t="s">
        <v>1</v>
      </c>
      <c r="H72" s="35"/>
      <c r="I72" s="44" t="s">
        <v>1</v>
      </c>
      <c r="J72" s="4" t="s">
        <v>1</v>
      </c>
    </row>
    <row r="73" spans="1:10" ht="12.95" customHeight="1">
      <c r="A73" s="2" t="s">
        <v>47</v>
      </c>
      <c r="B73" s="15"/>
      <c r="C73" s="45" t="s">
        <v>48</v>
      </c>
      <c r="D73" s="33" t="s">
        <v>1</v>
      </c>
      <c r="E73" s="33" t="s">
        <v>49</v>
      </c>
      <c r="F73" s="36"/>
      <c r="G73" s="37">
        <v>77.201400000000007</v>
      </c>
      <c r="H73" s="38">
        <v>77.2</v>
      </c>
      <c r="I73" s="46">
        <v>2.2171141129099799E-2</v>
      </c>
      <c r="J73" s="3">
        <v>2.2200000000000001E-2</v>
      </c>
    </row>
    <row r="74" spans="1:10" ht="12.95" customHeight="1">
      <c r="A74" s="1"/>
      <c r="B74" s="13"/>
      <c r="C74" s="43" t="s">
        <v>33</v>
      </c>
      <c r="D74" s="33" t="s">
        <v>1</v>
      </c>
      <c r="E74" s="33" t="s">
        <v>1</v>
      </c>
      <c r="F74" s="33" t="s">
        <v>1</v>
      </c>
      <c r="G74" s="39">
        <v>77.201400000000007</v>
      </c>
      <c r="H74" s="40">
        <v>77.2</v>
      </c>
      <c r="I74" s="47">
        <v>2.2171141129099799E-2</v>
      </c>
      <c r="J74" s="26">
        <v>2.2200000000000001E-2</v>
      </c>
    </row>
    <row r="75" spans="1:10" ht="12.95" customHeight="1">
      <c r="A75" s="1"/>
      <c r="B75" s="13"/>
      <c r="C75" s="43"/>
      <c r="D75" s="33"/>
      <c r="E75" s="33"/>
      <c r="F75" s="33"/>
      <c r="G75" s="39"/>
      <c r="H75" s="40"/>
      <c r="I75" s="47"/>
      <c r="J75" s="26"/>
    </row>
    <row r="76" spans="1:10" ht="12.95" customHeight="1">
      <c r="A76" s="1"/>
      <c r="B76" s="13"/>
      <c r="C76" s="43" t="s">
        <v>414</v>
      </c>
      <c r="D76" s="33"/>
      <c r="E76" s="33"/>
      <c r="F76" s="33"/>
      <c r="G76" s="39"/>
      <c r="H76" s="40"/>
      <c r="I76" s="47"/>
      <c r="J76" s="26"/>
    </row>
    <row r="77" spans="1:10" ht="12.95" customHeight="1">
      <c r="A77" s="1"/>
      <c r="B77" s="13"/>
      <c r="C77" s="139" t="s">
        <v>50</v>
      </c>
      <c r="D77" s="33" t="s">
        <v>1</v>
      </c>
      <c r="E77" s="33" t="s">
        <v>1</v>
      </c>
      <c r="F77" s="33" t="s">
        <v>1</v>
      </c>
      <c r="G77" s="75">
        <v>-47.7964712928</v>
      </c>
      <c r="H77" s="76">
        <v>-47.8</v>
      </c>
      <c r="I77" s="77">
        <v>-1.3726464941130072E-2</v>
      </c>
      <c r="J77" s="26">
        <v>-1.4E-2</v>
      </c>
    </row>
    <row r="78" spans="1:10" ht="12.95" customHeight="1">
      <c r="A78" s="1"/>
      <c r="B78" s="13"/>
      <c r="C78" s="43" t="s">
        <v>33</v>
      </c>
      <c r="D78" s="71"/>
      <c r="E78" s="71"/>
      <c r="F78" s="71"/>
      <c r="G78" s="39">
        <v>-47.7964712928</v>
      </c>
      <c r="H78" s="40">
        <v>-47.8</v>
      </c>
      <c r="I78" s="47">
        <v>-1.3726464941130072E-2</v>
      </c>
      <c r="J78" s="74"/>
    </row>
    <row r="79" spans="1:10" ht="12.95" customHeight="1">
      <c r="A79" s="1"/>
      <c r="B79" s="13"/>
      <c r="C79" s="43" t="s">
        <v>45</v>
      </c>
      <c r="D79" s="71"/>
      <c r="E79" s="71"/>
      <c r="F79" s="71"/>
      <c r="G79" s="72">
        <f>G74+G78</f>
        <v>29.404928707200007</v>
      </c>
      <c r="H79" s="72">
        <f t="shared" ref="H79:J79" si="0">H74+H78</f>
        <v>29.400000000000006</v>
      </c>
      <c r="I79" s="47">
        <f t="shared" si="0"/>
        <v>8.4446761879697265E-3</v>
      </c>
      <c r="J79" s="72">
        <f t="shared" si="0"/>
        <v>2.2200000000000001E-2</v>
      </c>
    </row>
    <row r="80" spans="1:10" ht="12.95" customHeight="1" thickBot="1">
      <c r="A80" s="1"/>
      <c r="B80" s="13"/>
      <c r="C80" s="48" t="s">
        <v>51</v>
      </c>
      <c r="D80" s="49" t="s">
        <v>1</v>
      </c>
      <c r="E80" s="49" t="s">
        <v>1</v>
      </c>
      <c r="F80" s="49" t="s">
        <v>1</v>
      </c>
      <c r="G80" s="50">
        <v>3482.0670506072001</v>
      </c>
      <c r="H80" s="51">
        <v>3482.07</v>
      </c>
      <c r="I80" s="52">
        <v>1</v>
      </c>
      <c r="J80" s="28">
        <v>1</v>
      </c>
    </row>
    <row r="81" spans="1:10" s="16" customFormat="1" ht="12.95" customHeight="1">
      <c r="A81" s="13"/>
      <c r="B81" s="13"/>
      <c r="C81" s="14" t="s">
        <v>1</v>
      </c>
      <c r="D81" s="13"/>
      <c r="E81" s="13"/>
      <c r="F81" s="13"/>
      <c r="G81" s="18"/>
      <c r="H81" s="13"/>
      <c r="I81" s="19"/>
      <c r="J81" s="13"/>
    </row>
    <row r="82" spans="1:10" s="16" customFormat="1" ht="12.95" customHeight="1">
      <c r="A82" s="13"/>
      <c r="B82" s="13"/>
      <c r="C82" s="21" t="s">
        <v>49</v>
      </c>
      <c r="D82" s="13"/>
      <c r="E82" s="13"/>
      <c r="F82" s="13"/>
      <c r="G82" s="18"/>
      <c r="H82" s="13"/>
      <c r="I82" s="19"/>
      <c r="J82" s="13"/>
    </row>
    <row r="83" spans="1:10" s="16" customFormat="1" ht="12.95" customHeight="1">
      <c r="A83" s="13"/>
      <c r="B83" s="13"/>
      <c r="C83" s="78" t="s">
        <v>539</v>
      </c>
      <c r="D83" s="79"/>
      <c r="E83" s="13"/>
      <c r="F83" s="13"/>
      <c r="G83" s="18"/>
      <c r="H83" s="13"/>
      <c r="I83" s="19"/>
      <c r="J83" s="13"/>
    </row>
    <row r="84" spans="1:10" s="16" customFormat="1" ht="12.95" customHeight="1">
      <c r="A84" s="13"/>
      <c r="B84" s="13"/>
      <c r="C84" s="92" t="s">
        <v>540</v>
      </c>
      <c r="D84" s="79"/>
      <c r="E84" s="13"/>
      <c r="F84" s="13"/>
      <c r="G84" s="18"/>
      <c r="H84" s="13"/>
      <c r="I84" s="19"/>
      <c r="J84" s="13"/>
    </row>
    <row r="85" spans="1:10" s="16" customFormat="1" ht="13.5" thickBot="1">
      <c r="C85" s="93"/>
      <c r="D85" s="93"/>
      <c r="G85" s="22"/>
      <c r="I85" s="23"/>
    </row>
    <row r="86" spans="1:10" s="16" customFormat="1" ht="13.5" thickBot="1">
      <c r="C86" s="94" t="s">
        <v>555</v>
      </c>
      <c r="D86" s="95">
        <v>0.6351</v>
      </c>
      <c r="G86" s="22"/>
      <c r="I86" s="23"/>
    </row>
    <row r="87" spans="1:10" s="16" customFormat="1">
      <c r="C87" s="96" t="s">
        <v>556</v>
      </c>
      <c r="D87" s="96"/>
      <c r="G87" s="22"/>
      <c r="I87" s="23"/>
    </row>
    <row r="88" spans="1:10" s="16" customFormat="1">
      <c r="G88" s="22"/>
      <c r="I88" s="23"/>
    </row>
    <row r="89" spans="1:10" s="16" customFormat="1">
      <c r="G89" s="22"/>
      <c r="I89" s="23"/>
    </row>
    <row r="90" spans="1:10" s="16" customFormat="1">
      <c r="G90" s="22"/>
      <c r="I90" s="23"/>
    </row>
    <row r="91" spans="1:10" s="16" customFormat="1">
      <c r="G91" s="22"/>
      <c r="I91" s="23"/>
    </row>
    <row r="92" spans="1:10" s="16" customFormat="1">
      <c r="G92" s="22"/>
      <c r="I92" s="23"/>
    </row>
    <row r="93" spans="1:10" s="16" customFormat="1">
      <c r="G93" s="22"/>
      <c r="I93" s="23"/>
    </row>
    <row r="94" spans="1:10" s="16" customFormat="1">
      <c r="G94" s="22"/>
      <c r="I94" s="23"/>
    </row>
    <row r="95" spans="1:10" s="16" customFormat="1">
      <c r="G95" s="22"/>
      <c r="I95" s="23"/>
    </row>
    <row r="96" spans="1:10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  <row r="597" spans="7:9" s="16" customFormat="1">
      <c r="G597" s="22"/>
      <c r="I597" s="23"/>
    </row>
    <row r="598" spans="7:9" s="16" customFormat="1">
      <c r="G598" s="22"/>
      <c r="I598" s="23"/>
    </row>
    <row r="599" spans="7:9" s="16" customFormat="1">
      <c r="G599" s="22"/>
      <c r="I599" s="23"/>
    </row>
    <row r="600" spans="7:9" s="16" customFormat="1">
      <c r="G600" s="22"/>
      <c r="I600" s="23"/>
    </row>
    <row r="601" spans="7:9" s="16" customFormat="1">
      <c r="G601" s="22"/>
      <c r="I601" s="23"/>
    </row>
    <row r="602" spans="7:9" s="16" customFormat="1">
      <c r="G602" s="22"/>
      <c r="I602" s="23"/>
    </row>
    <row r="603" spans="7:9" s="16" customFormat="1">
      <c r="G603" s="22"/>
      <c r="I603" s="23"/>
    </row>
    <row r="604" spans="7:9" s="16" customFormat="1">
      <c r="G604" s="22"/>
      <c r="I604" s="23"/>
    </row>
    <row r="605" spans="7:9" s="16" customFormat="1">
      <c r="G605" s="22"/>
      <c r="I605" s="23"/>
    </row>
    <row r="606" spans="7:9" s="16" customFormat="1">
      <c r="G606" s="22"/>
      <c r="I606" s="23"/>
    </row>
    <row r="607" spans="7:9" s="16" customFormat="1">
      <c r="G607" s="22"/>
      <c r="I607" s="23"/>
    </row>
    <row r="608" spans="7:9" s="16" customFormat="1">
      <c r="G608" s="22"/>
      <c r="I608" s="23"/>
    </row>
    <row r="609" spans="7:9" s="16" customFormat="1">
      <c r="G609" s="22"/>
      <c r="I609" s="23"/>
    </row>
    <row r="610" spans="7:9" s="16" customFormat="1">
      <c r="G610" s="22"/>
      <c r="I610" s="23"/>
    </row>
    <row r="611" spans="7:9" s="16" customFormat="1">
      <c r="G611" s="22"/>
      <c r="I611" s="23"/>
    </row>
    <row r="612" spans="7:9" s="16" customFormat="1">
      <c r="G612" s="22"/>
      <c r="I612" s="23"/>
    </row>
  </sheetData>
  <sortState ref="C50:I58">
    <sortCondition descending="1" ref="I50:I58"/>
  </sortState>
  <mergeCells count="2">
    <mergeCell ref="C1:I1"/>
    <mergeCell ref="C2:I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567"/>
  <sheetViews>
    <sheetView topLeftCell="B1" zoomScaleNormal="100" workbookViewId="0">
      <selection activeCell="C60" sqref="C60"/>
    </sheetView>
  </sheetViews>
  <sheetFormatPr defaultRowHeight="12.75"/>
  <cols>
    <col min="1" max="1" width="5" hidden="1" customWidth="1"/>
    <col min="2" max="2" width="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104" width="9.140625" style="16"/>
  </cols>
  <sheetData>
    <row r="1" spans="1:10" ht="15.95" customHeight="1">
      <c r="A1" s="1"/>
      <c r="B1" s="13"/>
      <c r="C1" s="141" t="s">
        <v>419</v>
      </c>
      <c r="D1" s="142"/>
      <c r="E1" s="142"/>
      <c r="F1" s="142"/>
      <c r="G1" s="142"/>
      <c r="H1" s="142"/>
      <c r="I1" s="143"/>
      <c r="J1" s="1"/>
    </row>
    <row r="2" spans="1:10" ht="12.95" customHeight="1" thickBot="1">
      <c r="A2" s="1"/>
      <c r="B2" s="13"/>
      <c r="C2" s="150" t="s">
        <v>553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55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53" t="s">
        <v>56</v>
      </c>
      <c r="D7" s="54" t="s">
        <v>1</v>
      </c>
      <c r="E7" s="54" t="s">
        <v>1</v>
      </c>
      <c r="F7" s="54" t="s">
        <v>1</v>
      </c>
      <c r="G7" s="55" t="s">
        <v>1</v>
      </c>
      <c r="H7" s="56"/>
      <c r="I7" s="57" t="s">
        <v>1</v>
      </c>
      <c r="J7" s="4" t="s">
        <v>1</v>
      </c>
    </row>
    <row r="8" spans="1:10" ht="12.95" customHeight="1">
      <c r="A8" s="1"/>
      <c r="B8" s="13"/>
      <c r="C8" s="43" t="s">
        <v>57</v>
      </c>
      <c r="D8" s="33" t="s">
        <v>1</v>
      </c>
      <c r="E8" s="33" t="s">
        <v>1</v>
      </c>
      <c r="F8" s="33" t="s">
        <v>1</v>
      </c>
      <c r="G8" s="34" t="s">
        <v>1</v>
      </c>
      <c r="H8" s="35"/>
      <c r="I8" s="44" t="s">
        <v>1</v>
      </c>
      <c r="J8" s="4" t="s">
        <v>1</v>
      </c>
    </row>
    <row r="9" spans="1:10" ht="12.95" customHeight="1">
      <c r="A9" s="1"/>
      <c r="B9" s="13"/>
      <c r="C9" s="97" t="s">
        <v>536</v>
      </c>
      <c r="D9" s="33"/>
      <c r="E9" s="33"/>
      <c r="F9" s="33"/>
      <c r="G9" s="34"/>
      <c r="H9" s="35"/>
      <c r="I9" s="44"/>
      <c r="J9" s="4"/>
    </row>
    <row r="10" spans="1:10" ht="12.95" customHeight="1">
      <c r="A10" s="2" t="s">
        <v>284</v>
      </c>
      <c r="B10" s="15"/>
      <c r="C10" s="45" t="s">
        <v>285</v>
      </c>
      <c r="D10" s="33" t="s">
        <v>286</v>
      </c>
      <c r="E10" s="33" t="s">
        <v>65</v>
      </c>
      <c r="F10" s="36">
        <v>9300</v>
      </c>
      <c r="G10" s="37">
        <v>80.193899999999999</v>
      </c>
      <c r="H10" s="38">
        <v>80.19</v>
      </c>
      <c r="I10" s="46">
        <v>0.12180625669084934</v>
      </c>
      <c r="J10" s="3">
        <v>0.12180000000000001</v>
      </c>
    </row>
    <row r="11" spans="1:10" ht="12.95" customHeight="1">
      <c r="A11" s="2" t="s">
        <v>424</v>
      </c>
      <c r="B11" s="15"/>
      <c r="C11" s="45" t="s">
        <v>425</v>
      </c>
      <c r="D11" s="33" t="s">
        <v>426</v>
      </c>
      <c r="E11" s="33" t="s">
        <v>271</v>
      </c>
      <c r="F11" s="36">
        <v>24000</v>
      </c>
      <c r="G11" s="37">
        <v>55.043999999999997</v>
      </c>
      <c r="H11" s="38">
        <v>55.04</v>
      </c>
      <c r="I11" s="46">
        <v>8.3606154499171512E-2</v>
      </c>
      <c r="J11" s="3">
        <v>8.3599999999999994E-2</v>
      </c>
    </row>
    <row r="12" spans="1:10" ht="12.95" customHeight="1">
      <c r="A12" s="2" t="s">
        <v>329</v>
      </c>
      <c r="B12" s="15"/>
      <c r="C12" s="45" t="s">
        <v>330</v>
      </c>
      <c r="D12" s="33" t="s">
        <v>331</v>
      </c>
      <c r="E12" s="33" t="s">
        <v>332</v>
      </c>
      <c r="F12" s="36">
        <v>9500</v>
      </c>
      <c r="G12" s="37">
        <v>31.122</v>
      </c>
      <c r="H12" s="38">
        <v>31.12</v>
      </c>
      <c r="I12" s="46">
        <v>4.7271105666797764E-2</v>
      </c>
      <c r="J12" s="3">
        <v>4.7300000000000002E-2</v>
      </c>
    </row>
    <row r="13" spans="1:10" ht="12.95" customHeight="1">
      <c r="A13" s="2" t="s">
        <v>448</v>
      </c>
      <c r="B13" s="15"/>
      <c r="C13" s="45" t="s">
        <v>449</v>
      </c>
      <c r="D13" s="33" t="s">
        <v>450</v>
      </c>
      <c r="E13" s="33" t="s">
        <v>65</v>
      </c>
      <c r="F13" s="36">
        <v>2400</v>
      </c>
      <c r="G13" s="37">
        <v>20.416799999999999</v>
      </c>
      <c r="H13" s="38">
        <v>20.420000000000002</v>
      </c>
      <c r="I13" s="46">
        <v>3.1011011830148337E-2</v>
      </c>
      <c r="J13" s="3">
        <v>3.1E-2</v>
      </c>
    </row>
    <row r="14" spans="1:10" ht="12.95" customHeight="1">
      <c r="A14" s="2" t="s">
        <v>458</v>
      </c>
      <c r="B14" s="15"/>
      <c r="C14" s="45" t="s">
        <v>459</v>
      </c>
      <c r="D14" s="33" t="s">
        <v>460</v>
      </c>
      <c r="E14" s="33" t="s">
        <v>461</v>
      </c>
      <c r="F14" s="36">
        <v>19000</v>
      </c>
      <c r="G14" s="37">
        <v>16.093</v>
      </c>
      <c r="H14" s="38">
        <v>16.09</v>
      </c>
      <c r="I14" s="46">
        <v>2.4443605921720211E-2</v>
      </c>
      <c r="J14" s="3">
        <v>2.4400000000000002E-2</v>
      </c>
    </row>
    <row r="15" spans="1:10" ht="12.95" customHeight="1">
      <c r="A15" s="2" t="s">
        <v>493</v>
      </c>
      <c r="B15" s="15"/>
      <c r="C15" s="45" t="s">
        <v>494</v>
      </c>
      <c r="D15" s="33" t="s">
        <v>495</v>
      </c>
      <c r="E15" s="33" t="s">
        <v>461</v>
      </c>
      <c r="F15" s="36">
        <v>12000</v>
      </c>
      <c r="G15" s="37">
        <v>8.4960000000000004</v>
      </c>
      <c r="H15" s="38">
        <v>8.5</v>
      </c>
      <c r="I15" s="46">
        <v>1.2904547064620325E-2</v>
      </c>
      <c r="J15" s="3">
        <v>1.29E-2</v>
      </c>
    </row>
    <row r="16" spans="1:10" ht="12.95" customHeight="1">
      <c r="A16" s="2" t="s">
        <v>499</v>
      </c>
      <c r="B16" s="15"/>
      <c r="C16" s="45" t="s">
        <v>500</v>
      </c>
      <c r="D16" s="33" t="s">
        <v>501</v>
      </c>
      <c r="E16" s="33" t="s">
        <v>271</v>
      </c>
      <c r="F16" s="36">
        <v>5000</v>
      </c>
      <c r="G16" s="37">
        <v>7.6675000000000004</v>
      </c>
      <c r="H16" s="38">
        <v>7.67</v>
      </c>
      <c r="I16" s="46">
        <v>1.1646141080270286E-2</v>
      </c>
      <c r="J16" s="3">
        <v>1.1599999999999999E-2</v>
      </c>
    </row>
    <row r="17" spans="1:10" ht="12.95" customHeight="1">
      <c r="A17" s="2" t="s">
        <v>268</v>
      </c>
      <c r="B17" s="15"/>
      <c r="C17" s="45" t="s">
        <v>269</v>
      </c>
      <c r="D17" s="33" t="s">
        <v>270</v>
      </c>
      <c r="E17" s="33" t="s">
        <v>271</v>
      </c>
      <c r="F17" s="36">
        <v>1500</v>
      </c>
      <c r="G17" s="37">
        <v>6.35025</v>
      </c>
      <c r="H17" s="38">
        <v>6.35</v>
      </c>
      <c r="I17" s="46">
        <v>9.645374293444588E-3</v>
      </c>
      <c r="J17" s="3">
        <v>9.5999999999999992E-3</v>
      </c>
    </row>
    <row r="18" spans="1:10" ht="12.95" customHeight="1">
      <c r="A18" s="2"/>
      <c r="B18" s="15"/>
      <c r="C18" s="45"/>
      <c r="D18" s="33"/>
      <c r="E18" s="33"/>
      <c r="F18" s="36"/>
      <c r="G18" s="7">
        <f>SUM(G10:G17)</f>
        <v>225.38344999999995</v>
      </c>
      <c r="H18" s="5"/>
      <c r="I18" s="88">
        <f>SUM(I10:I17)</f>
        <v>0.34233419704702239</v>
      </c>
      <c r="J18" s="3"/>
    </row>
    <row r="19" spans="1:10" ht="12.95" customHeight="1">
      <c r="A19" s="2"/>
      <c r="B19" s="15"/>
      <c r="C19" s="45"/>
      <c r="D19" s="33"/>
      <c r="E19" s="33"/>
      <c r="F19" s="36"/>
      <c r="G19" s="37"/>
      <c r="H19" s="38"/>
      <c r="I19" s="46"/>
      <c r="J19" s="3"/>
    </row>
    <row r="20" spans="1:10" ht="12.95" customHeight="1">
      <c r="A20" s="2"/>
      <c r="B20" s="15"/>
      <c r="C20" s="89" t="s">
        <v>537</v>
      </c>
      <c r="D20" s="33"/>
      <c r="E20" s="33"/>
      <c r="F20" s="36"/>
      <c r="G20" s="37"/>
      <c r="H20" s="38"/>
      <c r="I20" s="46"/>
      <c r="J20" s="3"/>
    </row>
    <row r="21" spans="1:10" ht="12.95" customHeight="1">
      <c r="A21" s="2"/>
      <c r="B21" s="15"/>
      <c r="C21" s="89" t="s">
        <v>538</v>
      </c>
      <c r="D21" s="33"/>
      <c r="E21" s="33"/>
      <c r="F21" s="36"/>
      <c r="G21" s="37"/>
      <c r="H21" s="38"/>
      <c r="I21" s="46"/>
      <c r="J21" s="3"/>
    </row>
    <row r="22" spans="1:10" ht="12.95" customHeight="1">
      <c r="A22" s="2" t="s">
        <v>420</v>
      </c>
      <c r="B22" s="15"/>
      <c r="C22" s="45" t="s">
        <v>421</v>
      </c>
      <c r="D22" s="33" t="s">
        <v>422</v>
      </c>
      <c r="E22" s="33" t="s">
        <v>423</v>
      </c>
      <c r="F22" s="36">
        <v>5700</v>
      </c>
      <c r="G22" s="37">
        <v>58.407758600000001</v>
      </c>
      <c r="H22" s="38">
        <v>58.41</v>
      </c>
      <c r="I22" s="46">
        <v>8.8715356614016305E-2</v>
      </c>
      <c r="J22" s="3">
        <v>8.8700000000000001E-2</v>
      </c>
    </row>
    <row r="23" spans="1:10" ht="12.95" customHeight="1">
      <c r="A23" s="2" t="s">
        <v>427</v>
      </c>
      <c r="B23" s="15"/>
      <c r="C23" s="45" t="s">
        <v>428</v>
      </c>
      <c r="D23" s="33" t="s">
        <v>429</v>
      </c>
      <c r="E23" s="33" t="s">
        <v>430</v>
      </c>
      <c r="F23" s="36">
        <v>63000</v>
      </c>
      <c r="G23" s="37">
        <v>42.2808013</v>
      </c>
      <c r="H23" s="38">
        <v>42.28</v>
      </c>
      <c r="I23" s="46">
        <v>6.4220173058581714E-2</v>
      </c>
      <c r="J23" s="3">
        <v>6.4199999999999993E-2</v>
      </c>
    </row>
    <row r="24" spans="1:10" ht="12.95" customHeight="1">
      <c r="A24" s="2" t="s">
        <v>431</v>
      </c>
      <c r="B24" s="15"/>
      <c r="C24" s="45" t="s">
        <v>432</v>
      </c>
      <c r="D24" s="33" t="s">
        <v>433</v>
      </c>
      <c r="E24" s="33" t="s">
        <v>434</v>
      </c>
      <c r="F24" s="36">
        <v>100000</v>
      </c>
      <c r="G24" s="37">
        <v>39.861201000000001</v>
      </c>
      <c r="H24" s="38">
        <v>39.86</v>
      </c>
      <c r="I24" s="46">
        <v>6.054504994783319E-2</v>
      </c>
      <c r="J24" s="3">
        <v>6.0499999999999998E-2</v>
      </c>
    </row>
    <row r="25" spans="1:10" ht="12.95" customHeight="1">
      <c r="A25" s="2" t="s">
        <v>435</v>
      </c>
      <c r="B25" s="15"/>
      <c r="C25" s="45" t="s">
        <v>436</v>
      </c>
      <c r="D25" s="33" t="s">
        <v>437</v>
      </c>
      <c r="E25" s="33" t="s">
        <v>434</v>
      </c>
      <c r="F25" s="36">
        <v>84000</v>
      </c>
      <c r="G25" s="37">
        <v>38.175351499999998</v>
      </c>
      <c r="H25" s="38">
        <v>38.18</v>
      </c>
      <c r="I25" s="46">
        <v>5.7984418566404676E-2</v>
      </c>
      <c r="J25" s="3">
        <v>5.8000000000000003E-2</v>
      </c>
    </row>
    <row r="26" spans="1:10" ht="12.95" customHeight="1">
      <c r="A26" s="2" t="s">
        <v>438</v>
      </c>
      <c r="B26" s="15"/>
      <c r="C26" s="45" t="s">
        <v>439</v>
      </c>
      <c r="D26" s="33" t="s">
        <v>440</v>
      </c>
      <c r="E26" s="33" t="s">
        <v>423</v>
      </c>
      <c r="F26" s="36">
        <v>1489</v>
      </c>
      <c r="G26" s="37">
        <v>33.372027899999999</v>
      </c>
      <c r="H26" s="38">
        <v>33.369999999999997</v>
      </c>
      <c r="I26" s="46">
        <v>5.0688665804775497E-2</v>
      </c>
      <c r="J26" s="3">
        <v>5.0700000000000002E-2</v>
      </c>
    </row>
    <row r="27" spans="1:10" ht="12.95" customHeight="1">
      <c r="A27" s="2" t="s">
        <v>441</v>
      </c>
      <c r="B27" s="15"/>
      <c r="C27" s="45" t="s">
        <v>442</v>
      </c>
      <c r="D27" s="33" t="s">
        <v>443</v>
      </c>
      <c r="E27" s="33" t="s">
        <v>430</v>
      </c>
      <c r="F27" s="36">
        <v>2300</v>
      </c>
      <c r="G27" s="37">
        <v>30.685125200000002</v>
      </c>
      <c r="H27" s="38">
        <v>30.69</v>
      </c>
      <c r="I27" s="46">
        <v>4.6607537938696701E-2</v>
      </c>
      <c r="J27" s="3">
        <v>4.6600000000000003E-2</v>
      </c>
    </row>
    <row r="28" spans="1:10" ht="12.95" customHeight="1">
      <c r="A28" s="2" t="s">
        <v>444</v>
      </c>
      <c r="B28" s="15"/>
      <c r="C28" s="45" t="s">
        <v>445</v>
      </c>
      <c r="D28" s="33" t="s">
        <v>446</v>
      </c>
      <c r="E28" s="33" t="s">
        <v>447</v>
      </c>
      <c r="F28" s="36">
        <v>4842</v>
      </c>
      <c r="G28" s="37">
        <v>29.407776599999998</v>
      </c>
      <c r="H28" s="38">
        <v>29.41</v>
      </c>
      <c r="I28" s="46">
        <v>4.4667377259950604E-2</v>
      </c>
      <c r="J28" s="3">
        <v>4.4699999999999997E-2</v>
      </c>
    </row>
    <row r="29" spans="1:10" ht="12.95" customHeight="1">
      <c r="A29" s="2" t="s">
        <v>451</v>
      </c>
      <c r="B29" s="15"/>
      <c r="C29" s="45" t="s">
        <v>452</v>
      </c>
      <c r="D29" s="33" t="s">
        <v>453</v>
      </c>
      <c r="E29" s="33" t="s">
        <v>454</v>
      </c>
      <c r="F29" s="36">
        <v>9000</v>
      </c>
      <c r="G29" s="37">
        <v>17.328197299999999</v>
      </c>
      <c r="H29" s="38">
        <v>17.329999999999998</v>
      </c>
      <c r="I29" s="46">
        <v>2.6319743126515638E-2</v>
      </c>
      <c r="J29" s="3">
        <v>2.63E-2</v>
      </c>
    </row>
    <row r="30" spans="1:10" ht="12.95" customHeight="1">
      <c r="A30" s="2" t="s">
        <v>455</v>
      </c>
      <c r="B30" s="15"/>
      <c r="C30" s="45" t="s">
        <v>456</v>
      </c>
      <c r="D30" s="33" t="s">
        <v>457</v>
      </c>
      <c r="E30" s="33" t="s">
        <v>430</v>
      </c>
      <c r="F30" s="36">
        <v>5043</v>
      </c>
      <c r="G30" s="37">
        <v>16.674766200000001</v>
      </c>
      <c r="H30" s="38">
        <v>16.670000000000002</v>
      </c>
      <c r="I30" s="46">
        <v>2.5327248731101721E-2</v>
      </c>
      <c r="J30" s="3">
        <v>2.53E-2</v>
      </c>
    </row>
    <row r="31" spans="1:10" ht="12.95" customHeight="1">
      <c r="A31" s="2" t="s">
        <v>462</v>
      </c>
      <c r="B31" s="15"/>
      <c r="C31" s="45" t="s">
        <v>463</v>
      </c>
      <c r="D31" s="33" t="s">
        <v>464</v>
      </c>
      <c r="E31" s="33" t="s">
        <v>465</v>
      </c>
      <c r="F31" s="36">
        <v>100</v>
      </c>
      <c r="G31" s="37">
        <v>15.796715000000001</v>
      </c>
      <c r="H31" s="38">
        <v>15.8</v>
      </c>
      <c r="I31" s="46">
        <v>2.399357958849975E-2</v>
      </c>
      <c r="J31" s="3">
        <v>2.4E-2</v>
      </c>
    </row>
    <row r="32" spans="1:10" ht="12.95" customHeight="1">
      <c r="A32" s="2" t="s">
        <v>466</v>
      </c>
      <c r="B32" s="15"/>
      <c r="C32" s="45" t="s">
        <v>467</v>
      </c>
      <c r="D32" s="33" t="s">
        <v>468</v>
      </c>
      <c r="E32" s="33" t="s">
        <v>465</v>
      </c>
      <c r="F32" s="36">
        <v>2085</v>
      </c>
      <c r="G32" s="37">
        <v>14.4612397</v>
      </c>
      <c r="H32" s="38">
        <v>14.46</v>
      </c>
      <c r="I32" s="46">
        <v>2.1965130452142882E-2</v>
      </c>
      <c r="J32" s="3">
        <v>2.1999999999999999E-2</v>
      </c>
    </row>
    <row r="33" spans="1:10" ht="12.95" customHeight="1">
      <c r="A33" s="2" t="s">
        <v>469</v>
      </c>
      <c r="B33" s="15"/>
      <c r="C33" s="45" t="s">
        <v>470</v>
      </c>
      <c r="D33" s="33" t="s">
        <v>471</v>
      </c>
      <c r="E33" s="33" t="s">
        <v>434</v>
      </c>
      <c r="F33" s="36">
        <v>4708</v>
      </c>
      <c r="G33" s="37">
        <v>13.243961799999999</v>
      </c>
      <c r="H33" s="38">
        <v>13.24</v>
      </c>
      <c r="I33" s="46">
        <v>2.011621096635284E-2</v>
      </c>
      <c r="J33" s="3">
        <v>2.01E-2</v>
      </c>
    </row>
    <row r="34" spans="1:10" ht="12.95" customHeight="1">
      <c r="A34" s="2" t="s">
        <v>472</v>
      </c>
      <c r="B34" s="15"/>
      <c r="C34" s="45" t="s">
        <v>473</v>
      </c>
      <c r="D34" s="33" t="s">
        <v>474</v>
      </c>
      <c r="E34" s="33" t="s">
        <v>475</v>
      </c>
      <c r="F34" s="36">
        <v>200</v>
      </c>
      <c r="G34" s="37">
        <v>10.84468</v>
      </c>
      <c r="H34" s="38">
        <v>10.84</v>
      </c>
      <c r="I34" s="46">
        <v>1.6471949559880739E-2</v>
      </c>
      <c r="J34" s="3">
        <v>1.6500000000000001E-2</v>
      </c>
    </row>
    <row r="35" spans="1:10" ht="12.95" customHeight="1">
      <c r="A35" s="2" t="s">
        <v>476</v>
      </c>
      <c r="B35" s="15"/>
      <c r="C35" s="45" t="s">
        <v>477</v>
      </c>
      <c r="D35" s="33" t="s">
        <v>478</v>
      </c>
      <c r="E35" s="33" t="s">
        <v>430</v>
      </c>
      <c r="F35" s="36">
        <v>22000</v>
      </c>
      <c r="G35" s="37">
        <v>10.3148263</v>
      </c>
      <c r="H35" s="38">
        <v>10.31</v>
      </c>
      <c r="I35" s="46">
        <v>1.5667156479723814E-2</v>
      </c>
      <c r="J35" s="3">
        <v>1.5699999999999999E-2</v>
      </c>
    </row>
    <row r="36" spans="1:10" ht="12.95" customHeight="1">
      <c r="A36" s="2" t="s">
        <v>479</v>
      </c>
      <c r="B36" s="15"/>
      <c r="C36" s="45" t="s">
        <v>480</v>
      </c>
      <c r="D36" s="33" t="s">
        <v>481</v>
      </c>
      <c r="E36" s="33" t="s">
        <v>482</v>
      </c>
      <c r="F36" s="36">
        <v>10000</v>
      </c>
      <c r="G36" s="37">
        <v>10.0203104</v>
      </c>
      <c r="H36" s="38">
        <v>10.02</v>
      </c>
      <c r="I36" s="46">
        <v>1.521981722680138E-2</v>
      </c>
      <c r="J36" s="3">
        <v>1.52E-2</v>
      </c>
    </row>
    <row r="37" spans="1:10" ht="12.95" customHeight="1">
      <c r="A37" s="2" t="s">
        <v>483</v>
      </c>
      <c r="B37" s="15"/>
      <c r="C37" s="45" t="s">
        <v>484</v>
      </c>
      <c r="D37" s="33" t="s">
        <v>485</v>
      </c>
      <c r="E37" s="33" t="s">
        <v>430</v>
      </c>
      <c r="F37" s="36">
        <v>5342</v>
      </c>
      <c r="G37" s="37">
        <v>9.8047965000000001</v>
      </c>
      <c r="H37" s="38">
        <v>9.8000000000000007</v>
      </c>
      <c r="I37" s="46">
        <v>1.4892473857494662E-2</v>
      </c>
      <c r="J37" s="3">
        <v>1.49E-2</v>
      </c>
    </row>
    <row r="38" spans="1:10" ht="12.95" customHeight="1">
      <c r="A38" s="2" t="s">
        <v>486</v>
      </c>
      <c r="B38" s="15"/>
      <c r="C38" s="45" t="s">
        <v>487</v>
      </c>
      <c r="D38" s="33" t="s">
        <v>488</v>
      </c>
      <c r="E38" s="33" t="s">
        <v>423</v>
      </c>
      <c r="F38" s="36">
        <v>12000</v>
      </c>
      <c r="G38" s="37">
        <v>9.5463768000000009</v>
      </c>
      <c r="H38" s="38">
        <v>9.5500000000000007</v>
      </c>
      <c r="I38" s="46">
        <v>1.4499961006614827E-2</v>
      </c>
      <c r="J38" s="3">
        <v>1.4500000000000001E-2</v>
      </c>
    </row>
    <row r="39" spans="1:10" ht="12.95" customHeight="1">
      <c r="A39" s="2" t="s">
        <v>489</v>
      </c>
      <c r="B39" s="15"/>
      <c r="C39" s="45" t="s">
        <v>490</v>
      </c>
      <c r="D39" s="33" t="s">
        <v>491</v>
      </c>
      <c r="E39" s="33" t="s">
        <v>492</v>
      </c>
      <c r="F39" s="36">
        <v>100</v>
      </c>
      <c r="G39" s="37">
        <v>9.323105</v>
      </c>
      <c r="H39" s="38">
        <v>9.32</v>
      </c>
      <c r="I39" s="46">
        <v>1.4160834187958696E-2</v>
      </c>
      <c r="J39" s="3">
        <v>1.4200000000000001E-2</v>
      </c>
    </row>
    <row r="40" spans="1:10" ht="12.95" customHeight="1">
      <c r="A40" s="2" t="s">
        <v>496</v>
      </c>
      <c r="B40" s="15"/>
      <c r="C40" s="45" t="s">
        <v>497</v>
      </c>
      <c r="D40" s="33" t="s">
        <v>498</v>
      </c>
      <c r="E40" s="33" t="s">
        <v>454</v>
      </c>
      <c r="F40" s="36">
        <v>20000</v>
      </c>
      <c r="G40" s="37">
        <v>8.1015599999999992</v>
      </c>
      <c r="H40" s="38">
        <v>8.1</v>
      </c>
      <c r="I40" s="46">
        <v>1.2305433417707798E-2</v>
      </c>
      <c r="J40" s="3">
        <v>1.23E-2</v>
      </c>
    </row>
    <row r="41" spans="1:10" ht="12.95" customHeight="1">
      <c r="A41" s="2" t="s">
        <v>502</v>
      </c>
      <c r="B41" s="15"/>
      <c r="C41" s="45" t="s">
        <v>503</v>
      </c>
      <c r="D41" s="33" t="s">
        <v>504</v>
      </c>
      <c r="E41" s="33" t="s">
        <v>454</v>
      </c>
      <c r="F41" s="36">
        <v>16000</v>
      </c>
      <c r="G41" s="37">
        <v>6.0392682000000004</v>
      </c>
      <c r="H41" s="38">
        <v>6.04</v>
      </c>
      <c r="I41" s="46">
        <v>9.1730250379902165E-3</v>
      </c>
      <c r="J41" s="3">
        <v>9.1999999999999998E-3</v>
      </c>
    </row>
    <row r="42" spans="1:10" ht="12.95" customHeight="1">
      <c r="A42" s="2" t="s">
        <v>505</v>
      </c>
      <c r="B42" s="15"/>
      <c r="C42" s="45" t="s">
        <v>506</v>
      </c>
      <c r="D42" s="33" t="s">
        <v>507</v>
      </c>
      <c r="E42" s="33" t="s">
        <v>447</v>
      </c>
      <c r="F42" s="36">
        <v>4729</v>
      </c>
      <c r="G42" s="37">
        <v>5.0377071999999998</v>
      </c>
      <c r="H42" s="38">
        <v>5.04</v>
      </c>
      <c r="I42" s="46">
        <v>7.6517572575537521E-3</v>
      </c>
      <c r="J42" s="3">
        <v>7.7000000000000002E-3</v>
      </c>
    </row>
    <row r="43" spans="1:10" ht="12.95" customHeight="1">
      <c r="A43" s="2"/>
      <c r="B43" s="15"/>
      <c r="C43" s="43" t="s">
        <v>33</v>
      </c>
      <c r="D43" s="33"/>
      <c r="E43" s="33"/>
      <c r="F43" s="36"/>
      <c r="G43" s="39">
        <f>SUM(G22:G42)</f>
        <v>428.72755250000006</v>
      </c>
      <c r="H43" s="40"/>
      <c r="I43" s="47">
        <f>SUM(I22:I42)</f>
        <v>0.65119290008659758</v>
      </c>
      <c r="J43" s="3"/>
    </row>
    <row r="44" spans="1:10" ht="12.95" customHeight="1">
      <c r="A44" s="2"/>
      <c r="B44" s="15"/>
      <c r="C44" s="43"/>
      <c r="D44" s="33"/>
      <c r="E44" s="33"/>
      <c r="F44" s="36"/>
      <c r="G44" s="39"/>
      <c r="H44" s="40"/>
      <c r="I44" s="47"/>
      <c r="J44" s="3"/>
    </row>
    <row r="45" spans="1:10" ht="12.95" customHeight="1">
      <c r="A45" s="1"/>
      <c r="B45" s="13"/>
      <c r="C45" s="43" t="s">
        <v>272</v>
      </c>
      <c r="D45" s="33" t="s">
        <v>1</v>
      </c>
      <c r="E45" s="33" t="s">
        <v>1</v>
      </c>
      <c r="F45" s="33" t="s">
        <v>1</v>
      </c>
      <c r="G45" s="39" t="s">
        <v>273</v>
      </c>
      <c r="H45" s="42" t="s">
        <v>273</v>
      </c>
      <c r="I45" s="47" t="s">
        <v>273</v>
      </c>
      <c r="J45" s="27" t="s">
        <v>273</v>
      </c>
    </row>
    <row r="46" spans="1:10" ht="12.95" customHeight="1">
      <c r="A46" s="1"/>
      <c r="B46" s="13"/>
      <c r="C46" s="43" t="s">
        <v>33</v>
      </c>
      <c r="D46" s="33" t="s">
        <v>1</v>
      </c>
      <c r="E46" s="33" t="s">
        <v>1</v>
      </c>
      <c r="F46" s="33" t="s">
        <v>1</v>
      </c>
      <c r="G46" s="39" t="s">
        <v>273</v>
      </c>
      <c r="H46" s="42" t="s">
        <v>273</v>
      </c>
      <c r="I46" s="47" t="s">
        <v>273</v>
      </c>
      <c r="J46" s="27" t="s">
        <v>273</v>
      </c>
    </row>
    <row r="47" spans="1:10" ht="12.95" customHeight="1">
      <c r="A47" s="1"/>
      <c r="B47" s="13"/>
      <c r="C47" s="43" t="s">
        <v>45</v>
      </c>
      <c r="D47" s="33" t="s">
        <v>1</v>
      </c>
      <c r="E47" s="33" t="s">
        <v>1</v>
      </c>
      <c r="F47" s="33" t="s">
        <v>1</v>
      </c>
      <c r="G47" s="39">
        <v>654.11100250000004</v>
      </c>
      <c r="H47" s="40">
        <v>654.1</v>
      </c>
      <c r="I47" s="47">
        <v>0.99352709713361975</v>
      </c>
      <c r="J47" s="26">
        <v>0.99350000000000005</v>
      </c>
    </row>
    <row r="48" spans="1:10" ht="12.95" customHeight="1">
      <c r="A48" s="1"/>
      <c r="B48" s="13"/>
      <c r="C48" s="32"/>
      <c r="D48" s="33"/>
      <c r="E48" s="33"/>
      <c r="F48" s="33"/>
      <c r="G48" s="39"/>
      <c r="H48" s="40"/>
      <c r="I48" s="41"/>
      <c r="J48" s="63"/>
    </row>
    <row r="49" spans="1:10" ht="12.95" customHeight="1">
      <c r="A49" s="1"/>
      <c r="B49" s="13"/>
      <c r="C49" s="98" t="s">
        <v>546</v>
      </c>
      <c r="D49" s="32"/>
      <c r="E49" s="33"/>
      <c r="F49" s="33"/>
      <c r="G49" s="99"/>
      <c r="H49" s="40"/>
      <c r="I49" s="41"/>
      <c r="J49" s="63"/>
    </row>
    <row r="50" spans="1:10" ht="12.95" customHeight="1">
      <c r="A50" s="1"/>
      <c r="B50" s="13"/>
      <c r="C50" s="100" t="s">
        <v>554</v>
      </c>
      <c r="D50" s="32"/>
      <c r="E50" s="33"/>
      <c r="F50" s="5" t="s">
        <v>273</v>
      </c>
      <c r="G50" s="5" t="s">
        <v>273</v>
      </c>
      <c r="H50" s="5" t="s">
        <v>273</v>
      </c>
      <c r="I50" s="5" t="s">
        <v>273</v>
      </c>
      <c r="J50" s="63"/>
    </row>
    <row r="51" spans="1:10" ht="12.95" customHeight="1">
      <c r="A51" s="1"/>
      <c r="B51" s="13"/>
      <c r="C51" s="101" t="s">
        <v>549</v>
      </c>
      <c r="D51" s="32"/>
      <c r="E51" s="33"/>
      <c r="F51" s="5" t="s">
        <v>273</v>
      </c>
      <c r="G51" s="5" t="s">
        <v>273</v>
      </c>
      <c r="H51" s="5" t="s">
        <v>273</v>
      </c>
      <c r="I51" s="5" t="s">
        <v>273</v>
      </c>
      <c r="J51" s="63"/>
    </row>
    <row r="52" spans="1:10" ht="12.95" customHeight="1">
      <c r="A52" s="1"/>
      <c r="B52" s="13"/>
      <c r="C52" s="101" t="s">
        <v>550</v>
      </c>
      <c r="D52" s="32"/>
      <c r="E52" s="33"/>
      <c r="F52" s="5" t="s">
        <v>273</v>
      </c>
      <c r="G52" s="5" t="s">
        <v>273</v>
      </c>
      <c r="H52" s="5" t="s">
        <v>273</v>
      </c>
      <c r="I52" s="5" t="s">
        <v>273</v>
      </c>
      <c r="J52" s="63"/>
    </row>
    <row r="53" spans="1:10" ht="12.95" customHeight="1">
      <c r="A53" s="1"/>
      <c r="B53" s="13"/>
      <c r="C53" s="101"/>
      <c r="D53" s="32"/>
      <c r="E53" s="33"/>
      <c r="F53" s="5"/>
      <c r="G53" s="5"/>
      <c r="H53" s="5"/>
      <c r="I53" s="5"/>
      <c r="J53" s="63"/>
    </row>
    <row r="54" spans="1:10" ht="12.95" customHeight="1">
      <c r="A54" s="1"/>
      <c r="B54" s="13"/>
      <c r="C54" s="102" t="s">
        <v>11</v>
      </c>
      <c r="D54" s="33"/>
      <c r="E54" s="33"/>
      <c r="F54" s="33"/>
      <c r="G54" s="39"/>
      <c r="H54" s="40"/>
      <c r="I54" s="47"/>
      <c r="J54" s="63"/>
    </row>
    <row r="55" spans="1:10" ht="12.95" customHeight="1">
      <c r="A55" s="1"/>
      <c r="B55" s="13"/>
      <c r="C55" s="43" t="s">
        <v>46</v>
      </c>
      <c r="D55" s="33" t="s">
        <v>1</v>
      </c>
      <c r="E55" s="33" t="s">
        <v>1</v>
      </c>
      <c r="F55" s="33" t="s">
        <v>1</v>
      </c>
      <c r="G55" s="34" t="s">
        <v>1</v>
      </c>
      <c r="H55" s="35"/>
      <c r="I55" s="44" t="s">
        <v>1</v>
      </c>
      <c r="J55" s="4" t="s">
        <v>1</v>
      </c>
    </row>
    <row r="56" spans="1:10" ht="12.95" customHeight="1">
      <c r="A56" s="2" t="s">
        <v>47</v>
      </c>
      <c r="B56" s="15"/>
      <c r="C56" s="45" t="s">
        <v>48</v>
      </c>
      <c r="D56" s="33" t="s">
        <v>1</v>
      </c>
      <c r="E56" s="33" t="s">
        <v>49</v>
      </c>
      <c r="F56" s="36"/>
      <c r="G56" s="37">
        <v>3.84375</v>
      </c>
      <c r="H56" s="38">
        <v>3.84</v>
      </c>
      <c r="I56" s="46">
        <v>5.8382595079607318E-3</v>
      </c>
      <c r="J56" s="3">
        <v>5.7999999999999996E-3</v>
      </c>
    </row>
    <row r="57" spans="1:10" ht="12.95" customHeight="1">
      <c r="A57" s="1"/>
      <c r="B57" s="13"/>
      <c r="C57" s="43" t="s">
        <v>33</v>
      </c>
      <c r="D57" s="33" t="s">
        <v>1</v>
      </c>
      <c r="E57" s="33" t="s">
        <v>1</v>
      </c>
      <c r="F57" s="33" t="s">
        <v>1</v>
      </c>
      <c r="G57" s="39">
        <v>3.84375</v>
      </c>
      <c r="H57" s="40">
        <v>3.84</v>
      </c>
      <c r="I57" s="47">
        <v>5.8382595079607318E-3</v>
      </c>
      <c r="J57" s="26">
        <v>5.7999999999999996E-3</v>
      </c>
    </row>
    <row r="58" spans="1:10" ht="12.95" customHeight="1">
      <c r="A58" s="1"/>
      <c r="B58" s="13"/>
      <c r="C58" s="43"/>
      <c r="D58" s="33"/>
      <c r="E58" s="33"/>
      <c r="F58" s="33"/>
      <c r="G58" s="39"/>
      <c r="H58" s="40"/>
      <c r="I58" s="47"/>
      <c r="J58" s="26"/>
    </row>
    <row r="59" spans="1:10" ht="12.95" customHeight="1">
      <c r="A59" s="1"/>
      <c r="B59" s="13"/>
      <c r="C59" s="43" t="s">
        <v>414</v>
      </c>
      <c r="D59" s="33"/>
      <c r="E59" s="33"/>
      <c r="F59" s="33"/>
      <c r="G59" s="39"/>
      <c r="H59" s="40"/>
      <c r="I59" s="47"/>
      <c r="J59" s="26"/>
    </row>
    <row r="60" spans="1:10" ht="12.95" customHeight="1">
      <c r="A60" s="1"/>
      <c r="B60" s="13"/>
      <c r="C60" s="139" t="s">
        <v>50</v>
      </c>
      <c r="D60" s="33" t="s">
        <v>1</v>
      </c>
      <c r="E60" s="33" t="s">
        <v>1</v>
      </c>
      <c r="F60" s="33" t="s">
        <v>1</v>
      </c>
      <c r="G60" s="75">
        <v>0.41783178799999998</v>
      </c>
      <c r="H60" s="76">
        <v>0.43</v>
      </c>
      <c r="I60" s="77">
        <v>6.3464335841949791E-4</v>
      </c>
      <c r="J60" s="26">
        <v>6.9999999999999999E-4</v>
      </c>
    </row>
    <row r="61" spans="1:10" ht="12.95" customHeight="1">
      <c r="A61" s="1"/>
      <c r="B61" s="13"/>
      <c r="C61" s="43" t="s">
        <v>33</v>
      </c>
      <c r="D61" s="71"/>
      <c r="E61" s="71"/>
      <c r="F61" s="71"/>
      <c r="G61" s="39">
        <v>0.41783178799999998</v>
      </c>
      <c r="H61" s="40">
        <v>0.43</v>
      </c>
      <c r="I61" s="47">
        <v>6.3464335841949791E-4</v>
      </c>
      <c r="J61" s="74"/>
    </row>
    <row r="62" spans="1:10" ht="12.95" customHeight="1">
      <c r="A62" s="1"/>
      <c r="B62" s="13"/>
      <c r="C62" s="43" t="s">
        <v>45</v>
      </c>
      <c r="D62" s="71"/>
      <c r="E62" s="71"/>
      <c r="F62" s="71"/>
      <c r="G62" s="72">
        <f>G57+G61</f>
        <v>4.261581788</v>
      </c>
      <c r="H62" s="72">
        <f t="shared" ref="H62:I62" si="0">H57+H61</f>
        <v>4.2699999999999996</v>
      </c>
      <c r="I62" s="47">
        <f t="shared" si="0"/>
        <v>6.4729028663802297E-3</v>
      </c>
      <c r="J62" s="74"/>
    </row>
    <row r="63" spans="1:10" ht="12.95" customHeight="1" thickBot="1">
      <c r="A63" s="1"/>
      <c r="B63" s="13"/>
      <c r="C63" s="48" t="s">
        <v>51</v>
      </c>
      <c r="D63" s="49" t="s">
        <v>1</v>
      </c>
      <c r="E63" s="49" t="s">
        <v>1</v>
      </c>
      <c r="F63" s="49" t="s">
        <v>1</v>
      </c>
      <c r="G63" s="50">
        <v>658.37258428799998</v>
      </c>
      <c r="H63" s="51">
        <v>658.37</v>
      </c>
      <c r="I63" s="52">
        <v>1</v>
      </c>
      <c r="J63" s="28">
        <v>1</v>
      </c>
    </row>
    <row r="64" spans="1:10" s="16" customFormat="1" ht="12.95" customHeight="1">
      <c r="A64" s="13"/>
      <c r="B64" s="13"/>
      <c r="C64" s="14" t="s">
        <v>1</v>
      </c>
      <c r="D64" s="13"/>
      <c r="E64" s="13"/>
      <c r="F64" s="13"/>
      <c r="G64" s="18"/>
      <c r="H64" s="13"/>
      <c r="I64" s="19"/>
      <c r="J64" s="13"/>
    </row>
    <row r="65" spans="1:10" s="16" customFormat="1" ht="12.95" customHeight="1">
      <c r="A65" s="13"/>
      <c r="B65" s="13"/>
      <c r="C65" s="21" t="s">
        <v>49</v>
      </c>
      <c r="D65" s="13"/>
      <c r="E65" s="13"/>
      <c r="F65" s="13"/>
      <c r="G65" s="18"/>
      <c r="H65" s="13"/>
      <c r="I65" s="19"/>
      <c r="J65" s="13"/>
    </row>
    <row r="66" spans="1:10" s="16" customFormat="1" ht="12.95" customHeight="1">
      <c r="A66" s="13"/>
      <c r="B66" s="13"/>
      <c r="C66" s="78" t="s">
        <v>539</v>
      </c>
      <c r="D66" s="79"/>
      <c r="E66" s="13"/>
      <c r="F66" s="13"/>
      <c r="G66" s="18"/>
      <c r="H66" s="13"/>
      <c r="I66" s="19"/>
      <c r="J66" s="13"/>
    </row>
    <row r="67" spans="1:10" s="16" customFormat="1" ht="12.95" customHeight="1">
      <c r="A67" s="13"/>
      <c r="B67" s="13"/>
      <c r="C67" s="92" t="s">
        <v>540</v>
      </c>
      <c r="D67" s="79"/>
      <c r="E67" s="13"/>
      <c r="F67" s="13"/>
      <c r="G67" s="18"/>
      <c r="H67" s="13"/>
      <c r="I67" s="19"/>
      <c r="J67" s="13"/>
    </row>
    <row r="68" spans="1:10" s="16" customFormat="1" ht="13.5" thickBot="1">
      <c r="C68" s="93"/>
      <c r="D68" s="93"/>
      <c r="G68" s="22"/>
      <c r="I68" s="23"/>
    </row>
    <row r="69" spans="1:10" s="16" customFormat="1" ht="13.5" thickBot="1">
      <c r="C69" s="94" t="s">
        <v>555</v>
      </c>
      <c r="D69" s="95">
        <v>2.4799999999999999E-2</v>
      </c>
      <c r="G69" s="22"/>
      <c r="I69" s="23"/>
    </row>
    <row r="70" spans="1:10" s="16" customFormat="1">
      <c r="C70" s="96" t="s">
        <v>556</v>
      </c>
      <c r="D70" s="96"/>
      <c r="G70" s="22"/>
      <c r="I70" s="23"/>
    </row>
    <row r="71" spans="1:10" s="16" customFormat="1">
      <c r="G71" s="22"/>
      <c r="I71" s="23"/>
    </row>
    <row r="72" spans="1:10" s="16" customFormat="1">
      <c r="G72" s="22"/>
      <c r="I72" s="23"/>
    </row>
    <row r="73" spans="1:10" s="16" customFormat="1">
      <c r="G73" s="22"/>
      <c r="I73" s="23"/>
    </row>
    <row r="74" spans="1:10" s="16" customFormat="1">
      <c r="G74" s="22"/>
      <c r="I74" s="23"/>
    </row>
    <row r="75" spans="1:10" s="16" customFormat="1">
      <c r="G75" s="22"/>
      <c r="I75" s="23"/>
    </row>
    <row r="76" spans="1:10" s="16" customFormat="1">
      <c r="G76" s="22"/>
      <c r="I76" s="23"/>
    </row>
    <row r="77" spans="1:10" s="16" customFormat="1">
      <c r="G77" s="22"/>
      <c r="I77" s="23"/>
    </row>
    <row r="78" spans="1:10" s="16" customFormat="1">
      <c r="G78" s="22"/>
      <c r="I78" s="23"/>
    </row>
    <row r="79" spans="1:10" s="16" customFormat="1">
      <c r="G79" s="22"/>
      <c r="I79" s="23"/>
    </row>
    <row r="80" spans="1:10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</sheetData>
  <sortState ref="A20:K40">
    <sortCondition descending="1" ref="I20:I40"/>
  </sortState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15"/>
  <sheetViews>
    <sheetView topLeftCell="B1" zoomScaleNormal="100" workbookViewId="0">
      <selection activeCell="C26" sqref="C26"/>
    </sheetView>
  </sheetViews>
  <sheetFormatPr defaultRowHeight="12.75"/>
  <cols>
    <col min="1" max="1" width="3.42578125" hidden="1" customWidth="1"/>
    <col min="2" max="2" width="3.425781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0" width="9.140625" style="16"/>
  </cols>
  <sheetData>
    <row r="1" spans="1:10" ht="15.95" customHeight="1">
      <c r="A1" s="1"/>
      <c r="B1" s="13"/>
      <c r="C1" s="141" t="s">
        <v>413</v>
      </c>
      <c r="D1" s="142"/>
      <c r="E1" s="142"/>
      <c r="F1" s="142"/>
      <c r="G1" s="142"/>
      <c r="H1" s="142"/>
      <c r="I1" s="143"/>
      <c r="J1" s="1"/>
    </row>
    <row r="2" spans="1:10" ht="12.95" customHeight="1" thickBot="1">
      <c r="A2" s="1"/>
      <c r="B2" s="13"/>
      <c r="C2" s="150" t="s">
        <v>558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274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104" t="s">
        <v>543</v>
      </c>
      <c r="D7" s="105"/>
      <c r="E7" s="106"/>
      <c r="F7" s="106"/>
      <c r="G7" s="107"/>
      <c r="H7" s="108"/>
      <c r="I7" s="109"/>
      <c r="J7" s="4" t="s">
        <v>1</v>
      </c>
    </row>
    <row r="8" spans="1:10" ht="12.95" customHeight="1">
      <c r="A8" s="1"/>
      <c r="B8" s="13"/>
      <c r="C8" s="110" t="s">
        <v>544</v>
      </c>
      <c r="D8" s="111"/>
      <c r="E8" s="112"/>
      <c r="F8" s="113" t="s">
        <v>273</v>
      </c>
      <c r="G8" s="113" t="s">
        <v>273</v>
      </c>
      <c r="H8" s="113" t="s">
        <v>273</v>
      </c>
      <c r="I8" s="114" t="s">
        <v>273</v>
      </c>
      <c r="J8" s="4"/>
    </row>
    <row r="9" spans="1:10" ht="12.95" customHeight="1">
      <c r="A9" s="1"/>
      <c r="B9" s="13"/>
      <c r="C9" s="110" t="s">
        <v>272</v>
      </c>
      <c r="D9" s="111"/>
      <c r="E9" s="112"/>
      <c r="F9" s="113" t="s">
        <v>273</v>
      </c>
      <c r="G9" s="113" t="s">
        <v>273</v>
      </c>
      <c r="H9" s="113" t="s">
        <v>273</v>
      </c>
      <c r="I9" s="114" t="s">
        <v>273</v>
      </c>
      <c r="J9" s="4"/>
    </row>
    <row r="10" spans="1:10" ht="12.95" customHeight="1">
      <c r="A10" s="1"/>
      <c r="B10" s="13"/>
      <c r="C10" s="110"/>
      <c r="D10" s="111"/>
      <c r="E10" s="112"/>
      <c r="F10" s="113"/>
      <c r="G10" s="113"/>
      <c r="H10" s="113"/>
      <c r="I10" s="114"/>
      <c r="J10" s="4"/>
    </row>
    <row r="11" spans="1:10" ht="12.95" customHeight="1">
      <c r="A11" s="1"/>
      <c r="B11" s="13"/>
      <c r="C11" s="115" t="s">
        <v>546</v>
      </c>
      <c r="D11" s="111"/>
      <c r="E11" s="112"/>
      <c r="F11" s="112"/>
      <c r="G11" s="116"/>
      <c r="H11" s="117"/>
      <c r="I11" s="118"/>
      <c r="J11" s="4"/>
    </row>
    <row r="12" spans="1:10" ht="12.95" customHeight="1">
      <c r="A12" s="1"/>
      <c r="B12" s="13"/>
      <c r="C12" s="119" t="s">
        <v>554</v>
      </c>
      <c r="D12" s="111"/>
      <c r="E12" s="112"/>
      <c r="F12" s="113" t="s">
        <v>273</v>
      </c>
      <c r="G12" s="113" t="s">
        <v>273</v>
      </c>
      <c r="H12" s="113" t="s">
        <v>273</v>
      </c>
      <c r="I12" s="114" t="s">
        <v>273</v>
      </c>
      <c r="J12" s="4"/>
    </row>
    <row r="13" spans="1:10" ht="12.95" customHeight="1">
      <c r="A13" s="1"/>
      <c r="B13" s="13"/>
      <c r="C13" s="119" t="s">
        <v>549</v>
      </c>
      <c r="D13" s="111"/>
      <c r="E13" s="112"/>
      <c r="F13" s="113" t="s">
        <v>273</v>
      </c>
      <c r="G13" s="113" t="s">
        <v>273</v>
      </c>
      <c r="H13" s="113" t="s">
        <v>273</v>
      </c>
      <c r="I13" s="114" t="s">
        <v>273</v>
      </c>
      <c r="J13" s="4"/>
    </row>
    <row r="14" spans="1:10" ht="12.95" customHeight="1">
      <c r="A14" s="1"/>
      <c r="B14" s="13"/>
      <c r="C14" s="119" t="s">
        <v>550</v>
      </c>
      <c r="D14" s="111"/>
      <c r="E14" s="112"/>
      <c r="F14" s="113" t="s">
        <v>273</v>
      </c>
      <c r="G14" s="113" t="s">
        <v>273</v>
      </c>
      <c r="H14" s="113" t="s">
        <v>273</v>
      </c>
      <c r="I14" s="114" t="s">
        <v>273</v>
      </c>
      <c r="J14" s="4"/>
    </row>
    <row r="15" spans="1:10" ht="12.95" customHeight="1">
      <c r="A15" s="1"/>
      <c r="B15" s="13"/>
      <c r="C15" s="119"/>
      <c r="D15" s="111"/>
      <c r="E15" s="112"/>
      <c r="F15" s="113"/>
      <c r="G15" s="113"/>
      <c r="H15" s="113"/>
      <c r="I15" s="114"/>
      <c r="J15" s="4"/>
    </row>
    <row r="16" spans="1:10" ht="12.95" customHeight="1">
      <c r="A16" s="1"/>
      <c r="B16" s="13"/>
      <c r="C16" s="140" t="s">
        <v>11</v>
      </c>
      <c r="D16" s="111"/>
      <c r="E16" s="112"/>
      <c r="F16" s="113"/>
      <c r="G16" s="113"/>
      <c r="H16" s="113"/>
      <c r="I16" s="114"/>
      <c r="J16" s="4"/>
    </row>
    <row r="17" spans="1:10" ht="12.95" customHeight="1">
      <c r="A17" s="1"/>
      <c r="B17" s="13"/>
      <c r="C17" s="43" t="s">
        <v>46</v>
      </c>
      <c r="D17" s="33" t="s">
        <v>1</v>
      </c>
      <c r="E17" s="33" t="s">
        <v>1</v>
      </c>
      <c r="F17" s="33" t="s">
        <v>1</v>
      </c>
      <c r="G17" s="34" t="s">
        <v>1</v>
      </c>
      <c r="H17" s="35"/>
      <c r="I17" s="44" t="s">
        <v>1</v>
      </c>
      <c r="J17" s="4"/>
    </row>
    <row r="18" spans="1:10" ht="12.95" customHeight="1">
      <c r="A18" s="1"/>
      <c r="B18" s="13"/>
      <c r="C18" s="45" t="s">
        <v>48</v>
      </c>
      <c r="D18" s="33" t="s">
        <v>1</v>
      </c>
      <c r="E18" s="33" t="s">
        <v>49</v>
      </c>
      <c r="F18" s="36"/>
      <c r="G18" s="37">
        <v>12.756449999999999</v>
      </c>
      <c r="H18" s="38">
        <v>12.76</v>
      </c>
      <c r="I18" s="46">
        <v>8.7364559868011882E-3</v>
      </c>
      <c r="J18" s="4"/>
    </row>
    <row r="19" spans="1:10" ht="12.95" customHeight="1">
      <c r="A19" s="1"/>
      <c r="B19" s="13"/>
      <c r="C19" s="43" t="s">
        <v>33</v>
      </c>
      <c r="D19" s="33" t="s">
        <v>1</v>
      </c>
      <c r="E19" s="33" t="s">
        <v>1</v>
      </c>
      <c r="F19" s="33" t="s">
        <v>1</v>
      </c>
      <c r="G19" s="39">
        <v>12.756449999999999</v>
      </c>
      <c r="H19" s="40">
        <v>12.76</v>
      </c>
      <c r="I19" s="47">
        <v>8.7364559868011882E-3</v>
      </c>
      <c r="J19" s="4"/>
    </row>
    <row r="20" spans="1:10" ht="12.95" customHeight="1">
      <c r="A20" s="1"/>
      <c r="B20" s="13"/>
      <c r="C20" s="43"/>
      <c r="D20" s="33"/>
      <c r="E20" s="33"/>
      <c r="F20" s="33"/>
      <c r="G20" s="34"/>
      <c r="H20" s="35"/>
      <c r="I20" s="44"/>
      <c r="J20" s="4"/>
    </row>
    <row r="21" spans="1:10" ht="12.95" customHeight="1">
      <c r="A21" s="1"/>
      <c r="B21" s="13"/>
      <c r="C21" s="43" t="s">
        <v>414</v>
      </c>
      <c r="D21" s="33"/>
      <c r="E21" s="33"/>
      <c r="F21" s="33"/>
      <c r="G21" s="34"/>
      <c r="H21" s="35"/>
      <c r="I21" s="44"/>
      <c r="J21" s="4"/>
    </row>
    <row r="22" spans="1:10" ht="12.95" customHeight="1">
      <c r="A22" s="1"/>
      <c r="B22" s="13"/>
      <c r="C22" s="43" t="s">
        <v>415</v>
      </c>
      <c r="D22" s="33" t="s">
        <v>1</v>
      </c>
      <c r="E22" s="33" t="s">
        <v>1</v>
      </c>
      <c r="F22" s="33" t="s">
        <v>1</v>
      </c>
      <c r="G22" s="34" t="s">
        <v>1</v>
      </c>
      <c r="H22" s="35"/>
      <c r="I22" s="44" t="s">
        <v>1</v>
      </c>
      <c r="J22" s="4" t="s">
        <v>1</v>
      </c>
    </row>
    <row r="23" spans="1:10" ht="12.95" customHeight="1">
      <c r="A23" s="2" t="s">
        <v>416</v>
      </c>
      <c r="B23" s="15"/>
      <c r="C23" s="45" t="s">
        <v>417</v>
      </c>
      <c r="D23" s="33" t="s">
        <v>418</v>
      </c>
      <c r="E23" s="33" t="s">
        <v>1</v>
      </c>
      <c r="F23" s="36">
        <v>243284.92433489999</v>
      </c>
      <c r="G23" s="37">
        <v>1447.455993</v>
      </c>
      <c r="H23" s="38">
        <v>1447.46</v>
      </c>
      <c r="I23" s="46">
        <v>0.99131306716806866</v>
      </c>
      <c r="J23" s="3">
        <v>0.99129999999999996</v>
      </c>
    </row>
    <row r="24" spans="1:10" ht="12.95" customHeight="1">
      <c r="A24" s="1"/>
      <c r="B24" s="13"/>
      <c r="C24" s="43" t="s">
        <v>33</v>
      </c>
      <c r="D24" s="33" t="s">
        <v>1</v>
      </c>
      <c r="E24" s="33" t="s">
        <v>1</v>
      </c>
      <c r="F24" s="33" t="s">
        <v>1</v>
      </c>
      <c r="G24" s="39">
        <v>1447.455993</v>
      </c>
      <c r="H24" s="40">
        <v>1447.46</v>
      </c>
      <c r="I24" s="47">
        <v>0.99131306716806866</v>
      </c>
      <c r="J24" s="26">
        <v>0.99129999999999996</v>
      </c>
    </row>
    <row r="25" spans="1:10" ht="12.95" customHeight="1">
      <c r="A25" s="1"/>
      <c r="B25" s="13"/>
      <c r="C25" s="123"/>
      <c r="D25" s="120"/>
      <c r="E25" s="120"/>
      <c r="F25" s="120"/>
      <c r="G25" s="121"/>
      <c r="H25" s="120"/>
      <c r="I25" s="124"/>
      <c r="J25" s="26">
        <v>8.6999999999999994E-3</v>
      </c>
    </row>
    <row r="26" spans="1:10" ht="12.95" customHeight="1">
      <c r="A26" s="1"/>
      <c r="B26" s="13"/>
      <c r="C26" s="139" t="s">
        <v>50</v>
      </c>
      <c r="D26" s="33" t="s">
        <v>1</v>
      </c>
      <c r="E26" s="33" t="s">
        <v>1</v>
      </c>
      <c r="F26" s="33" t="s">
        <v>1</v>
      </c>
      <c r="G26" s="75">
        <v>-7.2310745900000001E-2</v>
      </c>
      <c r="H26" s="76">
        <v>-0.08</v>
      </c>
      <c r="I26" s="77">
        <v>-4.952315486984795E-5</v>
      </c>
      <c r="J26" s="26">
        <v>0</v>
      </c>
    </row>
    <row r="27" spans="1:10" ht="12.95" customHeight="1">
      <c r="A27" s="1"/>
      <c r="B27" s="13"/>
      <c r="C27" s="43" t="s">
        <v>33</v>
      </c>
      <c r="D27" s="33"/>
      <c r="E27" s="33"/>
      <c r="F27" s="33"/>
      <c r="G27" s="39">
        <v>-7.2310745900000001E-2</v>
      </c>
      <c r="H27" s="40">
        <v>-0.08</v>
      </c>
      <c r="I27" s="47">
        <v>-4.952315486984795E-5</v>
      </c>
      <c r="J27" s="74"/>
    </row>
    <row r="28" spans="1:10" ht="12.95" customHeight="1">
      <c r="A28" s="1"/>
      <c r="B28" s="13"/>
      <c r="C28" s="43" t="s">
        <v>45</v>
      </c>
      <c r="D28" s="33"/>
      <c r="E28" s="33"/>
      <c r="F28" s="33"/>
      <c r="G28" s="39">
        <f>G24+G27</f>
        <v>1447.3836822541</v>
      </c>
      <c r="H28" s="39">
        <f>H24+H27</f>
        <v>1447.38</v>
      </c>
      <c r="I28" s="47">
        <f>I24+I27</f>
        <v>0.99126354401319883</v>
      </c>
      <c r="J28" s="74"/>
    </row>
    <row r="29" spans="1:10" ht="12.95" customHeight="1" thickBot="1">
      <c r="A29" s="1"/>
      <c r="B29" s="13"/>
      <c r="C29" s="48" t="s">
        <v>51</v>
      </c>
      <c r="D29" s="49" t="s">
        <v>1</v>
      </c>
      <c r="E29" s="49" t="s">
        <v>1</v>
      </c>
      <c r="F29" s="49" t="s">
        <v>1</v>
      </c>
      <c r="G29" s="50">
        <v>1460.1401322541001</v>
      </c>
      <c r="H29" s="51">
        <v>1460.14</v>
      </c>
      <c r="I29" s="52">
        <v>1</v>
      </c>
      <c r="J29" s="28">
        <v>1</v>
      </c>
    </row>
    <row r="30" spans="1:10" s="16" customFormat="1" ht="12.95" customHeight="1">
      <c r="A30" s="13"/>
      <c r="B30" s="13"/>
      <c r="C30" s="14" t="s">
        <v>1</v>
      </c>
      <c r="D30" s="13"/>
      <c r="E30" s="13"/>
      <c r="F30" s="13"/>
      <c r="G30" s="18"/>
      <c r="H30" s="13"/>
      <c r="I30" s="19"/>
      <c r="J30" s="13"/>
    </row>
    <row r="31" spans="1:10" s="16" customFormat="1" ht="12.95" customHeight="1">
      <c r="A31" s="13"/>
      <c r="B31" s="13"/>
      <c r="C31" s="21" t="s">
        <v>49</v>
      </c>
      <c r="D31" s="13"/>
      <c r="E31" s="13"/>
      <c r="F31" s="13"/>
      <c r="G31" s="18"/>
      <c r="H31" s="13"/>
      <c r="I31" s="19"/>
      <c r="J31" s="13"/>
    </row>
    <row r="32" spans="1:10" s="16" customFormat="1" ht="12.95" customHeight="1">
      <c r="A32" s="13"/>
      <c r="B32" s="13"/>
      <c r="C32" s="21" t="s">
        <v>1</v>
      </c>
      <c r="D32" s="13"/>
      <c r="E32" s="13"/>
      <c r="F32" s="13"/>
      <c r="G32" s="18"/>
      <c r="H32" s="13"/>
      <c r="I32" s="19"/>
      <c r="J32" s="13"/>
    </row>
    <row r="33" spans="1:10" s="16" customFormat="1" ht="12.95" customHeight="1">
      <c r="A33" s="13"/>
      <c r="B33" s="13"/>
      <c r="C33" s="21" t="s">
        <v>1</v>
      </c>
      <c r="D33" s="13"/>
      <c r="E33" s="13"/>
      <c r="F33" s="13"/>
      <c r="G33" s="18"/>
      <c r="H33" s="13"/>
      <c r="I33" s="19"/>
      <c r="J33" s="13"/>
    </row>
    <row r="34" spans="1:10" s="16" customFormat="1">
      <c r="G34" s="22"/>
      <c r="I34" s="23"/>
    </row>
    <row r="35" spans="1:10" s="16" customFormat="1">
      <c r="G35" s="22"/>
      <c r="I35" s="23"/>
    </row>
    <row r="36" spans="1:10" s="16" customFormat="1">
      <c r="G36" s="22"/>
      <c r="I36" s="23"/>
    </row>
    <row r="37" spans="1:10" s="16" customFormat="1">
      <c r="G37" s="22"/>
      <c r="I37" s="23"/>
    </row>
    <row r="38" spans="1:10" s="16" customFormat="1">
      <c r="G38" s="22"/>
      <c r="I38" s="23"/>
    </row>
    <row r="39" spans="1:10" s="16" customFormat="1">
      <c r="G39" s="22"/>
      <c r="I39" s="23"/>
    </row>
    <row r="40" spans="1:10" s="16" customFormat="1">
      <c r="G40" s="22"/>
      <c r="I40" s="23"/>
    </row>
    <row r="41" spans="1:10" s="16" customFormat="1">
      <c r="G41" s="22"/>
      <c r="I41" s="23"/>
    </row>
    <row r="42" spans="1:10" s="16" customFormat="1">
      <c r="G42" s="22"/>
      <c r="I42" s="23"/>
    </row>
    <row r="43" spans="1:10" s="16" customFormat="1">
      <c r="G43" s="22"/>
      <c r="I43" s="23"/>
    </row>
    <row r="44" spans="1:10" s="16" customFormat="1">
      <c r="G44" s="22"/>
      <c r="I44" s="23"/>
    </row>
    <row r="45" spans="1:10" s="16" customFormat="1">
      <c r="G45" s="22"/>
      <c r="I45" s="23"/>
    </row>
    <row r="46" spans="1:10" s="16" customFormat="1">
      <c r="G46" s="22"/>
      <c r="I46" s="23"/>
    </row>
    <row r="47" spans="1:10" s="16" customFormat="1">
      <c r="G47" s="22"/>
      <c r="I47" s="23"/>
    </row>
    <row r="48" spans="1:10" s="16" customFormat="1">
      <c r="G48" s="22"/>
      <c r="I48" s="23"/>
    </row>
    <row r="49" spans="7:9" s="16" customFormat="1">
      <c r="G49" s="22"/>
      <c r="I49" s="23"/>
    </row>
    <row r="50" spans="7:9" s="16" customFormat="1">
      <c r="G50" s="22"/>
      <c r="I50" s="23"/>
    </row>
    <row r="51" spans="7:9" s="16" customFormat="1">
      <c r="G51" s="22"/>
      <c r="I51" s="23"/>
    </row>
    <row r="52" spans="7:9" s="16" customFormat="1">
      <c r="G52" s="22"/>
      <c r="I52" s="23"/>
    </row>
    <row r="53" spans="7:9" s="16" customFormat="1">
      <c r="G53" s="22"/>
      <c r="I53" s="23"/>
    </row>
    <row r="54" spans="7:9" s="16" customFormat="1">
      <c r="G54" s="22"/>
      <c r="I54" s="23"/>
    </row>
    <row r="55" spans="7:9" s="16" customFormat="1">
      <c r="G55" s="22"/>
      <c r="I55" s="23"/>
    </row>
    <row r="56" spans="7:9" s="16" customFormat="1">
      <c r="G56" s="22"/>
      <c r="I56" s="23"/>
    </row>
    <row r="57" spans="7:9" s="16" customFormat="1">
      <c r="G57" s="22"/>
      <c r="I57" s="23"/>
    </row>
    <row r="58" spans="7:9" s="16" customFormat="1">
      <c r="G58" s="22"/>
      <c r="I58" s="23"/>
    </row>
    <row r="59" spans="7:9" s="16" customFormat="1">
      <c r="G59" s="22"/>
      <c r="I59" s="23"/>
    </row>
    <row r="60" spans="7:9" s="16" customFormat="1">
      <c r="G60" s="22"/>
      <c r="I60" s="23"/>
    </row>
    <row r="61" spans="7:9" s="16" customFormat="1">
      <c r="G61" s="22"/>
      <c r="I61" s="23"/>
    </row>
    <row r="62" spans="7:9" s="16" customFormat="1">
      <c r="G62" s="22"/>
      <c r="I62" s="23"/>
    </row>
    <row r="63" spans="7:9" s="16" customFormat="1">
      <c r="G63" s="22"/>
      <c r="I63" s="23"/>
    </row>
    <row r="64" spans="7:9" s="16" customFormat="1">
      <c r="G64" s="22"/>
      <c r="I64" s="23"/>
    </row>
    <row r="65" spans="7:9" s="16" customFormat="1">
      <c r="G65" s="22"/>
      <c r="I65" s="23"/>
    </row>
    <row r="66" spans="7:9" s="16" customFormat="1">
      <c r="G66" s="22"/>
      <c r="I66" s="23"/>
    </row>
    <row r="67" spans="7:9" s="16" customFormat="1">
      <c r="G67" s="22"/>
      <c r="I67" s="23"/>
    </row>
    <row r="68" spans="7:9" s="16" customFormat="1">
      <c r="G68" s="22"/>
      <c r="I68" s="23"/>
    </row>
    <row r="69" spans="7:9" s="16" customFormat="1">
      <c r="G69" s="22"/>
      <c r="I69" s="23"/>
    </row>
    <row r="70" spans="7:9" s="16" customFormat="1">
      <c r="G70" s="22"/>
      <c r="I70" s="23"/>
    </row>
    <row r="71" spans="7:9" s="16" customFormat="1">
      <c r="G71" s="22"/>
      <c r="I71" s="23"/>
    </row>
    <row r="72" spans="7:9" s="16" customFormat="1">
      <c r="G72" s="22"/>
      <c r="I72" s="23"/>
    </row>
    <row r="73" spans="7:9" s="16" customFormat="1">
      <c r="G73" s="22"/>
      <c r="I73" s="23"/>
    </row>
    <row r="74" spans="7:9" s="16" customFormat="1">
      <c r="G74" s="22"/>
      <c r="I74" s="23"/>
    </row>
    <row r="75" spans="7:9" s="16" customFormat="1">
      <c r="G75" s="22"/>
      <c r="I75" s="23"/>
    </row>
    <row r="76" spans="7:9" s="16" customFormat="1">
      <c r="G76" s="22"/>
      <c r="I76" s="23"/>
    </row>
    <row r="77" spans="7:9" s="16" customFormat="1">
      <c r="G77" s="22"/>
      <c r="I77" s="23"/>
    </row>
    <row r="78" spans="7:9" s="16" customFormat="1">
      <c r="G78" s="22"/>
      <c r="I78" s="23"/>
    </row>
    <row r="79" spans="7:9" s="16" customFormat="1">
      <c r="G79" s="22"/>
      <c r="I79" s="23"/>
    </row>
    <row r="80" spans="7:9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  <row r="597" spans="7:9" s="16" customFormat="1">
      <c r="G597" s="22"/>
      <c r="I597" s="23"/>
    </row>
    <row r="598" spans="7:9" s="16" customFormat="1">
      <c r="G598" s="22"/>
      <c r="I598" s="23"/>
    </row>
    <row r="599" spans="7:9" s="16" customFormat="1">
      <c r="G599" s="22"/>
      <c r="I599" s="23"/>
    </row>
    <row r="600" spans="7:9" s="16" customFormat="1">
      <c r="G600" s="22"/>
      <c r="I600" s="23"/>
    </row>
    <row r="601" spans="7:9" s="16" customFormat="1">
      <c r="G601" s="22"/>
      <c r="I601" s="23"/>
    </row>
    <row r="602" spans="7:9" s="16" customFormat="1">
      <c r="G602" s="22"/>
      <c r="I602" s="23"/>
    </row>
    <row r="603" spans="7:9" s="16" customFormat="1">
      <c r="G603" s="22"/>
      <c r="I603" s="23"/>
    </row>
    <row r="604" spans="7:9" s="16" customFormat="1">
      <c r="G604" s="22"/>
      <c r="I604" s="23"/>
    </row>
    <row r="605" spans="7:9" s="16" customFormat="1">
      <c r="G605" s="22"/>
      <c r="I605" s="23"/>
    </row>
    <row r="606" spans="7:9" s="16" customFormat="1">
      <c r="G606" s="22"/>
      <c r="I606" s="23"/>
    </row>
    <row r="607" spans="7:9" s="16" customFormat="1">
      <c r="G607" s="22"/>
      <c r="I607" s="23"/>
    </row>
    <row r="608" spans="7:9" s="16" customFormat="1">
      <c r="G608" s="22"/>
      <c r="I608" s="23"/>
    </row>
    <row r="609" spans="7:9" s="16" customFormat="1">
      <c r="G609" s="22"/>
      <c r="I609" s="23"/>
    </row>
    <row r="610" spans="7:9" s="16" customFormat="1">
      <c r="G610" s="22"/>
      <c r="I610" s="23"/>
    </row>
    <row r="611" spans="7:9" s="16" customFormat="1">
      <c r="G611" s="22"/>
      <c r="I611" s="23"/>
    </row>
    <row r="612" spans="7:9" s="16" customFormat="1">
      <c r="G612" s="22"/>
      <c r="I612" s="23"/>
    </row>
    <row r="613" spans="7:9" s="16" customFormat="1">
      <c r="G613" s="22"/>
      <c r="I613" s="23"/>
    </row>
    <row r="614" spans="7:9" s="16" customFormat="1">
      <c r="G614" s="22"/>
      <c r="I614" s="23"/>
    </row>
    <row r="615" spans="7:9" s="16" customFormat="1">
      <c r="G615" s="22"/>
      <c r="I615" s="23"/>
    </row>
    <row r="616" spans="7:9" s="16" customFormat="1">
      <c r="G616" s="22"/>
      <c r="I616" s="23"/>
    </row>
    <row r="617" spans="7:9" s="16" customFormat="1">
      <c r="G617" s="22"/>
      <c r="I617" s="23"/>
    </row>
    <row r="618" spans="7:9" s="16" customFormat="1">
      <c r="G618" s="22"/>
      <c r="I618" s="23"/>
    </row>
    <row r="619" spans="7:9" s="16" customFormat="1">
      <c r="G619" s="22"/>
      <c r="I619" s="23"/>
    </row>
    <row r="620" spans="7:9" s="16" customFormat="1">
      <c r="G620" s="22"/>
      <c r="I620" s="23"/>
    </row>
    <row r="621" spans="7:9" s="16" customFormat="1">
      <c r="G621" s="22"/>
      <c r="I621" s="23"/>
    </row>
    <row r="622" spans="7:9" s="16" customFormat="1">
      <c r="G622" s="22"/>
      <c r="I622" s="23"/>
    </row>
    <row r="623" spans="7:9" s="16" customFormat="1">
      <c r="G623" s="22"/>
      <c r="I623" s="23"/>
    </row>
    <row r="624" spans="7:9" s="16" customFormat="1">
      <c r="G624" s="22"/>
      <c r="I624" s="23"/>
    </row>
    <row r="625" spans="7:9" s="16" customFormat="1">
      <c r="G625" s="22"/>
      <c r="I625" s="23"/>
    </row>
    <row r="626" spans="7:9" s="16" customFormat="1">
      <c r="G626" s="22"/>
      <c r="I626" s="23"/>
    </row>
    <row r="627" spans="7:9" s="16" customFormat="1">
      <c r="G627" s="22"/>
      <c r="I627" s="23"/>
    </row>
    <row r="628" spans="7:9" s="16" customFormat="1">
      <c r="G628" s="22"/>
      <c r="I628" s="23"/>
    </row>
    <row r="629" spans="7:9" s="16" customFormat="1">
      <c r="G629" s="22"/>
      <c r="I629" s="23"/>
    </row>
    <row r="630" spans="7:9" s="16" customFormat="1">
      <c r="G630" s="22"/>
      <c r="I630" s="23"/>
    </row>
    <row r="631" spans="7:9" s="16" customFormat="1">
      <c r="G631" s="22"/>
      <c r="I631" s="23"/>
    </row>
    <row r="632" spans="7:9" s="16" customFormat="1">
      <c r="G632" s="22"/>
      <c r="I632" s="23"/>
    </row>
    <row r="633" spans="7:9" s="16" customFormat="1">
      <c r="G633" s="22"/>
      <c r="I633" s="23"/>
    </row>
    <row r="634" spans="7:9" s="16" customFormat="1">
      <c r="G634" s="22"/>
      <c r="I634" s="23"/>
    </row>
    <row r="635" spans="7:9" s="16" customFormat="1">
      <c r="G635" s="22"/>
      <c r="I635" s="23"/>
    </row>
    <row r="636" spans="7:9" s="16" customFormat="1">
      <c r="G636" s="22"/>
      <c r="I636" s="23"/>
    </row>
    <row r="637" spans="7:9" s="16" customFormat="1">
      <c r="G637" s="22"/>
      <c r="I637" s="23"/>
    </row>
    <row r="638" spans="7:9" s="16" customFormat="1">
      <c r="G638" s="22"/>
      <c r="I638" s="23"/>
    </row>
    <row r="639" spans="7:9" s="16" customFormat="1">
      <c r="G639" s="22"/>
      <c r="I639" s="23"/>
    </row>
    <row r="640" spans="7:9" s="16" customFormat="1">
      <c r="G640" s="22"/>
      <c r="I640" s="23"/>
    </row>
    <row r="641" spans="7:9" s="16" customFormat="1">
      <c r="G641" s="22"/>
      <c r="I641" s="23"/>
    </row>
    <row r="642" spans="7:9" s="16" customFormat="1">
      <c r="G642" s="22"/>
      <c r="I642" s="23"/>
    </row>
    <row r="643" spans="7:9" s="16" customFormat="1">
      <c r="G643" s="22"/>
      <c r="I643" s="23"/>
    </row>
    <row r="644" spans="7:9" s="16" customFormat="1">
      <c r="G644" s="22"/>
      <c r="I644" s="23"/>
    </row>
    <row r="645" spans="7:9" s="16" customFormat="1">
      <c r="G645" s="22"/>
      <c r="I645" s="23"/>
    </row>
    <row r="646" spans="7:9" s="16" customFormat="1">
      <c r="G646" s="22"/>
      <c r="I646" s="23"/>
    </row>
    <row r="647" spans="7:9" s="16" customFormat="1">
      <c r="G647" s="22"/>
      <c r="I647" s="23"/>
    </row>
    <row r="648" spans="7:9" s="16" customFormat="1">
      <c r="G648" s="22"/>
      <c r="I648" s="23"/>
    </row>
    <row r="649" spans="7:9" s="16" customFormat="1">
      <c r="G649" s="22"/>
      <c r="I649" s="23"/>
    </row>
    <row r="650" spans="7:9" s="16" customFormat="1">
      <c r="G650" s="22"/>
      <c r="I650" s="23"/>
    </row>
    <row r="651" spans="7:9" s="16" customFormat="1">
      <c r="G651" s="22"/>
      <c r="I651" s="23"/>
    </row>
    <row r="652" spans="7:9" s="16" customFormat="1">
      <c r="G652" s="22"/>
      <c r="I652" s="23"/>
    </row>
    <row r="653" spans="7:9" s="16" customFormat="1">
      <c r="G653" s="22"/>
      <c r="I653" s="23"/>
    </row>
    <row r="654" spans="7:9" s="16" customFormat="1">
      <c r="G654" s="22"/>
      <c r="I654" s="23"/>
    </row>
    <row r="655" spans="7:9" s="16" customFormat="1">
      <c r="G655" s="22"/>
      <c r="I655" s="23"/>
    </row>
    <row r="656" spans="7:9" s="16" customFormat="1">
      <c r="G656" s="22"/>
      <c r="I656" s="23"/>
    </row>
    <row r="657" spans="7:9" s="16" customFormat="1">
      <c r="G657" s="22"/>
      <c r="I657" s="23"/>
    </row>
    <row r="658" spans="7:9" s="16" customFormat="1">
      <c r="G658" s="22"/>
      <c r="I658" s="23"/>
    </row>
    <row r="659" spans="7:9" s="16" customFormat="1">
      <c r="G659" s="22"/>
      <c r="I659" s="23"/>
    </row>
    <row r="660" spans="7:9" s="16" customFormat="1">
      <c r="G660" s="22"/>
      <c r="I660" s="23"/>
    </row>
    <row r="661" spans="7:9" s="16" customFormat="1">
      <c r="G661" s="22"/>
      <c r="I661" s="23"/>
    </row>
    <row r="662" spans="7:9" s="16" customFormat="1">
      <c r="G662" s="22"/>
      <c r="I662" s="23"/>
    </row>
    <row r="663" spans="7:9" s="16" customFormat="1">
      <c r="G663" s="22"/>
      <c r="I663" s="23"/>
    </row>
    <row r="664" spans="7:9" s="16" customFormat="1">
      <c r="G664" s="22"/>
      <c r="I664" s="23"/>
    </row>
    <row r="665" spans="7:9" s="16" customFormat="1">
      <c r="G665" s="22"/>
      <c r="I665" s="23"/>
    </row>
    <row r="666" spans="7:9" s="16" customFormat="1">
      <c r="G666" s="22"/>
      <c r="I666" s="23"/>
    </row>
    <row r="667" spans="7:9" s="16" customFormat="1">
      <c r="G667" s="22"/>
      <c r="I667" s="23"/>
    </row>
    <row r="668" spans="7:9" s="16" customFormat="1">
      <c r="G668" s="22"/>
      <c r="I668" s="23"/>
    </row>
    <row r="669" spans="7:9" s="16" customFormat="1">
      <c r="G669" s="22"/>
      <c r="I669" s="23"/>
    </row>
    <row r="670" spans="7:9" s="16" customFormat="1">
      <c r="G670" s="22"/>
      <c r="I670" s="23"/>
    </row>
    <row r="671" spans="7:9" s="16" customFormat="1">
      <c r="G671" s="22"/>
      <c r="I671" s="23"/>
    </row>
    <row r="672" spans="7:9" s="16" customFormat="1">
      <c r="G672" s="22"/>
      <c r="I672" s="23"/>
    </row>
    <row r="673" spans="7:9" s="16" customFormat="1">
      <c r="G673" s="22"/>
      <c r="I673" s="23"/>
    </row>
    <row r="674" spans="7:9" s="16" customFormat="1">
      <c r="G674" s="22"/>
      <c r="I674" s="23"/>
    </row>
    <row r="675" spans="7:9" s="16" customFormat="1">
      <c r="G675" s="22"/>
      <c r="I675" s="23"/>
    </row>
    <row r="676" spans="7:9" s="16" customFormat="1">
      <c r="G676" s="22"/>
      <c r="I676" s="23"/>
    </row>
    <row r="677" spans="7:9" s="16" customFormat="1">
      <c r="G677" s="22"/>
      <c r="I677" s="23"/>
    </row>
    <row r="678" spans="7:9" s="16" customFormat="1">
      <c r="G678" s="22"/>
      <c r="I678" s="23"/>
    </row>
    <row r="679" spans="7:9" s="16" customFormat="1">
      <c r="G679" s="22"/>
      <c r="I679" s="23"/>
    </row>
    <row r="680" spans="7:9" s="16" customFormat="1">
      <c r="G680" s="22"/>
      <c r="I680" s="23"/>
    </row>
    <row r="681" spans="7:9" s="16" customFormat="1">
      <c r="G681" s="22"/>
      <c r="I681" s="23"/>
    </row>
    <row r="682" spans="7:9" s="16" customFormat="1">
      <c r="G682" s="22"/>
      <c r="I682" s="23"/>
    </row>
    <row r="683" spans="7:9" s="16" customFormat="1">
      <c r="G683" s="22"/>
      <c r="I683" s="23"/>
    </row>
    <row r="684" spans="7:9" s="16" customFormat="1">
      <c r="G684" s="22"/>
      <c r="I684" s="23"/>
    </row>
    <row r="685" spans="7:9" s="16" customFormat="1">
      <c r="G685" s="22"/>
      <c r="I685" s="23"/>
    </row>
    <row r="686" spans="7:9" s="16" customFormat="1">
      <c r="G686" s="22"/>
      <c r="I686" s="23"/>
    </row>
    <row r="687" spans="7:9" s="16" customFormat="1">
      <c r="G687" s="22"/>
      <c r="I687" s="23"/>
    </row>
    <row r="688" spans="7:9" s="16" customFormat="1">
      <c r="G688" s="22"/>
      <c r="I688" s="23"/>
    </row>
    <row r="689" spans="7:9" s="16" customFormat="1">
      <c r="G689" s="22"/>
      <c r="I689" s="23"/>
    </row>
    <row r="690" spans="7:9" s="16" customFormat="1">
      <c r="G690" s="22"/>
      <c r="I690" s="23"/>
    </row>
    <row r="691" spans="7:9" s="16" customFormat="1">
      <c r="G691" s="22"/>
      <c r="I691" s="23"/>
    </row>
    <row r="692" spans="7:9" s="16" customFormat="1">
      <c r="G692" s="22"/>
      <c r="I692" s="23"/>
    </row>
    <row r="693" spans="7:9" s="16" customFormat="1">
      <c r="G693" s="22"/>
      <c r="I693" s="23"/>
    </row>
    <row r="694" spans="7:9" s="16" customFormat="1">
      <c r="G694" s="22"/>
      <c r="I694" s="23"/>
    </row>
    <row r="695" spans="7:9" s="16" customFormat="1">
      <c r="G695" s="22"/>
      <c r="I695" s="23"/>
    </row>
    <row r="696" spans="7:9" s="16" customFormat="1">
      <c r="G696" s="22"/>
      <c r="I696" s="23"/>
    </row>
    <row r="697" spans="7:9" s="16" customFormat="1">
      <c r="G697" s="22"/>
      <c r="I697" s="23"/>
    </row>
    <row r="698" spans="7:9" s="16" customFormat="1">
      <c r="G698" s="22"/>
      <c r="I698" s="23"/>
    </row>
    <row r="699" spans="7:9" s="16" customFormat="1">
      <c r="G699" s="22"/>
      <c r="I699" s="23"/>
    </row>
    <row r="700" spans="7:9" s="16" customFormat="1">
      <c r="G700" s="22"/>
      <c r="I700" s="23"/>
    </row>
    <row r="701" spans="7:9" s="16" customFormat="1">
      <c r="G701" s="22"/>
      <c r="I701" s="23"/>
    </row>
    <row r="702" spans="7:9" s="16" customFormat="1">
      <c r="G702" s="22"/>
      <c r="I702" s="23"/>
    </row>
    <row r="703" spans="7:9" s="16" customFormat="1">
      <c r="G703" s="22"/>
      <c r="I703" s="23"/>
    </row>
    <row r="704" spans="7:9" s="16" customFormat="1">
      <c r="G704" s="22"/>
      <c r="I704" s="23"/>
    </row>
    <row r="705" spans="7:9" s="16" customFormat="1">
      <c r="G705" s="22"/>
      <c r="I705" s="23"/>
    </row>
    <row r="706" spans="7:9" s="16" customFormat="1">
      <c r="G706" s="22"/>
      <c r="I706" s="23"/>
    </row>
    <row r="707" spans="7:9" s="16" customFormat="1">
      <c r="G707" s="22"/>
      <c r="I707" s="23"/>
    </row>
    <row r="708" spans="7:9" s="16" customFormat="1">
      <c r="G708" s="22"/>
      <c r="I708" s="23"/>
    </row>
    <row r="709" spans="7:9" s="16" customFormat="1">
      <c r="G709" s="22"/>
      <c r="I709" s="23"/>
    </row>
    <row r="710" spans="7:9" s="16" customFormat="1">
      <c r="G710" s="22"/>
      <c r="I710" s="23"/>
    </row>
    <row r="711" spans="7:9" s="16" customFormat="1">
      <c r="G711" s="22"/>
      <c r="I711" s="23"/>
    </row>
    <row r="712" spans="7:9" s="16" customFormat="1">
      <c r="G712" s="22"/>
      <c r="I712" s="23"/>
    </row>
    <row r="713" spans="7:9" s="16" customFormat="1">
      <c r="G713" s="22"/>
      <c r="I713" s="23"/>
    </row>
    <row r="714" spans="7:9" s="16" customFormat="1">
      <c r="G714" s="22"/>
      <c r="I714" s="23"/>
    </row>
    <row r="715" spans="7:9" s="16" customFormat="1">
      <c r="G715" s="22"/>
      <c r="I715" s="23"/>
    </row>
    <row r="716" spans="7:9" s="16" customFormat="1">
      <c r="G716" s="22"/>
      <c r="I716" s="23"/>
    </row>
    <row r="717" spans="7:9" s="16" customFormat="1">
      <c r="G717" s="22"/>
      <c r="I717" s="23"/>
    </row>
    <row r="718" spans="7:9" s="16" customFormat="1">
      <c r="G718" s="22"/>
      <c r="I718" s="23"/>
    </row>
    <row r="719" spans="7:9" s="16" customFormat="1">
      <c r="G719" s="22"/>
      <c r="I719" s="23"/>
    </row>
    <row r="720" spans="7:9" s="16" customFormat="1">
      <c r="G720" s="22"/>
      <c r="I720" s="23"/>
    </row>
    <row r="721" spans="7:9" s="16" customFormat="1">
      <c r="G721" s="22"/>
      <c r="I721" s="23"/>
    </row>
    <row r="722" spans="7:9" s="16" customFormat="1">
      <c r="G722" s="22"/>
      <c r="I722" s="23"/>
    </row>
    <row r="723" spans="7:9" s="16" customFormat="1">
      <c r="G723" s="22"/>
      <c r="I723" s="23"/>
    </row>
    <row r="724" spans="7:9" s="16" customFormat="1">
      <c r="G724" s="22"/>
      <c r="I724" s="23"/>
    </row>
    <row r="725" spans="7:9" s="16" customFormat="1">
      <c r="G725" s="22"/>
      <c r="I725" s="23"/>
    </row>
    <row r="726" spans="7:9" s="16" customFormat="1">
      <c r="G726" s="22"/>
      <c r="I726" s="23"/>
    </row>
    <row r="727" spans="7:9" s="16" customFormat="1">
      <c r="G727" s="22"/>
      <c r="I727" s="23"/>
    </row>
    <row r="728" spans="7:9" s="16" customFormat="1">
      <c r="G728" s="22"/>
      <c r="I728" s="23"/>
    </row>
    <row r="729" spans="7:9" s="16" customFormat="1">
      <c r="G729" s="22"/>
      <c r="I729" s="23"/>
    </row>
    <row r="730" spans="7:9" s="16" customFormat="1">
      <c r="G730" s="22"/>
      <c r="I730" s="23"/>
    </row>
    <row r="731" spans="7:9" s="16" customFormat="1">
      <c r="G731" s="22"/>
      <c r="I731" s="23"/>
    </row>
    <row r="732" spans="7:9" s="16" customFormat="1">
      <c r="G732" s="22"/>
      <c r="I732" s="23"/>
    </row>
    <row r="733" spans="7:9" s="16" customFormat="1">
      <c r="G733" s="22"/>
      <c r="I733" s="23"/>
    </row>
    <row r="734" spans="7:9" s="16" customFormat="1">
      <c r="G734" s="22"/>
      <c r="I734" s="23"/>
    </row>
    <row r="735" spans="7:9" s="16" customFormat="1">
      <c r="G735" s="22"/>
      <c r="I735" s="23"/>
    </row>
    <row r="736" spans="7:9" s="16" customFormat="1">
      <c r="G736" s="22"/>
      <c r="I736" s="23"/>
    </row>
    <row r="737" spans="7:9" s="16" customFormat="1">
      <c r="G737" s="22"/>
      <c r="I737" s="23"/>
    </row>
    <row r="738" spans="7:9" s="16" customFormat="1">
      <c r="G738" s="22"/>
      <c r="I738" s="23"/>
    </row>
    <row r="739" spans="7:9" s="16" customFormat="1">
      <c r="G739" s="22"/>
      <c r="I739" s="23"/>
    </row>
    <row r="740" spans="7:9" s="16" customFormat="1">
      <c r="G740" s="22"/>
      <c r="I740" s="23"/>
    </row>
    <row r="741" spans="7:9" s="16" customFormat="1">
      <c r="G741" s="22"/>
      <c r="I741" s="23"/>
    </row>
    <row r="742" spans="7:9" s="16" customFormat="1">
      <c r="G742" s="22"/>
      <c r="I742" s="23"/>
    </row>
    <row r="743" spans="7:9" s="16" customFormat="1">
      <c r="G743" s="22"/>
      <c r="I743" s="23"/>
    </row>
    <row r="744" spans="7:9" s="16" customFormat="1">
      <c r="G744" s="22"/>
      <c r="I744" s="23"/>
    </row>
    <row r="745" spans="7:9" s="16" customFormat="1">
      <c r="G745" s="22"/>
      <c r="I745" s="23"/>
    </row>
    <row r="746" spans="7:9" s="16" customFormat="1">
      <c r="G746" s="22"/>
      <c r="I746" s="23"/>
    </row>
    <row r="747" spans="7:9" s="16" customFormat="1">
      <c r="G747" s="22"/>
      <c r="I747" s="23"/>
    </row>
    <row r="748" spans="7:9" s="16" customFormat="1">
      <c r="G748" s="22"/>
      <c r="I748" s="23"/>
    </row>
    <row r="749" spans="7:9" s="16" customFormat="1">
      <c r="G749" s="22"/>
      <c r="I749" s="23"/>
    </row>
    <row r="750" spans="7:9" s="16" customFormat="1">
      <c r="G750" s="22"/>
      <c r="I750" s="23"/>
    </row>
    <row r="751" spans="7:9" s="16" customFormat="1">
      <c r="G751" s="22"/>
      <c r="I751" s="23"/>
    </row>
    <row r="752" spans="7:9" s="16" customFormat="1">
      <c r="G752" s="22"/>
      <c r="I752" s="23"/>
    </row>
    <row r="753" spans="7:9" s="16" customFormat="1">
      <c r="G753" s="22"/>
      <c r="I753" s="23"/>
    </row>
    <row r="754" spans="7:9" s="16" customFormat="1">
      <c r="G754" s="22"/>
      <c r="I754" s="23"/>
    </row>
    <row r="755" spans="7:9" s="16" customFormat="1">
      <c r="G755" s="22"/>
      <c r="I755" s="23"/>
    </row>
    <row r="756" spans="7:9" s="16" customFormat="1">
      <c r="G756" s="22"/>
      <c r="I756" s="23"/>
    </row>
    <row r="757" spans="7:9" s="16" customFormat="1">
      <c r="G757" s="22"/>
      <c r="I757" s="23"/>
    </row>
    <row r="758" spans="7:9" s="16" customFormat="1">
      <c r="G758" s="22"/>
      <c r="I758" s="23"/>
    </row>
    <row r="759" spans="7:9" s="16" customFormat="1">
      <c r="G759" s="22"/>
      <c r="I759" s="23"/>
    </row>
    <row r="760" spans="7:9" s="16" customFormat="1">
      <c r="G760" s="22"/>
      <c r="I760" s="23"/>
    </row>
    <row r="761" spans="7:9" s="16" customFormat="1">
      <c r="G761" s="22"/>
      <c r="I761" s="23"/>
    </row>
    <row r="762" spans="7:9" s="16" customFormat="1">
      <c r="G762" s="22"/>
      <c r="I762" s="23"/>
    </row>
    <row r="763" spans="7:9" s="16" customFormat="1">
      <c r="G763" s="22"/>
      <c r="I763" s="23"/>
    </row>
    <row r="764" spans="7:9" s="16" customFormat="1">
      <c r="G764" s="22"/>
      <c r="I764" s="23"/>
    </row>
    <row r="765" spans="7:9" s="16" customFormat="1">
      <c r="G765" s="22"/>
      <c r="I765" s="23"/>
    </row>
    <row r="766" spans="7:9" s="16" customFormat="1">
      <c r="G766" s="22"/>
      <c r="I766" s="23"/>
    </row>
    <row r="767" spans="7:9" s="16" customFormat="1">
      <c r="G767" s="22"/>
      <c r="I767" s="23"/>
    </row>
    <row r="768" spans="7:9" s="16" customFormat="1">
      <c r="G768" s="22"/>
      <c r="I768" s="23"/>
    </row>
    <row r="769" spans="7:9" s="16" customFormat="1">
      <c r="G769" s="22"/>
      <c r="I769" s="23"/>
    </row>
    <row r="770" spans="7:9" s="16" customFormat="1">
      <c r="G770" s="22"/>
      <c r="I770" s="23"/>
    </row>
    <row r="771" spans="7:9" s="16" customFormat="1">
      <c r="G771" s="22"/>
      <c r="I771" s="23"/>
    </row>
    <row r="772" spans="7:9" s="16" customFormat="1">
      <c r="G772" s="22"/>
      <c r="I772" s="23"/>
    </row>
    <row r="773" spans="7:9" s="16" customFormat="1">
      <c r="G773" s="22"/>
      <c r="I773" s="23"/>
    </row>
    <row r="774" spans="7:9" s="16" customFormat="1">
      <c r="G774" s="22"/>
      <c r="I774" s="23"/>
    </row>
    <row r="775" spans="7:9" s="16" customFormat="1">
      <c r="G775" s="22"/>
      <c r="I775" s="23"/>
    </row>
    <row r="776" spans="7:9" s="16" customFormat="1">
      <c r="G776" s="22"/>
      <c r="I776" s="23"/>
    </row>
    <row r="777" spans="7:9" s="16" customFormat="1">
      <c r="G777" s="22"/>
      <c r="I777" s="23"/>
    </row>
    <row r="778" spans="7:9" s="16" customFormat="1">
      <c r="G778" s="22"/>
      <c r="I778" s="23"/>
    </row>
    <row r="779" spans="7:9" s="16" customFormat="1">
      <c r="G779" s="22"/>
      <c r="I779" s="23"/>
    </row>
    <row r="780" spans="7:9" s="16" customFormat="1">
      <c r="G780" s="22"/>
      <c r="I780" s="23"/>
    </row>
    <row r="781" spans="7:9" s="16" customFormat="1">
      <c r="G781" s="22"/>
      <c r="I781" s="23"/>
    </row>
    <row r="782" spans="7:9" s="16" customFormat="1">
      <c r="G782" s="22"/>
      <c r="I782" s="23"/>
    </row>
    <row r="783" spans="7:9" s="16" customFormat="1">
      <c r="G783" s="22"/>
      <c r="I783" s="23"/>
    </row>
    <row r="784" spans="7:9" s="16" customFormat="1">
      <c r="G784" s="22"/>
      <c r="I784" s="23"/>
    </row>
    <row r="785" spans="7:9" s="16" customFormat="1">
      <c r="G785" s="22"/>
      <c r="I785" s="23"/>
    </row>
    <row r="786" spans="7:9" s="16" customFormat="1">
      <c r="G786" s="22"/>
      <c r="I786" s="23"/>
    </row>
    <row r="787" spans="7:9" s="16" customFormat="1">
      <c r="G787" s="22"/>
      <c r="I787" s="23"/>
    </row>
    <row r="788" spans="7:9" s="16" customFormat="1">
      <c r="G788" s="22"/>
      <c r="I788" s="23"/>
    </row>
    <row r="789" spans="7:9" s="16" customFormat="1">
      <c r="G789" s="22"/>
      <c r="I789" s="23"/>
    </row>
    <row r="790" spans="7:9" s="16" customFormat="1">
      <c r="G790" s="22"/>
      <c r="I790" s="23"/>
    </row>
    <row r="791" spans="7:9" s="16" customFormat="1">
      <c r="G791" s="22"/>
      <c r="I791" s="23"/>
    </row>
    <row r="792" spans="7:9" s="16" customFormat="1">
      <c r="G792" s="22"/>
      <c r="I792" s="23"/>
    </row>
    <row r="793" spans="7:9" s="16" customFormat="1">
      <c r="G793" s="22"/>
      <c r="I793" s="23"/>
    </row>
    <row r="794" spans="7:9" s="16" customFormat="1">
      <c r="G794" s="22"/>
      <c r="I794" s="23"/>
    </row>
    <row r="795" spans="7:9" s="16" customFormat="1">
      <c r="G795" s="22"/>
      <c r="I795" s="23"/>
    </row>
    <row r="796" spans="7:9" s="16" customFormat="1">
      <c r="G796" s="22"/>
      <c r="I796" s="23"/>
    </row>
    <row r="797" spans="7:9" s="16" customFormat="1">
      <c r="G797" s="22"/>
      <c r="I797" s="23"/>
    </row>
    <row r="798" spans="7:9" s="16" customFormat="1">
      <c r="G798" s="22"/>
      <c r="I798" s="23"/>
    </row>
    <row r="799" spans="7:9" s="16" customFormat="1">
      <c r="G799" s="22"/>
      <c r="I799" s="23"/>
    </row>
    <row r="800" spans="7:9" s="16" customFormat="1">
      <c r="G800" s="22"/>
      <c r="I800" s="23"/>
    </row>
    <row r="801" spans="7:9" s="16" customFormat="1">
      <c r="G801" s="22"/>
      <c r="I801" s="23"/>
    </row>
    <row r="802" spans="7:9" s="16" customFormat="1">
      <c r="G802" s="22"/>
      <c r="I802" s="23"/>
    </row>
    <row r="803" spans="7:9" s="16" customFormat="1">
      <c r="G803" s="22"/>
      <c r="I803" s="23"/>
    </row>
    <row r="804" spans="7:9" s="16" customFormat="1">
      <c r="G804" s="22"/>
      <c r="I804" s="23"/>
    </row>
    <row r="805" spans="7:9" s="16" customFormat="1">
      <c r="G805" s="22"/>
      <c r="I805" s="23"/>
    </row>
    <row r="806" spans="7:9" s="16" customFormat="1">
      <c r="G806" s="22"/>
      <c r="I806" s="23"/>
    </row>
    <row r="807" spans="7:9" s="16" customFormat="1">
      <c r="G807" s="22"/>
      <c r="I807" s="23"/>
    </row>
    <row r="808" spans="7:9" s="16" customFormat="1">
      <c r="G808" s="22"/>
      <c r="I808" s="23"/>
    </row>
    <row r="809" spans="7:9" s="16" customFormat="1">
      <c r="G809" s="22"/>
      <c r="I809" s="23"/>
    </row>
    <row r="810" spans="7:9" s="16" customFormat="1">
      <c r="G810" s="22"/>
      <c r="I810" s="23"/>
    </row>
    <row r="811" spans="7:9" s="16" customFormat="1">
      <c r="G811" s="22"/>
      <c r="I811" s="23"/>
    </row>
    <row r="812" spans="7:9" s="16" customFormat="1">
      <c r="G812" s="22"/>
      <c r="I812" s="23"/>
    </row>
    <row r="813" spans="7:9" s="16" customFormat="1">
      <c r="G813" s="22"/>
      <c r="I813" s="23"/>
    </row>
    <row r="814" spans="7:9" s="16" customFormat="1">
      <c r="G814" s="22"/>
      <c r="I814" s="23"/>
    </row>
    <row r="815" spans="7:9" s="16" customFormat="1">
      <c r="G815" s="22"/>
      <c r="I815" s="23"/>
    </row>
    <row r="816" spans="7:9" s="16" customFormat="1">
      <c r="G816" s="22"/>
      <c r="I816" s="23"/>
    </row>
    <row r="817" spans="7:9" s="16" customFormat="1">
      <c r="G817" s="22"/>
      <c r="I817" s="23"/>
    </row>
    <row r="818" spans="7:9" s="16" customFormat="1">
      <c r="G818" s="22"/>
      <c r="I818" s="23"/>
    </row>
    <row r="819" spans="7:9" s="16" customFormat="1">
      <c r="G819" s="22"/>
      <c r="I819" s="23"/>
    </row>
    <row r="820" spans="7:9" s="16" customFormat="1">
      <c r="G820" s="22"/>
      <c r="I820" s="23"/>
    </row>
    <row r="821" spans="7:9" s="16" customFormat="1">
      <c r="G821" s="22"/>
      <c r="I821" s="23"/>
    </row>
    <row r="822" spans="7:9" s="16" customFormat="1">
      <c r="G822" s="22"/>
      <c r="I822" s="23"/>
    </row>
    <row r="823" spans="7:9" s="16" customFormat="1">
      <c r="G823" s="22"/>
      <c r="I823" s="23"/>
    </row>
    <row r="824" spans="7:9" s="16" customFormat="1">
      <c r="G824" s="22"/>
      <c r="I824" s="23"/>
    </row>
    <row r="825" spans="7:9" s="16" customFormat="1">
      <c r="G825" s="22"/>
      <c r="I825" s="23"/>
    </row>
    <row r="826" spans="7:9" s="16" customFormat="1">
      <c r="G826" s="22"/>
      <c r="I826" s="23"/>
    </row>
    <row r="827" spans="7:9" s="16" customFormat="1">
      <c r="G827" s="22"/>
      <c r="I827" s="23"/>
    </row>
    <row r="828" spans="7:9" s="16" customFormat="1">
      <c r="G828" s="22"/>
      <c r="I828" s="23"/>
    </row>
    <row r="829" spans="7:9" s="16" customFormat="1">
      <c r="G829" s="22"/>
      <c r="I829" s="23"/>
    </row>
    <row r="830" spans="7:9" s="16" customFormat="1">
      <c r="G830" s="22"/>
      <c r="I830" s="23"/>
    </row>
    <row r="831" spans="7:9" s="16" customFormat="1">
      <c r="G831" s="22"/>
      <c r="I831" s="23"/>
    </row>
    <row r="832" spans="7:9" s="16" customFormat="1">
      <c r="G832" s="22"/>
      <c r="I832" s="23"/>
    </row>
    <row r="833" spans="7:9" s="16" customFormat="1">
      <c r="G833" s="22"/>
      <c r="I833" s="23"/>
    </row>
    <row r="834" spans="7:9" s="16" customFormat="1">
      <c r="G834" s="22"/>
      <c r="I834" s="23"/>
    </row>
    <row r="835" spans="7:9" s="16" customFormat="1">
      <c r="G835" s="22"/>
      <c r="I835" s="23"/>
    </row>
    <row r="836" spans="7:9" s="16" customFormat="1">
      <c r="G836" s="22"/>
      <c r="I836" s="23"/>
    </row>
    <row r="837" spans="7:9" s="16" customFormat="1">
      <c r="G837" s="22"/>
      <c r="I837" s="23"/>
    </row>
    <row r="838" spans="7:9" s="16" customFormat="1">
      <c r="G838" s="22"/>
      <c r="I838" s="23"/>
    </row>
    <row r="839" spans="7:9" s="16" customFormat="1">
      <c r="G839" s="22"/>
      <c r="I839" s="23"/>
    </row>
    <row r="840" spans="7:9" s="16" customFormat="1">
      <c r="G840" s="22"/>
      <c r="I840" s="23"/>
    </row>
    <row r="841" spans="7:9" s="16" customFormat="1">
      <c r="G841" s="22"/>
      <c r="I841" s="23"/>
    </row>
    <row r="842" spans="7:9" s="16" customFormat="1">
      <c r="G842" s="22"/>
      <c r="I842" s="23"/>
    </row>
    <row r="843" spans="7:9" s="16" customFormat="1">
      <c r="G843" s="22"/>
      <c r="I843" s="23"/>
    </row>
    <row r="844" spans="7:9" s="16" customFormat="1">
      <c r="G844" s="22"/>
      <c r="I844" s="23"/>
    </row>
    <row r="845" spans="7:9" s="16" customFormat="1">
      <c r="G845" s="22"/>
      <c r="I845" s="23"/>
    </row>
    <row r="846" spans="7:9" s="16" customFormat="1">
      <c r="G846" s="22"/>
      <c r="I846" s="23"/>
    </row>
    <row r="847" spans="7:9" s="16" customFormat="1">
      <c r="G847" s="22"/>
      <c r="I847" s="23"/>
    </row>
    <row r="848" spans="7:9" s="16" customFormat="1">
      <c r="G848" s="22"/>
      <c r="I848" s="23"/>
    </row>
    <row r="849" spans="7:9" s="16" customFormat="1">
      <c r="G849" s="22"/>
      <c r="I849" s="23"/>
    </row>
    <row r="850" spans="7:9" s="16" customFormat="1">
      <c r="G850" s="22"/>
      <c r="I850" s="23"/>
    </row>
    <row r="851" spans="7:9" s="16" customFormat="1">
      <c r="G851" s="22"/>
      <c r="I851" s="23"/>
    </row>
    <row r="852" spans="7:9" s="16" customFormat="1">
      <c r="G852" s="22"/>
      <c r="I852" s="23"/>
    </row>
    <row r="853" spans="7:9" s="16" customFormat="1">
      <c r="G853" s="22"/>
      <c r="I853" s="23"/>
    </row>
    <row r="854" spans="7:9" s="16" customFormat="1">
      <c r="G854" s="22"/>
      <c r="I854" s="23"/>
    </row>
    <row r="855" spans="7:9" s="16" customFormat="1">
      <c r="G855" s="22"/>
      <c r="I855" s="23"/>
    </row>
    <row r="856" spans="7:9" s="16" customFormat="1">
      <c r="G856" s="22"/>
      <c r="I856" s="23"/>
    </row>
    <row r="857" spans="7:9" s="16" customFormat="1">
      <c r="G857" s="22"/>
      <c r="I857" s="23"/>
    </row>
    <row r="858" spans="7:9" s="16" customFormat="1">
      <c r="G858" s="22"/>
      <c r="I858" s="23"/>
    </row>
    <row r="859" spans="7:9" s="16" customFormat="1">
      <c r="G859" s="22"/>
      <c r="I859" s="23"/>
    </row>
    <row r="860" spans="7:9" s="16" customFormat="1">
      <c r="G860" s="22"/>
      <c r="I860" s="23"/>
    </row>
    <row r="861" spans="7:9" s="16" customFormat="1">
      <c r="G861" s="22"/>
      <c r="I861" s="23"/>
    </row>
    <row r="862" spans="7:9" s="16" customFormat="1">
      <c r="G862" s="22"/>
      <c r="I862" s="23"/>
    </row>
    <row r="863" spans="7:9" s="16" customFormat="1">
      <c r="G863" s="22"/>
      <c r="I863" s="23"/>
    </row>
    <row r="864" spans="7:9" s="16" customFormat="1">
      <c r="G864" s="22"/>
      <c r="I864" s="23"/>
    </row>
    <row r="865" spans="7:9" s="16" customFormat="1">
      <c r="G865" s="22"/>
      <c r="I865" s="23"/>
    </row>
    <row r="866" spans="7:9" s="16" customFormat="1">
      <c r="G866" s="22"/>
      <c r="I866" s="23"/>
    </row>
    <row r="867" spans="7:9" s="16" customFormat="1">
      <c r="G867" s="22"/>
      <c r="I867" s="23"/>
    </row>
    <row r="868" spans="7:9" s="16" customFormat="1">
      <c r="G868" s="22"/>
      <c r="I868" s="23"/>
    </row>
    <row r="869" spans="7:9" s="16" customFormat="1">
      <c r="G869" s="22"/>
      <c r="I869" s="23"/>
    </row>
    <row r="870" spans="7:9" s="16" customFormat="1">
      <c r="G870" s="22"/>
      <c r="I870" s="23"/>
    </row>
    <row r="871" spans="7:9" s="16" customFormat="1">
      <c r="G871" s="22"/>
      <c r="I871" s="23"/>
    </row>
    <row r="872" spans="7:9" s="16" customFormat="1">
      <c r="G872" s="22"/>
      <c r="I872" s="23"/>
    </row>
    <row r="873" spans="7:9" s="16" customFormat="1">
      <c r="G873" s="22"/>
      <c r="I873" s="23"/>
    </row>
    <row r="874" spans="7:9" s="16" customFormat="1">
      <c r="G874" s="22"/>
      <c r="I874" s="23"/>
    </row>
    <row r="875" spans="7:9" s="16" customFormat="1">
      <c r="G875" s="22"/>
      <c r="I875" s="23"/>
    </row>
    <row r="876" spans="7:9" s="16" customFormat="1">
      <c r="G876" s="22"/>
      <c r="I876" s="23"/>
    </row>
    <row r="877" spans="7:9" s="16" customFormat="1">
      <c r="G877" s="22"/>
      <c r="I877" s="23"/>
    </row>
    <row r="878" spans="7:9" s="16" customFormat="1">
      <c r="G878" s="22"/>
      <c r="I878" s="23"/>
    </row>
    <row r="879" spans="7:9" s="16" customFormat="1">
      <c r="G879" s="22"/>
      <c r="I879" s="23"/>
    </row>
    <row r="880" spans="7:9" s="16" customFormat="1">
      <c r="G880" s="22"/>
      <c r="I880" s="23"/>
    </row>
    <row r="881" spans="7:9" s="16" customFormat="1">
      <c r="G881" s="22"/>
      <c r="I881" s="23"/>
    </row>
    <row r="882" spans="7:9" s="16" customFormat="1">
      <c r="G882" s="22"/>
      <c r="I882" s="23"/>
    </row>
    <row r="883" spans="7:9" s="16" customFormat="1">
      <c r="G883" s="22"/>
      <c r="I883" s="23"/>
    </row>
    <row r="884" spans="7:9" s="16" customFormat="1">
      <c r="G884" s="22"/>
      <c r="I884" s="23"/>
    </row>
    <row r="885" spans="7:9" s="16" customFormat="1">
      <c r="G885" s="22"/>
      <c r="I885" s="23"/>
    </row>
    <row r="886" spans="7:9" s="16" customFormat="1">
      <c r="G886" s="22"/>
      <c r="I886" s="23"/>
    </row>
    <row r="887" spans="7:9" s="16" customFormat="1">
      <c r="G887" s="22"/>
      <c r="I887" s="23"/>
    </row>
    <row r="888" spans="7:9" s="16" customFormat="1">
      <c r="G888" s="22"/>
      <c r="I888" s="23"/>
    </row>
    <row r="889" spans="7:9" s="16" customFormat="1">
      <c r="G889" s="22"/>
      <c r="I889" s="23"/>
    </row>
    <row r="890" spans="7:9" s="16" customFormat="1">
      <c r="G890" s="22"/>
      <c r="I890" s="23"/>
    </row>
    <row r="891" spans="7:9" s="16" customFormat="1">
      <c r="G891" s="22"/>
      <c r="I891" s="23"/>
    </row>
    <row r="892" spans="7:9" s="16" customFormat="1">
      <c r="G892" s="22"/>
      <c r="I892" s="23"/>
    </row>
    <row r="893" spans="7:9" s="16" customFormat="1">
      <c r="G893" s="22"/>
      <c r="I893" s="23"/>
    </row>
    <row r="894" spans="7:9" s="16" customFormat="1">
      <c r="G894" s="22"/>
      <c r="I894" s="23"/>
    </row>
    <row r="895" spans="7:9" s="16" customFormat="1">
      <c r="G895" s="22"/>
      <c r="I895" s="23"/>
    </row>
    <row r="896" spans="7:9" s="16" customFormat="1">
      <c r="G896" s="22"/>
      <c r="I896" s="23"/>
    </row>
    <row r="897" spans="7:9" s="16" customFormat="1">
      <c r="G897" s="22"/>
      <c r="I897" s="23"/>
    </row>
    <row r="898" spans="7:9" s="16" customFormat="1">
      <c r="G898" s="22"/>
      <c r="I898" s="23"/>
    </row>
    <row r="899" spans="7:9" s="16" customFormat="1">
      <c r="G899" s="22"/>
      <c r="I899" s="23"/>
    </row>
    <row r="900" spans="7:9" s="16" customFormat="1">
      <c r="G900" s="22"/>
      <c r="I900" s="23"/>
    </row>
    <row r="901" spans="7:9" s="16" customFormat="1">
      <c r="G901" s="22"/>
      <c r="I901" s="23"/>
    </row>
    <row r="902" spans="7:9" s="16" customFormat="1">
      <c r="G902" s="22"/>
      <c r="I902" s="23"/>
    </row>
    <row r="903" spans="7:9" s="16" customFormat="1">
      <c r="G903" s="22"/>
      <c r="I903" s="23"/>
    </row>
    <row r="904" spans="7:9" s="16" customFormat="1">
      <c r="G904" s="22"/>
      <c r="I904" s="23"/>
    </row>
    <row r="905" spans="7:9" s="16" customFormat="1">
      <c r="G905" s="22"/>
      <c r="I905" s="23"/>
    </row>
    <row r="906" spans="7:9" s="16" customFormat="1">
      <c r="G906" s="22"/>
      <c r="I906" s="23"/>
    </row>
    <row r="907" spans="7:9" s="16" customFormat="1">
      <c r="G907" s="22"/>
      <c r="I907" s="23"/>
    </row>
    <row r="908" spans="7:9" s="16" customFormat="1">
      <c r="G908" s="22"/>
      <c r="I908" s="23"/>
    </row>
    <row r="909" spans="7:9" s="16" customFormat="1">
      <c r="G909" s="22"/>
      <c r="I909" s="23"/>
    </row>
    <row r="910" spans="7:9" s="16" customFormat="1">
      <c r="G910" s="22"/>
      <c r="I910" s="23"/>
    </row>
    <row r="911" spans="7:9" s="16" customFormat="1">
      <c r="G911" s="22"/>
      <c r="I911" s="23"/>
    </row>
    <row r="912" spans="7:9" s="16" customFormat="1">
      <c r="G912" s="22"/>
      <c r="I912" s="23"/>
    </row>
    <row r="913" spans="7:9" s="16" customFormat="1">
      <c r="G913" s="22"/>
      <c r="I913" s="23"/>
    </row>
    <row r="914" spans="7:9" s="16" customFormat="1">
      <c r="G914" s="22"/>
      <c r="I914" s="23"/>
    </row>
    <row r="915" spans="7:9" s="16" customFormat="1">
      <c r="G915" s="22"/>
      <c r="I915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96"/>
  <sheetViews>
    <sheetView topLeftCell="B1" zoomScaleNormal="100" workbookViewId="0">
      <selection activeCell="C38" sqref="C38"/>
    </sheetView>
  </sheetViews>
  <sheetFormatPr defaultRowHeight="12.75"/>
  <cols>
    <col min="1" max="1" width="3.42578125" hidden="1" customWidth="1"/>
    <col min="2" max="2" width="3.42578125" style="16" customWidth="1"/>
    <col min="3" max="3" width="58.140625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92" width="9.140625" style="16"/>
  </cols>
  <sheetData>
    <row r="1" spans="1:10" ht="22.5" customHeight="1">
      <c r="A1" s="1"/>
      <c r="B1" s="13"/>
      <c r="C1" s="156" t="s">
        <v>0</v>
      </c>
      <c r="D1" s="157"/>
      <c r="E1" s="157"/>
      <c r="F1" s="157"/>
      <c r="G1" s="157"/>
      <c r="H1" s="157"/>
      <c r="I1" s="158"/>
      <c r="J1" s="1"/>
    </row>
    <row r="2" spans="1:10" ht="12.95" customHeight="1" thickBot="1">
      <c r="A2" s="1"/>
      <c r="B2" s="13"/>
      <c r="C2" s="159" t="s">
        <v>559</v>
      </c>
      <c r="D2" s="160"/>
      <c r="E2" s="160"/>
      <c r="F2" s="160"/>
      <c r="G2" s="160"/>
      <c r="H2" s="160"/>
      <c r="I2" s="161"/>
      <c r="J2" s="1"/>
    </row>
    <row r="3" spans="1:10" s="16" customFormat="1" ht="12.95" customHeight="1">
      <c r="A3" s="13"/>
      <c r="B3" s="13"/>
      <c r="C3" s="125"/>
      <c r="D3" s="125"/>
      <c r="E3" s="125"/>
      <c r="F3" s="125"/>
      <c r="G3" s="125"/>
      <c r="H3" s="125"/>
      <c r="I3" s="125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129" t="s">
        <v>543</v>
      </c>
      <c r="D7" s="130"/>
      <c r="E7" s="131"/>
      <c r="F7" s="131"/>
      <c r="G7" s="132"/>
      <c r="H7" s="131"/>
      <c r="I7" s="109"/>
      <c r="J7" s="9"/>
    </row>
    <row r="8" spans="1:10" ht="12.95" customHeight="1">
      <c r="A8" s="1"/>
      <c r="B8" s="13"/>
      <c r="C8" s="65" t="s">
        <v>544</v>
      </c>
      <c r="D8" s="29"/>
      <c r="E8" s="30"/>
      <c r="F8" s="126" t="s">
        <v>273</v>
      </c>
      <c r="G8" s="126" t="s">
        <v>273</v>
      </c>
      <c r="H8" s="127" t="s">
        <v>273</v>
      </c>
      <c r="I8" s="128" t="s">
        <v>273</v>
      </c>
      <c r="J8" s="10" t="s">
        <v>273</v>
      </c>
    </row>
    <row r="9" spans="1:10" ht="12.95" customHeight="1">
      <c r="A9" s="2" t="s">
        <v>545</v>
      </c>
      <c r="B9" s="15"/>
      <c r="C9" s="69" t="s">
        <v>272</v>
      </c>
      <c r="D9" s="29"/>
      <c r="E9" s="30"/>
      <c r="F9" s="126" t="s">
        <v>273</v>
      </c>
      <c r="G9" s="126" t="s">
        <v>273</v>
      </c>
      <c r="H9" s="127" t="s">
        <v>273</v>
      </c>
      <c r="I9" s="128" t="s">
        <v>273</v>
      </c>
      <c r="J9" s="10" t="s">
        <v>273</v>
      </c>
    </row>
    <row r="10" spans="1:10" ht="12.95" customHeight="1">
      <c r="A10" s="1"/>
      <c r="B10" s="13"/>
      <c r="C10" s="69"/>
      <c r="D10" s="29"/>
      <c r="E10" s="30"/>
      <c r="F10" s="126"/>
      <c r="G10" s="126"/>
      <c r="H10" s="127"/>
      <c r="I10" s="128"/>
      <c r="J10" s="10"/>
    </row>
    <row r="11" spans="1:10" ht="12.95" customHeight="1">
      <c r="A11" s="1"/>
      <c r="B11" s="13"/>
      <c r="C11" s="64" t="s">
        <v>546</v>
      </c>
      <c r="D11" s="29"/>
      <c r="E11" s="30"/>
      <c r="F11" s="126"/>
      <c r="G11" s="126"/>
      <c r="H11" s="127"/>
      <c r="I11" s="128"/>
      <c r="J11" s="10"/>
    </row>
    <row r="12" spans="1:10" ht="12.95" customHeight="1">
      <c r="A12" s="1"/>
      <c r="B12" s="13"/>
      <c r="C12" s="65" t="s">
        <v>547</v>
      </c>
      <c r="D12" s="29"/>
      <c r="E12" s="30"/>
      <c r="F12" s="126" t="s">
        <v>273</v>
      </c>
      <c r="G12" s="126" t="s">
        <v>273</v>
      </c>
      <c r="H12" s="127" t="s">
        <v>273</v>
      </c>
      <c r="I12" s="128" t="s">
        <v>273</v>
      </c>
      <c r="J12" s="10" t="s">
        <v>273</v>
      </c>
    </row>
    <row r="13" spans="1:10" ht="12.95" customHeight="1">
      <c r="A13" s="2" t="s">
        <v>548</v>
      </c>
      <c r="B13" s="15"/>
      <c r="C13" s="69" t="s">
        <v>549</v>
      </c>
      <c r="D13" s="29"/>
      <c r="E13" s="30"/>
      <c r="F13" s="126" t="s">
        <v>273</v>
      </c>
      <c r="G13" s="126" t="s">
        <v>273</v>
      </c>
      <c r="H13" s="30"/>
      <c r="I13" s="128" t="s">
        <v>273</v>
      </c>
      <c r="J13" s="11"/>
    </row>
    <row r="14" spans="1:10" ht="12.95" customHeight="1">
      <c r="A14" s="1"/>
      <c r="B14" s="13"/>
      <c r="C14" s="69" t="s">
        <v>550</v>
      </c>
      <c r="D14" s="29"/>
      <c r="E14" s="30"/>
      <c r="F14" s="126" t="s">
        <v>273</v>
      </c>
      <c r="G14" s="126" t="s">
        <v>273</v>
      </c>
      <c r="H14" s="30"/>
      <c r="I14" s="128" t="s">
        <v>273</v>
      </c>
      <c r="J14" s="11"/>
    </row>
    <row r="15" spans="1:10" ht="12.95" customHeight="1">
      <c r="A15" s="1"/>
      <c r="B15" s="13"/>
      <c r="C15" s="69"/>
      <c r="D15" s="29"/>
      <c r="E15" s="30"/>
      <c r="F15" s="126"/>
      <c r="G15" s="126"/>
      <c r="H15" s="30"/>
      <c r="I15" s="128"/>
      <c r="J15" s="103"/>
    </row>
    <row r="16" spans="1:10" ht="12.95" customHeight="1">
      <c r="A16" s="1"/>
      <c r="B16" s="13"/>
      <c r="C16" s="43" t="s">
        <v>11</v>
      </c>
      <c r="D16" s="33" t="s">
        <v>1</v>
      </c>
      <c r="E16" s="33" t="s">
        <v>1</v>
      </c>
      <c r="F16" s="33" t="s">
        <v>1</v>
      </c>
      <c r="G16" s="34" t="s">
        <v>1</v>
      </c>
      <c r="H16" s="35"/>
      <c r="I16" s="44" t="s">
        <v>1</v>
      </c>
      <c r="J16" s="4" t="s">
        <v>1</v>
      </c>
    </row>
    <row r="17" spans="1:10" ht="12.95" customHeight="1">
      <c r="A17" s="1"/>
      <c r="B17" s="13"/>
      <c r="C17" s="43" t="s">
        <v>12</v>
      </c>
      <c r="D17" s="33" t="s">
        <v>1</v>
      </c>
      <c r="E17" s="33" t="s">
        <v>1</v>
      </c>
      <c r="F17" s="33" t="s">
        <v>1</v>
      </c>
      <c r="G17" s="34" t="s">
        <v>1</v>
      </c>
      <c r="H17" s="35"/>
      <c r="I17" s="44" t="s">
        <v>1</v>
      </c>
      <c r="J17" s="4" t="s">
        <v>1</v>
      </c>
    </row>
    <row r="18" spans="1:10" ht="12.95" customHeight="1">
      <c r="A18" s="2" t="s">
        <v>13</v>
      </c>
      <c r="B18" s="15"/>
      <c r="C18" s="45" t="s">
        <v>14</v>
      </c>
      <c r="D18" s="33" t="s">
        <v>15</v>
      </c>
      <c r="E18" s="33" t="s">
        <v>16</v>
      </c>
      <c r="F18" s="36">
        <v>2210000</v>
      </c>
      <c r="G18" s="37">
        <v>2195.0782568</v>
      </c>
      <c r="H18" s="38">
        <v>2195.08</v>
      </c>
      <c r="I18" s="46">
        <v>0.30577292030693587</v>
      </c>
      <c r="J18" s="3">
        <v>0.30580000000000002</v>
      </c>
    </row>
    <row r="19" spans="1:10" ht="12.95" customHeight="1">
      <c r="A19" s="2" t="s">
        <v>17</v>
      </c>
      <c r="B19" s="15"/>
      <c r="C19" s="45" t="s">
        <v>18</v>
      </c>
      <c r="D19" s="33" t="s">
        <v>19</v>
      </c>
      <c r="E19" s="33" t="s">
        <v>16</v>
      </c>
      <c r="F19" s="36">
        <v>1000000</v>
      </c>
      <c r="G19" s="37">
        <v>988.30785000000003</v>
      </c>
      <c r="H19" s="38">
        <v>988.31</v>
      </c>
      <c r="I19" s="46">
        <v>0.13767061676302833</v>
      </c>
      <c r="J19" s="3">
        <v>0.13769999999999999</v>
      </c>
    </row>
    <row r="20" spans="1:10" ht="12.95" customHeight="1">
      <c r="A20" s="2" t="s">
        <v>20</v>
      </c>
      <c r="B20" s="15"/>
      <c r="C20" s="45" t="s">
        <v>21</v>
      </c>
      <c r="D20" s="33" t="s">
        <v>22</v>
      </c>
      <c r="E20" s="33" t="s">
        <v>16</v>
      </c>
      <c r="F20" s="36">
        <v>500000</v>
      </c>
      <c r="G20" s="37">
        <v>500</v>
      </c>
      <c r="H20" s="38">
        <v>500</v>
      </c>
      <c r="I20" s="46">
        <v>6.9649662685077496E-2</v>
      </c>
      <c r="J20" s="3">
        <v>6.9599999999999995E-2</v>
      </c>
    </row>
    <row r="21" spans="1:10" ht="12.95" customHeight="1">
      <c r="A21" s="2" t="s">
        <v>23</v>
      </c>
      <c r="B21" s="15"/>
      <c r="C21" s="45" t="s">
        <v>24</v>
      </c>
      <c r="D21" s="33" t="s">
        <v>25</v>
      </c>
      <c r="E21" s="33" t="s">
        <v>26</v>
      </c>
      <c r="F21" s="36">
        <v>500000</v>
      </c>
      <c r="G21" s="37">
        <v>498.51388500000002</v>
      </c>
      <c r="H21" s="38">
        <v>498.51</v>
      </c>
      <c r="I21" s="46">
        <v>6.944264786815503E-2</v>
      </c>
      <c r="J21" s="3">
        <v>6.9400000000000003E-2</v>
      </c>
    </row>
    <row r="22" spans="1:10" ht="12.95" customHeight="1">
      <c r="A22" s="2" t="s">
        <v>27</v>
      </c>
      <c r="B22" s="15"/>
      <c r="C22" s="45" t="s">
        <v>28</v>
      </c>
      <c r="D22" s="33" t="s">
        <v>29</v>
      </c>
      <c r="E22" s="33" t="s">
        <v>16</v>
      </c>
      <c r="F22" s="36">
        <v>500000</v>
      </c>
      <c r="G22" s="37">
        <v>497.44850000000002</v>
      </c>
      <c r="H22" s="38">
        <v>497.45</v>
      </c>
      <c r="I22" s="46">
        <v>6.9294240456395553E-2</v>
      </c>
      <c r="J22" s="3">
        <v>6.93E-2</v>
      </c>
    </row>
    <row r="23" spans="1:10" ht="12.95" customHeight="1">
      <c r="A23" s="2" t="s">
        <v>30</v>
      </c>
      <c r="B23" s="15"/>
      <c r="C23" s="45" t="s">
        <v>31</v>
      </c>
      <c r="D23" s="33" t="s">
        <v>32</v>
      </c>
      <c r="E23" s="33" t="s">
        <v>16</v>
      </c>
      <c r="F23" s="36">
        <v>500000</v>
      </c>
      <c r="G23" s="37">
        <v>495.93336499999998</v>
      </c>
      <c r="H23" s="38">
        <v>495.93</v>
      </c>
      <c r="I23" s="46">
        <v>6.9083183173050844E-2</v>
      </c>
      <c r="J23" s="3">
        <v>6.9099999999999995E-2</v>
      </c>
    </row>
    <row r="24" spans="1:10" ht="12.95" customHeight="1">
      <c r="A24" s="1"/>
      <c r="B24" s="13"/>
      <c r="C24" s="43" t="s">
        <v>33</v>
      </c>
      <c r="D24" s="33" t="s">
        <v>1</v>
      </c>
      <c r="E24" s="33" t="s">
        <v>1</v>
      </c>
      <c r="F24" s="33" t="s">
        <v>1</v>
      </c>
      <c r="G24" s="39">
        <v>5175.2818568000002</v>
      </c>
      <c r="H24" s="40">
        <v>5175.28</v>
      </c>
      <c r="I24" s="47">
        <v>0.72091327125264315</v>
      </c>
      <c r="J24" s="26">
        <v>0.72089999999999999</v>
      </c>
    </row>
    <row r="25" spans="1:10" ht="12.95" customHeight="1">
      <c r="A25" s="1"/>
      <c r="B25" s="13"/>
      <c r="C25" s="43"/>
      <c r="D25" s="33"/>
      <c r="E25" s="33"/>
      <c r="F25" s="33"/>
      <c r="G25" s="39"/>
      <c r="H25" s="40"/>
      <c r="I25" s="47"/>
      <c r="J25" s="63"/>
    </row>
    <row r="26" spans="1:10" ht="12.95" customHeight="1">
      <c r="A26" s="1"/>
      <c r="B26" s="13"/>
      <c r="C26" s="43" t="s">
        <v>34</v>
      </c>
      <c r="D26" s="33" t="s">
        <v>1</v>
      </c>
      <c r="E26" s="33" t="s">
        <v>1</v>
      </c>
      <c r="F26" s="33" t="s">
        <v>1</v>
      </c>
      <c r="G26" s="34" t="s">
        <v>1</v>
      </c>
      <c r="H26" s="35"/>
      <c r="I26" s="44" t="s">
        <v>1</v>
      </c>
      <c r="J26" s="4" t="s">
        <v>1</v>
      </c>
    </row>
    <row r="27" spans="1:10" ht="12.95" customHeight="1">
      <c r="A27" s="2" t="s">
        <v>35</v>
      </c>
      <c r="B27" s="15"/>
      <c r="C27" s="45" t="s">
        <v>36</v>
      </c>
      <c r="D27" s="33" t="s">
        <v>37</v>
      </c>
      <c r="E27" s="33" t="s">
        <v>38</v>
      </c>
      <c r="F27" s="36">
        <v>500000</v>
      </c>
      <c r="G27" s="37">
        <v>498.839315</v>
      </c>
      <c r="H27" s="38">
        <v>498.84</v>
      </c>
      <c r="I27" s="46">
        <v>6.948798004761024E-2</v>
      </c>
      <c r="J27" s="3">
        <v>6.9500000000000006E-2</v>
      </c>
    </row>
    <row r="28" spans="1:10" ht="12.95" customHeight="1">
      <c r="A28" s="2" t="s">
        <v>39</v>
      </c>
      <c r="B28" s="15"/>
      <c r="C28" s="45" t="s">
        <v>40</v>
      </c>
      <c r="D28" s="33" t="s">
        <v>41</v>
      </c>
      <c r="E28" s="33" t="s">
        <v>38</v>
      </c>
      <c r="F28" s="36">
        <v>500000</v>
      </c>
      <c r="G28" s="37">
        <v>498.406115</v>
      </c>
      <c r="H28" s="38">
        <v>498.41</v>
      </c>
      <c r="I28" s="46">
        <v>6.9427635579859884E-2</v>
      </c>
      <c r="J28" s="3">
        <v>6.9400000000000003E-2</v>
      </c>
    </row>
    <row r="29" spans="1:10" ht="12.95" customHeight="1">
      <c r="A29" s="2" t="s">
        <v>42</v>
      </c>
      <c r="B29" s="15"/>
      <c r="C29" s="45" t="s">
        <v>43</v>
      </c>
      <c r="D29" s="33" t="s">
        <v>44</v>
      </c>
      <c r="E29" s="33" t="s">
        <v>38</v>
      </c>
      <c r="F29" s="36">
        <v>500000</v>
      </c>
      <c r="G29" s="37">
        <v>496.66560500000003</v>
      </c>
      <c r="H29" s="38">
        <v>496.67</v>
      </c>
      <c r="I29" s="46">
        <v>6.9185183711059875E-2</v>
      </c>
      <c r="J29" s="3">
        <v>6.9199999999999998E-2</v>
      </c>
    </row>
    <row r="30" spans="1:10" ht="12.95" customHeight="1">
      <c r="A30" s="1"/>
      <c r="B30" s="13"/>
      <c r="C30" s="43" t="s">
        <v>33</v>
      </c>
      <c r="D30" s="33" t="s">
        <v>1</v>
      </c>
      <c r="E30" s="33" t="s">
        <v>1</v>
      </c>
      <c r="F30" s="33" t="s">
        <v>1</v>
      </c>
      <c r="G30" s="39">
        <v>1493.9110350000001</v>
      </c>
      <c r="H30" s="40">
        <v>1493.92</v>
      </c>
      <c r="I30" s="47">
        <v>0.20810079933853001</v>
      </c>
      <c r="J30" s="26">
        <v>0.20810000000000001</v>
      </c>
    </row>
    <row r="31" spans="1:10" ht="12.95" customHeight="1">
      <c r="A31" s="1"/>
      <c r="B31" s="13"/>
      <c r="C31" s="43" t="s">
        <v>45</v>
      </c>
      <c r="D31" s="33" t="s">
        <v>1</v>
      </c>
      <c r="E31" s="33" t="s">
        <v>1</v>
      </c>
      <c r="F31" s="33" t="s">
        <v>1</v>
      </c>
      <c r="G31" s="39">
        <v>6669.1928918000003</v>
      </c>
      <c r="H31" s="40">
        <v>6669.2</v>
      </c>
      <c r="I31" s="47">
        <v>0.92901407059117314</v>
      </c>
      <c r="J31" s="26">
        <v>0.92900000000000005</v>
      </c>
    </row>
    <row r="32" spans="1:10" ht="12.95" customHeight="1">
      <c r="A32" s="1"/>
      <c r="B32" s="13"/>
      <c r="C32" s="43"/>
      <c r="D32" s="33"/>
      <c r="E32" s="33"/>
      <c r="F32" s="33"/>
      <c r="G32" s="39"/>
      <c r="H32" s="40"/>
      <c r="I32" s="47"/>
      <c r="J32" s="63"/>
    </row>
    <row r="33" spans="1:10" ht="12.95" customHeight="1">
      <c r="A33" s="1"/>
      <c r="B33" s="13"/>
      <c r="C33" s="43" t="s">
        <v>46</v>
      </c>
      <c r="D33" s="33" t="s">
        <v>1</v>
      </c>
      <c r="E33" s="33" t="s">
        <v>1</v>
      </c>
      <c r="F33" s="33" t="s">
        <v>1</v>
      </c>
      <c r="G33" s="34" t="s">
        <v>1</v>
      </c>
      <c r="H33" s="35"/>
      <c r="I33" s="44" t="s">
        <v>1</v>
      </c>
      <c r="J33" s="4" t="s">
        <v>1</v>
      </c>
    </row>
    <row r="34" spans="1:10" ht="12.95" customHeight="1">
      <c r="A34" s="2" t="s">
        <v>47</v>
      </c>
      <c r="B34" s="15"/>
      <c r="C34" s="45" t="s">
        <v>48</v>
      </c>
      <c r="D34" s="33" t="s">
        <v>1</v>
      </c>
      <c r="E34" s="33" t="s">
        <v>49</v>
      </c>
      <c r="F34" s="36"/>
      <c r="G34" s="37">
        <v>1010.3076</v>
      </c>
      <c r="H34" s="38">
        <v>1010.31</v>
      </c>
      <c r="I34" s="46">
        <v>0.1407351670963404</v>
      </c>
      <c r="J34" s="3">
        <v>0.14069999999999999</v>
      </c>
    </row>
    <row r="35" spans="1:10" ht="12.95" customHeight="1">
      <c r="A35" s="1"/>
      <c r="B35" s="13"/>
      <c r="C35" s="43" t="s">
        <v>33</v>
      </c>
      <c r="D35" s="33" t="s">
        <v>1</v>
      </c>
      <c r="E35" s="33" t="s">
        <v>1</v>
      </c>
      <c r="F35" s="33" t="s">
        <v>1</v>
      </c>
      <c r="G35" s="39">
        <v>1010.3076</v>
      </c>
      <c r="H35" s="40">
        <v>1010.31</v>
      </c>
      <c r="I35" s="47">
        <v>0.1407351670963404</v>
      </c>
      <c r="J35" s="26">
        <v>0.14069999999999999</v>
      </c>
    </row>
    <row r="36" spans="1:10" ht="12.95" customHeight="1">
      <c r="A36" s="1"/>
      <c r="B36" s="13"/>
      <c r="C36" s="43"/>
      <c r="D36" s="33"/>
      <c r="E36" s="33"/>
      <c r="F36" s="33"/>
      <c r="G36" s="39"/>
      <c r="H36" s="40"/>
      <c r="I36" s="47"/>
      <c r="J36" s="26"/>
    </row>
    <row r="37" spans="1:10" ht="12.95" customHeight="1">
      <c r="A37" s="1"/>
      <c r="B37" s="13"/>
      <c r="C37" s="43" t="s">
        <v>414</v>
      </c>
      <c r="D37" s="33"/>
      <c r="E37" s="33"/>
      <c r="F37" s="33"/>
      <c r="G37" s="39"/>
      <c r="H37" s="40"/>
      <c r="I37" s="47"/>
      <c r="J37" s="26"/>
    </row>
    <row r="38" spans="1:10" ht="12.95" customHeight="1">
      <c r="A38" s="1"/>
      <c r="B38" s="13"/>
      <c r="C38" s="139" t="s">
        <v>50</v>
      </c>
      <c r="D38" s="33" t="s">
        <v>1</v>
      </c>
      <c r="E38" s="33" t="s">
        <v>1</v>
      </c>
      <c r="F38" s="33" t="s">
        <v>1</v>
      </c>
      <c r="G38" s="75">
        <v>-500.71482759999998</v>
      </c>
      <c r="H38" s="76">
        <v>-500.72</v>
      </c>
      <c r="I38" s="77">
        <v>-6.9749237687513524E-2</v>
      </c>
      <c r="J38" s="26">
        <v>-6.9699999999999998E-2</v>
      </c>
    </row>
    <row r="39" spans="1:10" ht="12.95" customHeight="1">
      <c r="A39" s="1"/>
      <c r="B39" s="13"/>
      <c r="C39" s="43" t="s">
        <v>33</v>
      </c>
      <c r="D39" s="33"/>
      <c r="E39" s="33"/>
      <c r="F39" s="33"/>
      <c r="G39" s="39">
        <v>-500.71482759999998</v>
      </c>
      <c r="H39" s="40">
        <v>-500.72</v>
      </c>
      <c r="I39" s="47">
        <v>-6.9749237687513524E-2</v>
      </c>
      <c r="J39" s="74"/>
    </row>
    <row r="40" spans="1:10" ht="12.95" customHeight="1">
      <c r="A40" s="1"/>
      <c r="B40" s="13"/>
      <c r="C40" s="43" t="s">
        <v>45</v>
      </c>
      <c r="D40" s="33"/>
      <c r="E40" s="33"/>
      <c r="F40" s="33"/>
      <c r="G40" s="39">
        <f>G35+G39</f>
        <v>509.5927724</v>
      </c>
      <c r="H40" s="39">
        <f t="shared" ref="H40:I40" si="0">H35+H39</f>
        <v>509.58999999999992</v>
      </c>
      <c r="I40" s="47">
        <f t="shared" si="0"/>
        <v>7.0985929408826878E-2</v>
      </c>
      <c r="J40" s="74"/>
    </row>
    <row r="41" spans="1:10" ht="12.95" customHeight="1" thickBot="1">
      <c r="A41" s="1"/>
      <c r="B41" s="13"/>
      <c r="C41" s="48" t="s">
        <v>51</v>
      </c>
      <c r="D41" s="49" t="s">
        <v>1</v>
      </c>
      <c r="E41" s="49" t="s">
        <v>1</v>
      </c>
      <c r="F41" s="49" t="s">
        <v>1</v>
      </c>
      <c r="G41" s="50">
        <v>7178.7856641999997</v>
      </c>
      <c r="H41" s="51">
        <v>7178.79</v>
      </c>
      <c r="I41" s="52">
        <v>1</v>
      </c>
      <c r="J41" s="28">
        <v>1</v>
      </c>
    </row>
    <row r="42" spans="1:10" s="16" customFormat="1" ht="12.95" customHeight="1">
      <c r="A42" s="13"/>
      <c r="B42" s="13"/>
      <c r="C42" s="14" t="s">
        <v>1</v>
      </c>
      <c r="D42" s="13"/>
      <c r="E42" s="13"/>
      <c r="F42" s="13"/>
      <c r="G42" s="18"/>
      <c r="H42" s="13"/>
      <c r="I42" s="19"/>
      <c r="J42" s="13"/>
    </row>
    <row r="43" spans="1:10" s="16" customFormat="1" ht="12.95" customHeight="1">
      <c r="A43" s="13"/>
      <c r="B43" s="13"/>
      <c r="C43" s="21" t="s">
        <v>49</v>
      </c>
      <c r="D43" s="13"/>
      <c r="E43" s="13"/>
      <c r="F43" s="13"/>
      <c r="G43" s="18"/>
      <c r="H43" s="13"/>
      <c r="I43" s="19"/>
      <c r="J43" s="13"/>
    </row>
    <row r="44" spans="1:10" s="16" customFormat="1" ht="12.95" customHeight="1">
      <c r="A44" s="13"/>
      <c r="B44" s="13"/>
      <c r="C44" s="133" t="s">
        <v>52</v>
      </c>
      <c r="D44" s="13"/>
      <c r="E44" s="13"/>
      <c r="F44" s="13"/>
      <c r="G44" s="18"/>
      <c r="H44" s="13"/>
      <c r="I44" s="19"/>
      <c r="J44" s="13"/>
    </row>
    <row r="45" spans="1:10" s="16" customFormat="1" ht="12.95" customHeight="1" thickBot="1">
      <c r="A45" s="13"/>
      <c r="B45" s="13"/>
      <c r="C45" s="133" t="s">
        <v>53</v>
      </c>
      <c r="D45" s="13"/>
      <c r="E45" s="13"/>
      <c r="F45" s="13"/>
      <c r="G45" s="18"/>
      <c r="H45" s="13"/>
      <c r="I45" s="19"/>
      <c r="J45" s="13"/>
    </row>
    <row r="46" spans="1:10" s="16" customFormat="1" ht="12.95" customHeight="1" thickBot="1">
      <c r="A46" s="13"/>
      <c r="B46" s="13"/>
      <c r="C46" s="134" t="s">
        <v>560</v>
      </c>
      <c r="D46" s="135" t="s">
        <v>561</v>
      </c>
      <c r="E46" s="13"/>
      <c r="F46" s="13"/>
      <c r="G46" s="18"/>
      <c r="H46" s="13"/>
      <c r="I46" s="19"/>
      <c r="J46" s="13"/>
    </row>
    <row r="47" spans="1:10" s="16" customFormat="1" ht="12.95" customHeight="1">
      <c r="A47" s="13"/>
      <c r="B47" s="13"/>
      <c r="C47" s="21" t="s">
        <v>1</v>
      </c>
      <c r="D47" s="13"/>
      <c r="E47" s="13"/>
      <c r="F47" s="13"/>
      <c r="G47" s="18"/>
      <c r="H47" s="13"/>
      <c r="I47" s="19"/>
      <c r="J47" s="13"/>
    </row>
    <row r="48" spans="1:10" s="16" customFormat="1">
      <c r="G48" s="22"/>
      <c r="I48" s="23"/>
    </row>
    <row r="49" spans="7:9" s="16" customFormat="1">
      <c r="G49" s="22"/>
      <c r="I49" s="23"/>
    </row>
    <row r="50" spans="7:9" s="16" customFormat="1">
      <c r="G50" s="22"/>
      <c r="I50" s="23"/>
    </row>
    <row r="51" spans="7:9" s="16" customFormat="1">
      <c r="G51" s="22"/>
      <c r="I51" s="23"/>
    </row>
    <row r="52" spans="7:9" s="16" customFormat="1">
      <c r="G52" s="22"/>
      <c r="I52" s="23"/>
    </row>
    <row r="53" spans="7:9" s="16" customFormat="1">
      <c r="G53" s="22"/>
      <c r="I53" s="23"/>
    </row>
    <row r="54" spans="7:9" s="16" customFormat="1">
      <c r="G54" s="22"/>
      <c r="I54" s="23"/>
    </row>
    <row r="55" spans="7:9" s="16" customFormat="1">
      <c r="G55" s="22"/>
      <c r="I55" s="23"/>
    </row>
    <row r="56" spans="7:9" s="16" customFormat="1">
      <c r="G56" s="22"/>
      <c r="I56" s="23"/>
    </row>
    <row r="57" spans="7:9" s="16" customFormat="1">
      <c r="G57" s="22"/>
      <c r="I57" s="23"/>
    </row>
    <row r="58" spans="7:9" s="16" customFormat="1">
      <c r="G58" s="22"/>
      <c r="I58" s="23"/>
    </row>
    <row r="59" spans="7:9" s="16" customFormat="1">
      <c r="G59" s="22"/>
      <c r="I59" s="23"/>
    </row>
    <row r="60" spans="7:9" s="16" customFormat="1">
      <c r="G60" s="22"/>
      <c r="I60" s="23"/>
    </row>
    <row r="61" spans="7:9" s="16" customFormat="1">
      <c r="G61" s="22"/>
      <c r="I61" s="23"/>
    </row>
    <row r="62" spans="7:9" s="16" customFormat="1">
      <c r="G62" s="22"/>
      <c r="I62" s="23"/>
    </row>
    <row r="63" spans="7:9" s="16" customFormat="1">
      <c r="G63" s="22"/>
      <c r="I63" s="23"/>
    </row>
    <row r="64" spans="7:9" s="16" customFormat="1">
      <c r="G64" s="22"/>
      <c r="I64" s="23"/>
    </row>
    <row r="65" spans="7:9" s="16" customFormat="1">
      <c r="G65" s="22"/>
      <c r="I65" s="23"/>
    </row>
    <row r="66" spans="7:9" s="16" customFormat="1">
      <c r="G66" s="22"/>
      <c r="I66" s="23"/>
    </row>
    <row r="67" spans="7:9" s="16" customFormat="1">
      <c r="G67" s="22"/>
      <c r="I67" s="23"/>
    </row>
    <row r="68" spans="7:9" s="16" customFormat="1">
      <c r="G68" s="22"/>
      <c r="I68" s="23"/>
    </row>
    <row r="69" spans="7:9" s="16" customFormat="1">
      <c r="G69" s="22"/>
      <c r="I69" s="23"/>
    </row>
    <row r="70" spans="7:9" s="16" customFormat="1">
      <c r="G70" s="22"/>
      <c r="I70" s="23"/>
    </row>
    <row r="71" spans="7:9" s="16" customFormat="1">
      <c r="G71" s="22"/>
      <c r="I71" s="23"/>
    </row>
    <row r="72" spans="7:9" s="16" customFormat="1">
      <c r="G72" s="22"/>
      <c r="I72" s="23"/>
    </row>
    <row r="73" spans="7:9" s="16" customFormat="1">
      <c r="G73" s="22"/>
      <c r="I73" s="23"/>
    </row>
    <row r="74" spans="7:9" s="16" customFormat="1">
      <c r="G74" s="22"/>
      <c r="I74" s="23"/>
    </row>
    <row r="75" spans="7:9" s="16" customFormat="1">
      <c r="G75" s="22"/>
      <c r="I75" s="23"/>
    </row>
    <row r="76" spans="7:9" s="16" customFormat="1">
      <c r="G76" s="22"/>
      <c r="I76" s="23"/>
    </row>
    <row r="77" spans="7:9" s="16" customFormat="1">
      <c r="G77" s="22"/>
      <c r="I77" s="23"/>
    </row>
    <row r="78" spans="7:9" s="16" customFormat="1">
      <c r="G78" s="22"/>
      <c r="I78" s="23"/>
    </row>
    <row r="79" spans="7:9" s="16" customFormat="1">
      <c r="G79" s="22"/>
      <c r="I79" s="23"/>
    </row>
    <row r="80" spans="7:9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83"/>
  <sheetViews>
    <sheetView topLeftCell="B1" zoomScaleNormal="100" workbookViewId="0">
      <selection activeCell="C35" sqref="C35"/>
    </sheetView>
  </sheetViews>
  <sheetFormatPr defaultRowHeight="12.75"/>
  <cols>
    <col min="1" max="1" width="3.42578125" hidden="1" customWidth="1"/>
    <col min="2" max="2" width="3.425781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6" width="9.140625" style="16"/>
  </cols>
  <sheetData>
    <row r="1" spans="1:10" ht="15.95" customHeight="1">
      <c r="A1" s="1"/>
      <c r="B1" s="13"/>
      <c r="C1" s="147" t="s">
        <v>515</v>
      </c>
      <c r="D1" s="148"/>
      <c r="E1" s="148"/>
      <c r="F1" s="148"/>
      <c r="G1" s="148"/>
      <c r="H1" s="148"/>
      <c r="I1" s="149"/>
      <c r="J1" s="1"/>
    </row>
    <row r="2" spans="1:10" ht="12.95" customHeight="1" thickBot="1">
      <c r="A2" s="1"/>
      <c r="B2" s="13"/>
      <c r="C2" s="150" t="s">
        <v>562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129" t="s">
        <v>543</v>
      </c>
      <c r="D7" s="130"/>
      <c r="E7" s="131"/>
      <c r="F7" s="131"/>
      <c r="G7" s="132"/>
      <c r="H7" s="131"/>
      <c r="I7" s="136"/>
      <c r="J7" s="12"/>
    </row>
    <row r="8" spans="1:10" ht="12.95" customHeight="1">
      <c r="A8" s="1"/>
      <c r="B8" s="13"/>
      <c r="C8" s="65" t="s">
        <v>544</v>
      </c>
      <c r="D8" s="100"/>
      <c r="E8" s="30"/>
      <c r="F8" s="126" t="s">
        <v>273</v>
      </c>
      <c r="G8" s="126" t="s">
        <v>273</v>
      </c>
      <c r="H8" s="126" t="s">
        <v>273</v>
      </c>
      <c r="I8" s="128" t="s">
        <v>273</v>
      </c>
      <c r="J8" s="10" t="s">
        <v>273</v>
      </c>
    </row>
    <row r="9" spans="1:10" ht="12.95" customHeight="1">
      <c r="A9" s="2" t="s">
        <v>545</v>
      </c>
      <c r="B9" s="15"/>
      <c r="C9" s="69" t="s">
        <v>272</v>
      </c>
      <c r="D9" s="101"/>
      <c r="E9" s="30"/>
      <c r="F9" s="126" t="s">
        <v>273</v>
      </c>
      <c r="G9" s="126" t="s">
        <v>273</v>
      </c>
      <c r="H9" s="126" t="s">
        <v>273</v>
      </c>
      <c r="I9" s="128" t="s">
        <v>273</v>
      </c>
      <c r="J9" s="10" t="s">
        <v>273</v>
      </c>
    </row>
    <row r="10" spans="1:10" ht="12.95" customHeight="1">
      <c r="A10" s="2" t="s">
        <v>551</v>
      </c>
      <c r="B10" s="15"/>
      <c r="C10" s="97"/>
      <c r="D10" s="29"/>
      <c r="E10" s="30"/>
      <c r="F10" s="30"/>
      <c r="G10" s="31"/>
      <c r="H10" s="30"/>
      <c r="I10" s="122"/>
      <c r="J10" s="11"/>
    </row>
    <row r="11" spans="1:10" ht="12.95" customHeight="1">
      <c r="A11" s="1"/>
      <c r="B11" s="13"/>
      <c r="C11" s="43" t="s">
        <v>339</v>
      </c>
      <c r="D11" s="33" t="s">
        <v>1</v>
      </c>
      <c r="E11" s="33" t="s">
        <v>1</v>
      </c>
      <c r="F11" s="33" t="s">
        <v>1</v>
      </c>
      <c r="G11" s="34" t="s">
        <v>1</v>
      </c>
      <c r="H11" s="35"/>
      <c r="I11" s="44" t="s">
        <v>1</v>
      </c>
      <c r="J11" s="4" t="s">
        <v>1</v>
      </c>
    </row>
    <row r="12" spans="1:10" ht="12.95" customHeight="1">
      <c r="A12" s="1"/>
      <c r="B12" s="13"/>
      <c r="C12" s="43" t="s">
        <v>340</v>
      </c>
      <c r="D12" s="33" t="s">
        <v>1</v>
      </c>
      <c r="E12" s="33" t="s">
        <v>1</v>
      </c>
      <c r="F12" s="33" t="s">
        <v>1</v>
      </c>
      <c r="G12" s="34" t="s">
        <v>1</v>
      </c>
      <c r="H12" s="35"/>
      <c r="I12" s="44" t="s">
        <v>1</v>
      </c>
      <c r="J12" s="4" t="s">
        <v>1</v>
      </c>
    </row>
    <row r="13" spans="1:10" ht="12.95" customHeight="1">
      <c r="A13" s="2" t="s">
        <v>516</v>
      </c>
      <c r="B13" s="15"/>
      <c r="C13" s="45" t="s">
        <v>517</v>
      </c>
      <c r="D13" s="33" t="s">
        <v>518</v>
      </c>
      <c r="E13" s="33" t="s">
        <v>348</v>
      </c>
      <c r="F13" s="36">
        <v>450000</v>
      </c>
      <c r="G13" s="37">
        <v>452.59154999999998</v>
      </c>
      <c r="H13" s="38">
        <v>452.59</v>
      </c>
      <c r="I13" s="46">
        <v>0.11987971008863584</v>
      </c>
      <c r="J13" s="3">
        <v>0.11990000000000001</v>
      </c>
    </row>
    <row r="14" spans="1:10" ht="12.95" customHeight="1">
      <c r="A14" s="1"/>
      <c r="B14" s="13"/>
      <c r="C14" s="43" t="s">
        <v>33</v>
      </c>
      <c r="D14" s="33" t="s">
        <v>1</v>
      </c>
      <c r="E14" s="33" t="s">
        <v>1</v>
      </c>
      <c r="F14" s="33" t="s">
        <v>1</v>
      </c>
      <c r="G14" s="39">
        <v>452.59154999999998</v>
      </c>
      <c r="H14" s="40">
        <v>452.59</v>
      </c>
      <c r="I14" s="47">
        <v>0.11987971008863584</v>
      </c>
      <c r="J14" s="26">
        <v>0.11990000000000001</v>
      </c>
    </row>
    <row r="15" spans="1:10" ht="12.95" customHeight="1">
      <c r="A15" s="1"/>
      <c r="B15" s="13"/>
      <c r="C15" s="43" t="s">
        <v>358</v>
      </c>
      <c r="D15" s="33" t="s">
        <v>1</v>
      </c>
      <c r="E15" s="33" t="s">
        <v>1</v>
      </c>
      <c r="F15" s="126" t="s">
        <v>273</v>
      </c>
      <c r="G15" s="126" t="s">
        <v>273</v>
      </c>
      <c r="H15" s="126" t="s">
        <v>273</v>
      </c>
      <c r="I15" s="128" t="s">
        <v>273</v>
      </c>
      <c r="J15" s="27" t="s">
        <v>273</v>
      </c>
    </row>
    <row r="16" spans="1:10" ht="12.95" customHeight="1">
      <c r="A16" s="1"/>
      <c r="B16" s="13"/>
      <c r="C16" s="43" t="s">
        <v>550</v>
      </c>
      <c r="D16" s="33" t="s">
        <v>1</v>
      </c>
      <c r="E16" s="33" t="s">
        <v>1</v>
      </c>
      <c r="F16" s="126" t="s">
        <v>273</v>
      </c>
      <c r="G16" s="126" t="s">
        <v>273</v>
      </c>
      <c r="H16" s="126" t="s">
        <v>273</v>
      </c>
      <c r="I16" s="128" t="s">
        <v>273</v>
      </c>
      <c r="J16" s="27" t="s">
        <v>273</v>
      </c>
    </row>
    <row r="17" spans="1:10" ht="12.95" customHeight="1">
      <c r="A17" s="1"/>
      <c r="B17" s="13"/>
      <c r="C17" s="43" t="s">
        <v>45</v>
      </c>
      <c r="D17" s="33" t="s">
        <v>1</v>
      </c>
      <c r="E17" s="33" t="s">
        <v>1</v>
      </c>
      <c r="F17" s="33" t="s">
        <v>1</v>
      </c>
      <c r="G17" s="39">
        <v>452.59154999999998</v>
      </c>
      <c r="H17" s="40">
        <v>452.59</v>
      </c>
      <c r="I17" s="47">
        <v>0.11987971008863584</v>
      </c>
      <c r="J17" s="26">
        <v>0.11990000000000001</v>
      </c>
    </row>
    <row r="18" spans="1:10" ht="12.95" customHeight="1">
      <c r="A18" s="1"/>
      <c r="B18" s="13"/>
      <c r="C18" s="43"/>
      <c r="D18" s="33"/>
      <c r="E18" s="33"/>
      <c r="F18" s="33"/>
      <c r="G18" s="39"/>
      <c r="H18" s="40"/>
      <c r="I18" s="47"/>
      <c r="J18" s="63"/>
    </row>
    <row r="19" spans="1:10" ht="12.95" customHeight="1">
      <c r="A19" s="1"/>
      <c r="B19" s="13"/>
      <c r="C19" s="43" t="s">
        <v>11</v>
      </c>
      <c r="D19" s="33" t="s">
        <v>1</v>
      </c>
      <c r="E19" s="33" t="s">
        <v>1</v>
      </c>
      <c r="F19" s="33" t="s">
        <v>1</v>
      </c>
      <c r="G19" s="34" t="s">
        <v>1</v>
      </c>
      <c r="H19" s="35"/>
      <c r="I19" s="44" t="s">
        <v>1</v>
      </c>
      <c r="J19" s="4" t="s">
        <v>1</v>
      </c>
    </row>
    <row r="20" spans="1:10" ht="12.95" customHeight="1">
      <c r="A20" s="1"/>
      <c r="B20" s="13"/>
      <c r="C20" s="43" t="s">
        <v>12</v>
      </c>
      <c r="D20" s="33" t="s">
        <v>1</v>
      </c>
      <c r="E20" s="33" t="s">
        <v>1</v>
      </c>
      <c r="F20" s="33" t="s">
        <v>1</v>
      </c>
      <c r="G20" s="34" t="s">
        <v>1</v>
      </c>
      <c r="H20" s="35"/>
      <c r="I20" s="44" t="s">
        <v>1</v>
      </c>
      <c r="J20" s="4" t="s">
        <v>1</v>
      </c>
    </row>
    <row r="21" spans="1:10" ht="12.95" customHeight="1">
      <c r="A21" s="2" t="s">
        <v>519</v>
      </c>
      <c r="B21" s="15"/>
      <c r="C21" s="45" t="s">
        <v>520</v>
      </c>
      <c r="D21" s="33" t="s">
        <v>521</v>
      </c>
      <c r="E21" s="33" t="s">
        <v>38</v>
      </c>
      <c r="F21" s="36">
        <v>500000</v>
      </c>
      <c r="G21" s="37">
        <v>499.58914499999997</v>
      </c>
      <c r="H21" s="38">
        <v>499.59</v>
      </c>
      <c r="I21" s="46">
        <v>0.1323281485613893</v>
      </c>
      <c r="J21" s="3">
        <v>0.1323</v>
      </c>
    </row>
    <row r="22" spans="1:10" ht="12.95" customHeight="1">
      <c r="A22" s="2" t="s">
        <v>522</v>
      </c>
      <c r="B22" s="15"/>
      <c r="C22" s="45" t="s">
        <v>523</v>
      </c>
      <c r="D22" s="33" t="s">
        <v>524</v>
      </c>
      <c r="E22" s="33" t="s">
        <v>26</v>
      </c>
      <c r="F22" s="36">
        <v>500000</v>
      </c>
      <c r="G22" s="37">
        <v>470.2595</v>
      </c>
      <c r="H22" s="38">
        <v>470.26</v>
      </c>
      <c r="I22" s="46">
        <v>0.12455948973511954</v>
      </c>
      <c r="J22" s="3">
        <v>0.1246</v>
      </c>
    </row>
    <row r="23" spans="1:10" ht="12.95" customHeight="1">
      <c r="A23" s="2" t="s">
        <v>525</v>
      </c>
      <c r="B23" s="15"/>
      <c r="C23" s="45" t="s">
        <v>526</v>
      </c>
      <c r="D23" s="33" t="s">
        <v>527</v>
      </c>
      <c r="E23" s="33" t="s">
        <v>26</v>
      </c>
      <c r="F23" s="36">
        <v>450000</v>
      </c>
      <c r="G23" s="37">
        <v>436.50540000000001</v>
      </c>
      <c r="H23" s="38">
        <v>436.51</v>
      </c>
      <c r="I23" s="46">
        <v>0.11561890805103192</v>
      </c>
      <c r="J23" s="3">
        <v>0.11559999999999999</v>
      </c>
    </row>
    <row r="24" spans="1:10" ht="12.95" customHeight="1">
      <c r="A24" s="2" t="s">
        <v>528</v>
      </c>
      <c r="B24" s="15"/>
      <c r="C24" s="45" t="s">
        <v>529</v>
      </c>
      <c r="D24" s="33" t="s">
        <v>530</v>
      </c>
      <c r="E24" s="33" t="s">
        <v>16</v>
      </c>
      <c r="F24" s="36">
        <v>380000</v>
      </c>
      <c r="G24" s="37">
        <v>377.32638459999998</v>
      </c>
      <c r="H24" s="38">
        <v>377.33</v>
      </c>
      <c r="I24" s="46">
        <v>9.9943928680597552E-2</v>
      </c>
      <c r="J24" s="3">
        <v>9.9900000000000003E-2</v>
      </c>
    </row>
    <row r="25" spans="1:10" ht="12.95" customHeight="1">
      <c r="A25" s="2" t="s">
        <v>531</v>
      </c>
      <c r="B25" s="15"/>
      <c r="C25" s="45" t="s">
        <v>532</v>
      </c>
      <c r="D25" s="33" t="s">
        <v>533</v>
      </c>
      <c r="E25" s="33" t="s">
        <v>16</v>
      </c>
      <c r="F25" s="36">
        <v>360000</v>
      </c>
      <c r="G25" s="37">
        <v>342.74916000000002</v>
      </c>
      <c r="H25" s="38">
        <v>342.75</v>
      </c>
      <c r="I25" s="46">
        <v>9.0785322735087423E-2</v>
      </c>
      <c r="J25" s="3">
        <v>9.0800000000000006E-2</v>
      </c>
    </row>
    <row r="26" spans="1:10" ht="12.95" customHeight="1">
      <c r="A26" s="2" t="s">
        <v>13</v>
      </c>
      <c r="B26" s="15"/>
      <c r="C26" s="45" t="s">
        <v>14</v>
      </c>
      <c r="D26" s="33" t="s">
        <v>15</v>
      </c>
      <c r="E26" s="33" t="s">
        <v>16</v>
      </c>
      <c r="F26" s="36">
        <v>290000</v>
      </c>
      <c r="G26" s="37">
        <v>288.04194319999999</v>
      </c>
      <c r="H26" s="38">
        <v>288.04000000000002</v>
      </c>
      <c r="I26" s="46">
        <v>7.6294806308653595E-2</v>
      </c>
      <c r="J26" s="3">
        <v>7.6300000000000007E-2</v>
      </c>
    </row>
    <row r="27" spans="1:10" ht="12.95" customHeight="1">
      <c r="A27" s="1"/>
      <c r="B27" s="13"/>
      <c r="C27" s="43" t="s">
        <v>33</v>
      </c>
      <c r="D27" s="33" t="s">
        <v>1</v>
      </c>
      <c r="E27" s="33" t="s">
        <v>1</v>
      </c>
      <c r="F27" s="33" t="s">
        <v>1</v>
      </c>
      <c r="G27" s="39">
        <v>2414.4715328000002</v>
      </c>
      <c r="H27" s="40">
        <v>2414.48</v>
      </c>
      <c r="I27" s="47">
        <v>0.63953060407187934</v>
      </c>
      <c r="J27" s="26">
        <v>0.63949999999999996</v>
      </c>
    </row>
    <row r="28" spans="1:10" ht="12.95" customHeight="1">
      <c r="A28" s="1"/>
      <c r="B28" s="13"/>
      <c r="C28" s="43" t="s">
        <v>45</v>
      </c>
      <c r="D28" s="33" t="s">
        <v>1</v>
      </c>
      <c r="E28" s="33" t="s">
        <v>1</v>
      </c>
      <c r="F28" s="33" t="s">
        <v>1</v>
      </c>
      <c r="G28" s="39">
        <v>2414.4715328000002</v>
      </c>
      <c r="H28" s="40">
        <v>2414.48</v>
      </c>
      <c r="I28" s="47">
        <v>0.63953060407187934</v>
      </c>
      <c r="J28" s="26">
        <v>0.63949999999999996</v>
      </c>
    </row>
    <row r="29" spans="1:10" ht="12.95" customHeight="1">
      <c r="A29" s="1"/>
      <c r="B29" s="13"/>
      <c r="C29" s="43"/>
      <c r="D29" s="33"/>
      <c r="E29" s="33"/>
      <c r="F29" s="33"/>
      <c r="G29" s="39"/>
      <c r="H29" s="40"/>
      <c r="I29" s="47"/>
      <c r="J29" s="63"/>
    </row>
    <row r="30" spans="1:10" ht="12.95" customHeight="1">
      <c r="A30" s="1"/>
      <c r="B30" s="13"/>
      <c r="C30" s="43" t="s">
        <v>46</v>
      </c>
      <c r="D30" s="33" t="s">
        <v>1</v>
      </c>
      <c r="E30" s="33" t="s">
        <v>1</v>
      </c>
      <c r="F30" s="33" t="s">
        <v>1</v>
      </c>
      <c r="G30" s="34" t="s">
        <v>1</v>
      </c>
      <c r="H30" s="35"/>
      <c r="I30" s="44" t="s">
        <v>1</v>
      </c>
      <c r="J30" s="4" t="s">
        <v>1</v>
      </c>
    </row>
    <row r="31" spans="1:10" ht="12.95" customHeight="1">
      <c r="A31" s="2" t="s">
        <v>47</v>
      </c>
      <c r="B31" s="15"/>
      <c r="C31" s="45" t="s">
        <v>48</v>
      </c>
      <c r="D31" s="33" t="s">
        <v>1</v>
      </c>
      <c r="E31" s="33" t="s">
        <v>49</v>
      </c>
      <c r="F31" s="36"/>
      <c r="G31" s="37">
        <v>879.08725000000004</v>
      </c>
      <c r="H31" s="38">
        <v>879.09</v>
      </c>
      <c r="I31" s="46">
        <v>0.23284730939544968</v>
      </c>
      <c r="J31" s="3">
        <v>0.23280000000000001</v>
      </c>
    </row>
    <row r="32" spans="1:10" ht="12.95" customHeight="1">
      <c r="A32" s="1"/>
      <c r="B32" s="13"/>
      <c r="C32" s="43" t="s">
        <v>33</v>
      </c>
      <c r="D32" s="33" t="s">
        <v>1</v>
      </c>
      <c r="E32" s="33" t="s">
        <v>1</v>
      </c>
      <c r="F32" s="33" t="s">
        <v>1</v>
      </c>
      <c r="G32" s="39">
        <v>879.08725000000004</v>
      </c>
      <c r="H32" s="40">
        <v>879.09</v>
      </c>
      <c r="I32" s="47">
        <v>0.23284730939544968</v>
      </c>
      <c r="J32" s="26">
        <v>0.23280000000000001</v>
      </c>
    </row>
    <row r="33" spans="1:10" ht="12.95" customHeight="1">
      <c r="A33" s="1"/>
      <c r="B33" s="13"/>
      <c r="C33" s="43"/>
      <c r="D33" s="33"/>
      <c r="E33" s="33"/>
      <c r="F33" s="33"/>
      <c r="G33" s="39"/>
      <c r="H33" s="40"/>
      <c r="I33" s="47"/>
      <c r="J33" s="26"/>
    </row>
    <row r="34" spans="1:10" ht="12.95" customHeight="1">
      <c r="A34" s="1"/>
      <c r="B34" s="13"/>
      <c r="C34" s="43" t="s">
        <v>414</v>
      </c>
      <c r="D34" s="33"/>
      <c r="E34" s="33"/>
      <c r="F34" s="33"/>
      <c r="G34" s="39"/>
      <c r="H34" s="40"/>
      <c r="I34" s="47"/>
      <c r="J34" s="26"/>
    </row>
    <row r="35" spans="1:10" ht="12.95" customHeight="1">
      <c r="A35" s="1"/>
      <c r="B35" s="13"/>
      <c r="C35" s="139" t="s">
        <v>50</v>
      </c>
      <c r="D35" s="33" t="s">
        <v>1</v>
      </c>
      <c r="E35" s="33" t="s">
        <v>1</v>
      </c>
      <c r="F35" s="33" t="s">
        <v>1</v>
      </c>
      <c r="G35" s="75">
        <v>29.230419000000001</v>
      </c>
      <c r="H35" s="76">
        <v>29.22</v>
      </c>
      <c r="I35" s="77">
        <v>7.7423764440351667E-3</v>
      </c>
      <c r="J35" s="26">
        <v>7.7999999999999996E-3</v>
      </c>
    </row>
    <row r="36" spans="1:10" ht="12.95" customHeight="1">
      <c r="A36" s="1"/>
      <c r="B36" s="13"/>
      <c r="C36" s="43" t="s">
        <v>33</v>
      </c>
      <c r="D36" s="33"/>
      <c r="E36" s="33"/>
      <c r="F36" s="33"/>
      <c r="G36" s="39">
        <v>29.230419000000001</v>
      </c>
      <c r="H36" s="40">
        <v>29.22</v>
      </c>
      <c r="I36" s="47">
        <v>7.7423764440351667E-3</v>
      </c>
      <c r="J36" s="74"/>
    </row>
    <row r="37" spans="1:10" ht="12.95" customHeight="1">
      <c r="A37" s="1"/>
      <c r="B37" s="13"/>
      <c r="C37" s="43" t="s">
        <v>45</v>
      </c>
      <c r="D37" s="33"/>
      <c r="E37" s="33"/>
      <c r="F37" s="33"/>
      <c r="G37" s="39">
        <f>G32+G36</f>
        <v>908.31766900000002</v>
      </c>
      <c r="H37" s="39">
        <f t="shared" ref="H37:I37" si="0">H32+H36</f>
        <v>908.31000000000006</v>
      </c>
      <c r="I37" s="47">
        <f t="shared" si="0"/>
        <v>0.24058968583948484</v>
      </c>
      <c r="J37" s="74"/>
    </row>
    <row r="38" spans="1:10" ht="12.95" customHeight="1" thickBot="1">
      <c r="A38" s="1"/>
      <c r="B38" s="13"/>
      <c r="C38" s="48" t="s">
        <v>51</v>
      </c>
      <c r="D38" s="49" t="s">
        <v>1</v>
      </c>
      <c r="E38" s="49" t="s">
        <v>1</v>
      </c>
      <c r="F38" s="49" t="s">
        <v>1</v>
      </c>
      <c r="G38" s="50">
        <v>3775.3807517999999</v>
      </c>
      <c r="H38" s="51">
        <v>3775.38</v>
      </c>
      <c r="I38" s="52">
        <v>1</v>
      </c>
      <c r="J38" s="28">
        <v>1</v>
      </c>
    </row>
    <row r="39" spans="1:10" s="16" customFormat="1" ht="12.95" customHeight="1">
      <c r="A39" s="13"/>
      <c r="B39" s="13"/>
      <c r="C39" s="14" t="s">
        <v>1</v>
      </c>
      <c r="D39" s="13"/>
      <c r="E39" s="13"/>
      <c r="F39" s="13"/>
      <c r="G39" s="18"/>
      <c r="H39" s="13"/>
      <c r="I39" s="19"/>
      <c r="J39" s="13"/>
    </row>
    <row r="40" spans="1:10" s="16" customFormat="1" ht="12.95" customHeight="1">
      <c r="A40" s="13"/>
      <c r="B40" s="13"/>
      <c r="C40" s="21" t="s">
        <v>49</v>
      </c>
      <c r="D40" s="13"/>
      <c r="E40" s="13"/>
      <c r="F40" s="13"/>
      <c r="G40" s="18"/>
      <c r="H40" s="13"/>
      <c r="I40" s="19"/>
      <c r="J40" s="13"/>
    </row>
    <row r="41" spans="1:10" s="16" customFormat="1" ht="12.95" customHeight="1">
      <c r="A41" s="13"/>
      <c r="B41" s="13"/>
      <c r="C41" s="78" t="s">
        <v>52</v>
      </c>
      <c r="D41" s="79"/>
      <c r="E41" s="13"/>
      <c r="F41" s="13"/>
      <c r="G41" s="18"/>
      <c r="H41" s="13"/>
      <c r="I41" s="19"/>
      <c r="J41" s="13"/>
    </row>
    <row r="42" spans="1:10" s="16" customFormat="1" ht="12.95" customHeight="1">
      <c r="A42" s="13"/>
      <c r="B42" s="13"/>
      <c r="C42" s="78" t="s">
        <v>53</v>
      </c>
      <c r="D42" s="79"/>
      <c r="E42" s="13"/>
      <c r="F42" s="13"/>
      <c r="G42" s="18"/>
      <c r="H42" s="13"/>
      <c r="I42" s="19"/>
      <c r="J42" s="13"/>
    </row>
    <row r="43" spans="1:10" s="16" customFormat="1" ht="12.95" customHeight="1" thickBot="1">
      <c r="A43" s="13"/>
      <c r="B43" s="13"/>
      <c r="C43" s="78" t="s">
        <v>1</v>
      </c>
      <c r="D43" s="79"/>
      <c r="E43" s="13"/>
      <c r="F43" s="13"/>
      <c r="G43" s="18"/>
      <c r="H43" s="13"/>
      <c r="I43" s="19"/>
      <c r="J43" s="13"/>
    </row>
    <row r="44" spans="1:10" s="16" customFormat="1" ht="12.95" customHeight="1" thickBot="1">
      <c r="A44" s="13"/>
      <c r="B44" s="13"/>
      <c r="C44" s="134" t="s">
        <v>560</v>
      </c>
      <c r="D44" s="135" t="s">
        <v>563</v>
      </c>
      <c r="E44" s="13"/>
      <c r="F44" s="13"/>
      <c r="G44" s="18"/>
      <c r="H44" s="13"/>
      <c r="I44" s="19"/>
      <c r="J44" s="13"/>
    </row>
    <row r="45" spans="1:10" s="16" customFormat="1">
      <c r="G45" s="22"/>
      <c r="I45" s="23"/>
    </row>
    <row r="46" spans="1:10" s="16" customFormat="1">
      <c r="G46" s="22"/>
      <c r="I46" s="23"/>
    </row>
    <row r="47" spans="1:10" s="16" customFormat="1">
      <c r="G47" s="22"/>
      <c r="I47" s="23"/>
    </row>
    <row r="48" spans="1:10" s="16" customFormat="1">
      <c r="G48" s="22"/>
      <c r="I48" s="23"/>
    </row>
    <row r="49" spans="7:9" s="16" customFormat="1">
      <c r="G49" s="22"/>
      <c r="I49" s="23"/>
    </row>
    <row r="50" spans="7:9" s="16" customFormat="1">
      <c r="G50" s="22"/>
      <c r="I50" s="23"/>
    </row>
    <row r="51" spans="7:9" s="16" customFormat="1">
      <c r="G51" s="22"/>
      <c r="I51" s="23"/>
    </row>
    <row r="52" spans="7:9" s="16" customFormat="1">
      <c r="G52" s="22"/>
      <c r="I52" s="23"/>
    </row>
    <row r="53" spans="7:9" s="16" customFormat="1">
      <c r="G53" s="22"/>
      <c r="I53" s="23"/>
    </row>
    <row r="54" spans="7:9" s="16" customFormat="1">
      <c r="G54" s="22"/>
      <c r="I54" s="23"/>
    </row>
    <row r="55" spans="7:9" s="16" customFormat="1">
      <c r="G55" s="22"/>
      <c r="I55" s="23"/>
    </row>
    <row r="56" spans="7:9" s="16" customFormat="1">
      <c r="G56" s="22"/>
      <c r="I56" s="23"/>
    </row>
    <row r="57" spans="7:9" s="16" customFormat="1">
      <c r="G57" s="22"/>
      <c r="I57" s="23"/>
    </row>
    <row r="58" spans="7:9" s="16" customFormat="1">
      <c r="G58" s="22"/>
      <c r="I58" s="23"/>
    </row>
    <row r="59" spans="7:9" s="16" customFormat="1">
      <c r="G59" s="22"/>
      <c r="I59" s="23"/>
    </row>
    <row r="60" spans="7:9" s="16" customFormat="1">
      <c r="G60" s="22"/>
      <c r="I60" s="23"/>
    </row>
    <row r="61" spans="7:9" s="16" customFormat="1">
      <c r="G61" s="22"/>
      <c r="I61" s="23"/>
    </row>
    <row r="62" spans="7:9" s="16" customFormat="1">
      <c r="G62" s="22"/>
      <c r="I62" s="23"/>
    </row>
    <row r="63" spans="7:9" s="16" customFormat="1">
      <c r="G63" s="22"/>
      <c r="I63" s="23"/>
    </row>
    <row r="64" spans="7:9" s="16" customFormat="1">
      <c r="G64" s="22"/>
      <c r="I64" s="23"/>
    </row>
    <row r="65" spans="7:9" s="16" customFormat="1">
      <c r="G65" s="22"/>
      <c r="I65" s="23"/>
    </row>
    <row r="66" spans="7:9" s="16" customFormat="1">
      <c r="G66" s="22"/>
      <c r="I66" s="23"/>
    </row>
    <row r="67" spans="7:9" s="16" customFormat="1">
      <c r="G67" s="22"/>
      <c r="I67" s="23"/>
    </row>
    <row r="68" spans="7:9" s="16" customFormat="1">
      <c r="G68" s="22"/>
      <c r="I68" s="23"/>
    </row>
    <row r="69" spans="7:9" s="16" customFormat="1">
      <c r="G69" s="22"/>
      <c r="I69" s="23"/>
    </row>
    <row r="70" spans="7:9" s="16" customFormat="1">
      <c r="G70" s="22"/>
      <c r="I70" s="23"/>
    </row>
    <row r="71" spans="7:9" s="16" customFormat="1">
      <c r="G71" s="22"/>
      <c r="I71" s="23"/>
    </row>
    <row r="72" spans="7:9" s="16" customFormat="1">
      <c r="G72" s="22"/>
      <c r="I72" s="23"/>
    </row>
    <row r="73" spans="7:9" s="16" customFormat="1">
      <c r="G73" s="22"/>
      <c r="I73" s="23"/>
    </row>
    <row r="74" spans="7:9" s="16" customFormat="1">
      <c r="G74" s="22"/>
      <c r="I74" s="23"/>
    </row>
    <row r="75" spans="7:9" s="16" customFormat="1">
      <c r="G75" s="22"/>
      <c r="I75" s="23"/>
    </row>
    <row r="76" spans="7:9" s="16" customFormat="1">
      <c r="G76" s="22"/>
      <c r="I76" s="23"/>
    </row>
    <row r="77" spans="7:9" s="16" customFormat="1">
      <c r="G77" s="22"/>
      <c r="I77" s="23"/>
    </row>
    <row r="78" spans="7:9" s="16" customFormat="1">
      <c r="G78" s="22"/>
      <c r="I78" s="23"/>
    </row>
    <row r="79" spans="7:9" s="16" customFormat="1">
      <c r="G79" s="22"/>
      <c r="I79" s="23"/>
    </row>
    <row r="80" spans="7:9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34"/>
  <sheetViews>
    <sheetView topLeftCell="B1" zoomScaleNormal="100" workbookViewId="0">
      <selection activeCell="C32" sqref="C32"/>
    </sheetView>
  </sheetViews>
  <sheetFormatPr defaultRowHeight="12.75"/>
  <cols>
    <col min="1" max="1" width="3.42578125" hidden="1" customWidth="1"/>
    <col min="2" max="2" width="3.425781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2" width="9.140625" style="16"/>
  </cols>
  <sheetData>
    <row r="1" spans="1:10" ht="15.95" customHeight="1">
      <c r="A1" s="1"/>
      <c r="B1" s="13"/>
      <c r="C1" s="147" t="s">
        <v>534</v>
      </c>
      <c r="D1" s="148"/>
      <c r="E1" s="148"/>
      <c r="F1" s="148"/>
      <c r="G1" s="148"/>
      <c r="H1" s="148"/>
      <c r="I1" s="149"/>
      <c r="J1" s="1"/>
    </row>
    <row r="2" spans="1:10" ht="12.95" customHeight="1" thickBot="1">
      <c r="A2" s="1"/>
      <c r="B2" s="13"/>
      <c r="C2" s="150" t="s">
        <v>562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129" t="s">
        <v>543</v>
      </c>
      <c r="D7" s="130"/>
      <c r="E7" s="131"/>
      <c r="F7" s="131"/>
      <c r="G7" s="132"/>
      <c r="H7" s="131"/>
      <c r="I7" s="136"/>
      <c r="J7" s="12"/>
    </row>
    <row r="8" spans="1:10" ht="12.95" customHeight="1">
      <c r="A8" s="1"/>
      <c r="B8" s="13"/>
      <c r="C8" s="65" t="s">
        <v>544</v>
      </c>
      <c r="D8" s="100"/>
      <c r="E8" s="30"/>
      <c r="F8" s="39" t="s">
        <v>273</v>
      </c>
      <c r="G8" s="39" t="s">
        <v>273</v>
      </c>
      <c r="H8" s="39" t="s">
        <v>273</v>
      </c>
      <c r="I8" s="137" t="s">
        <v>273</v>
      </c>
      <c r="J8" s="10" t="s">
        <v>273</v>
      </c>
    </row>
    <row r="9" spans="1:10" ht="12.95" customHeight="1">
      <c r="A9" s="2" t="s">
        <v>545</v>
      </c>
      <c r="B9" s="15"/>
      <c r="C9" s="69" t="s">
        <v>272</v>
      </c>
      <c r="D9" s="101"/>
      <c r="E9" s="30"/>
      <c r="F9" s="39" t="s">
        <v>273</v>
      </c>
      <c r="G9" s="39" t="s">
        <v>273</v>
      </c>
      <c r="H9" s="39" t="s">
        <v>273</v>
      </c>
      <c r="I9" s="137" t="s">
        <v>273</v>
      </c>
      <c r="J9" s="10" t="s">
        <v>273</v>
      </c>
    </row>
    <row r="10" spans="1:10" ht="12.95" customHeight="1">
      <c r="A10" s="2" t="s">
        <v>551</v>
      </c>
      <c r="B10" s="15"/>
      <c r="C10" s="97"/>
      <c r="D10" s="29"/>
      <c r="E10" s="30"/>
      <c r="F10" s="30"/>
      <c r="G10" s="31"/>
      <c r="H10" s="30"/>
      <c r="I10" s="122"/>
      <c r="J10" s="11"/>
    </row>
    <row r="11" spans="1:10" ht="12.95" customHeight="1">
      <c r="A11" s="1"/>
      <c r="B11" s="13"/>
      <c r="C11" s="43" t="s">
        <v>339</v>
      </c>
      <c r="D11" s="33" t="s">
        <v>1</v>
      </c>
      <c r="E11" s="33" t="s">
        <v>1</v>
      </c>
      <c r="F11" s="33" t="s">
        <v>1</v>
      </c>
      <c r="G11" s="34" t="s">
        <v>1</v>
      </c>
      <c r="H11" s="35"/>
      <c r="I11" s="44" t="s">
        <v>1</v>
      </c>
      <c r="J11" s="4" t="s">
        <v>1</v>
      </c>
    </row>
    <row r="12" spans="1:10" ht="12.95" customHeight="1">
      <c r="A12" s="1"/>
      <c r="B12" s="13"/>
      <c r="C12" s="43" t="s">
        <v>340</v>
      </c>
      <c r="D12" s="33" t="s">
        <v>1</v>
      </c>
      <c r="E12" s="33" t="s">
        <v>1</v>
      </c>
      <c r="F12" s="33" t="s">
        <v>1</v>
      </c>
      <c r="G12" s="34" t="s">
        <v>1</v>
      </c>
      <c r="H12" s="35"/>
      <c r="I12" s="44" t="s">
        <v>1</v>
      </c>
      <c r="J12" s="4" t="s">
        <v>1</v>
      </c>
    </row>
    <row r="13" spans="1:10" ht="12.95" customHeight="1">
      <c r="A13" s="2" t="s">
        <v>516</v>
      </c>
      <c r="B13" s="15"/>
      <c r="C13" s="45" t="s">
        <v>517</v>
      </c>
      <c r="D13" s="33" t="s">
        <v>518</v>
      </c>
      <c r="E13" s="33" t="s">
        <v>348</v>
      </c>
      <c r="F13" s="36">
        <v>50000</v>
      </c>
      <c r="G13" s="37">
        <v>50.287950000000002</v>
      </c>
      <c r="H13" s="38">
        <v>50.29</v>
      </c>
      <c r="I13" s="46">
        <v>0.11366830354536009</v>
      </c>
      <c r="J13" s="3">
        <v>0.1137</v>
      </c>
    </row>
    <row r="14" spans="1:10" ht="12.95" customHeight="1">
      <c r="A14" s="1"/>
      <c r="B14" s="13"/>
      <c r="C14" s="43" t="s">
        <v>33</v>
      </c>
      <c r="D14" s="33" t="s">
        <v>1</v>
      </c>
      <c r="E14" s="33" t="s">
        <v>1</v>
      </c>
      <c r="F14" s="33" t="s">
        <v>1</v>
      </c>
      <c r="G14" s="39">
        <v>50.287950000000002</v>
      </c>
      <c r="H14" s="40">
        <v>50.29</v>
      </c>
      <c r="I14" s="47">
        <v>0.11366830354536009</v>
      </c>
      <c r="J14" s="26">
        <v>0.1137</v>
      </c>
    </row>
    <row r="15" spans="1:10" ht="12.95" customHeight="1">
      <c r="A15" s="1"/>
      <c r="B15" s="13"/>
      <c r="C15" s="43" t="s">
        <v>358</v>
      </c>
      <c r="D15" s="33" t="s">
        <v>1</v>
      </c>
      <c r="E15" s="33" t="s">
        <v>1</v>
      </c>
      <c r="F15" s="39" t="s">
        <v>273</v>
      </c>
      <c r="G15" s="39" t="s">
        <v>273</v>
      </c>
      <c r="H15" s="39" t="s">
        <v>273</v>
      </c>
      <c r="I15" s="137" t="s">
        <v>273</v>
      </c>
      <c r="J15" s="27" t="s">
        <v>273</v>
      </c>
    </row>
    <row r="16" spans="1:10" ht="12.95" customHeight="1">
      <c r="A16" s="1"/>
      <c r="B16" s="13"/>
      <c r="C16" s="43" t="s">
        <v>550</v>
      </c>
      <c r="D16" s="33" t="s">
        <v>1</v>
      </c>
      <c r="E16" s="33" t="s">
        <v>1</v>
      </c>
      <c r="F16" s="39" t="s">
        <v>273</v>
      </c>
      <c r="G16" s="39" t="s">
        <v>273</v>
      </c>
      <c r="H16" s="39" t="s">
        <v>273</v>
      </c>
      <c r="I16" s="137" t="s">
        <v>273</v>
      </c>
      <c r="J16" s="27" t="s">
        <v>273</v>
      </c>
    </row>
    <row r="17" spans="1:10" ht="12.95" customHeight="1">
      <c r="A17" s="1"/>
      <c r="B17" s="13"/>
      <c r="C17" s="43" t="s">
        <v>45</v>
      </c>
      <c r="D17" s="33" t="s">
        <v>1</v>
      </c>
      <c r="E17" s="33" t="s">
        <v>1</v>
      </c>
      <c r="F17" s="33" t="s">
        <v>1</v>
      </c>
      <c r="G17" s="39">
        <v>50.287950000000002</v>
      </c>
      <c r="H17" s="40">
        <v>50.29</v>
      </c>
      <c r="I17" s="47">
        <v>0.11366830354536009</v>
      </c>
      <c r="J17" s="26">
        <v>0.1137</v>
      </c>
    </row>
    <row r="18" spans="1:10" ht="12.95" customHeight="1">
      <c r="A18" s="1"/>
      <c r="B18" s="13"/>
      <c r="C18" s="43"/>
      <c r="D18" s="33"/>
      <c r="E18" s="33"/>
      <c r="F18" s="33"/>
      <c r="G18" s="39"/>
      <c r="H18" s="40"/>
      <c r="I18" s="47"/>
      <c r="J18" s="63"/>
    </row>
    <row r="19" spans="1:10" ht="12.95" customHeight="1">
      <c r="A19" s="1"/>
      <c r="B19" s="13"/>
      <c r="C19" s="43" t="s">
        <v>11</v>
      </c>
      <c r="D19" s="33" t="s">
        <v>1</v>
      </c>
      <c r="E19" s="33" t="s">
        <v>1</v>
      </c>
      <c r="F19" s="33" t="s">
        <v>1</v>
      </c>
      <c r="G19" s="34" t="s">
        <v>1</v>
      </c>
      <c r="H19" s="35"/>
      <c r="I19" s="44" t="s">
        <v>1</v>
      </c>
      <c r="J19" s="4" t="s">
        <v>1</v>
      </c>
    </row>
    <row r="20" spans="1:10" ht="12.95" customHeight="1">
      <c r="A20" s="1"/>
      <c r="B20" s="13"/>
      <c r="C20" s="43" t="s">
        <v>12</v>
      </c>
      <c r="D20" s="33" t="s">
        <v>1</v>
      </c>
      <c r="E20" s="33" t="s">
        <v>1</v>
      </c>
      <c r="F20" s="33" t="s">
        <v>1</v>
      </c>
      <c r="G20" s="34" t="s">
        <v>1</v>
      </c>
      <c r="H20" s="35"/>
      <c r="I20" s="44" t="s">
        <v>1</v>
      </c>
      <c r="J20" s="4" t="s">
        <v>1</v>
      </c>
    </row>
    <row r="21" spans="1:10" ht="12.95" customHeight="1">
      <c r="A21" s="2" t="s">
        <v>531</v>
      </c>
      <c r="B21" s="15"/>
      <c r="C21" s="45" t="s">
        <v>532</v>
      </c>
      <c r="D21" s="33" t="s">
        <v>533</v>
      </c>
      <c r="E21" s="33" t="s">
        <v>16</v>
      </c>
      <c r="F21" s="36">
        <v>140000</v>
      </c>
      <c r="G21" s="37">
        <v>133.29133999999999</v>
      </c>
      <c r="H21" s="38">
        <v>133.29</v>
      </c>
      <c r="I21" s="46">
        <v>0.30128491010446434</v>
      </c>
      <c r="J21" s="3">
        <v>0.30130000000000001</v>
      </c>
    </row>
    <row r="22" spans="1:10" ht="12.95" customHeight="1">
      <c r="A22" s="2" t="s">
        <v>528</v>
      </c>
      <c r="B22" s="15"/>
      <c r="C22" s="45" t="s">
        <v>529</v>
      </c>
      <c r="D22" s="33" t="s">
        <v>530</v>
      </c>
      <c r="E22" s="33" t="s">
        <v>16</v>
      </c>
      <c r="F22" s="36">
        <v>120000</v>
      </c>
      <c r="G22" s="37">
        <v>119.1557004</v>
      </c>
      <c r="H22" s="38">
        <v>119.16</v>
      </c>
      <c r="I22" s="46">
        <v>0.26933343519127712</v>
      </c>
      <c r="J22" s="3">
        <v>0.26929999999999998</v>
      </c>
    </row>
    <row r="23" spans="1:10" ht="12.95" customHeight="1">
      <c r="A23" s="2" t="s">
        <v>525</v>
      </c>
      <c r="B23" s="15"/>
      <c r="C23" s="45" t="s">
        <v>526</v>
      </c>
      <c r="D23" s="33" t="s">
        <v>527</v>
      </c>
      <c r="E23" s="33" t="s">
        <v>26</v>
      </c>
      <c r="F23" s="36">
        <v>50000</v>
      </c>
      <c r="G23" s="37">
        <v>48.500599999999999</v>
      </c>
      <c r="H23" s="38">
        <v>48.5</v>
      </c>
      <c r="I23" s="46">
        <v>0.10962826925599654</v>
      </c>
      <c r="J23" s="3">
        <v>0.1096</v>
      </c>
    </row>
    <row r="24" spans="1:10" ht="12.95" customHeight="1">
      <c r="A24" s="1"/>
      <c r="B24" s="13"/>
      <c r="C24" s="43" t="s">
        <v>33</v>
      </c>
      <c r="D24" s="33" t="s">
        <v>1</v>
      </c>
      <c r="E24" s="33" t="s">
        <v>1</v>
      </c>
      <c r="F24" s="33" t="s">
        <v>1</v>
      </c>
      <c r="G24" s="39">
        <v>300.94764040000001</v>
      </c>
      <c r="H24" s="40">
        <v>300.95</v>
      </c>
      <c r="I24" s="47">
        <v>0.68024661455173796</v>
      </c>
      <c r="J24" s="26">
        <v>0.68020000000000003</v>
      </c>
    </row>
    <row r="25" spans="1:10" ht="12.95" customHeight="1">
      <c r="A25" s="1"/>
      <c r="B25" s="13"/>
      <c r="C25" s="43" t="s">
        <v>45</v>
      </c>
      <c r="D25" s="33" t="s">
        <v>1</v>
      </c>
      <c r="E25" s="33" t="s">
        <v>1</v>
      </c>
      <c r="F25" s="33" t="s">
        <v>1</v>
      </c>
      <c r="G25" s="39">
        <v>300.94764040000001</v>
      </c>
      <c r="H25" s="40">
        <v>300.95</v>
      </c>
      <c r="I25" s="47">
        <v>0.68024661455173796</v>
      </c>
      <c r="J25" s="26">
        <v>0.68020000000000003</v>
      </c>
    </row>
    <row r="26" spans="1:10" ht="12.95" customHeight="1">
      <c r="A26" s="1"/>
      <c r="B26" s="13"/>
      <c r="C26" s="43"/>
      <c r="D26" s="33"/>
      <c r="E26" s="33"/>
      <c r="F26" s="33"/>
      <c r="G26" s="39"/>
      <c r="H26" s="40"/>
      <c r="I26" s="47"/>
      <c r="J26" s="63"/>
    </row>
    <row r="27" spans="1:10" ht="12.95" customHeight="1">
      <c r="A27" s="1"/>
      <c r="B27" s="13"/>
      <c r="C27" s="43" t="s">
        <v>46</v>
      </c>
      <c r="D27" s="33" t="s">
        <v>1</v>
      </c>
      <c r="E27" s="33" t="s">
        <v>1</v>
      </c>
      <c r="F27" s="33" t="s">
        <v>1</v>
      </c>
      <c r="G27" s="34" t="s">
        <v>1</v>
      </c>
      <c r="H27" s="35"/>
      <c r="I27" s="44" t="s">
        <v>1</v>
      </c>
      <c r="J27" s="4" t="s">
        <v>1</v>
      </c>
    </row>
    <row r="28" spans="1:10" ht="12.95" customHeight="1">
      <c r="A28" s="2" t="s">
        <v>47</v>
      </c>
      <c r="B28" s="15"/>
      <c r="C28" s="45" t="s">
        <v>48</v>
      </c>
      <c r="D28" s="33" t="s">
        <v>1</v>
      </c>
      <c r="E28" s="33" t="s">
        <v>49</v>
      </c>
      <c r="F28" s="36"/>
      <c r="G28" s="37">
        <v>87.822000000000003</v>
      </c>
      <c r="H28" s="38">
        <v>87.82</v>
      </c>
      <c r="I28" s="46">
        <v>0.1985083455173777</v>
      </c>
      <c r="J28" s="3">
        <v>0.19850000000000001</v>
      </c>
    </row>
    <row r="29" spans="1:10" ht="12.95" customHeight="1">
      <c r="A29" s="1"/>
      <c r="B29" s="13"/>
      <c r="C29" s="43" t="s">
        <v>33</v>
      </c>
      <c r="D29" s="33" t="s">
        <v>1</v>
      </c>
      <c r="E29" s="33" t="s">
        <v>1</v>
      </c>
      <c r="F29" s="33" t="s">
        <v>1</v>
      </c>
      <c r="G29" s="39">
        <v>87.822000000000003</v>
      </c>
      <c r="H29" s="40">
        <v>87.82</v>
      </c>
      <c r="I29" s="47">
        <v>0.1985083455173777</v>
      </c>
      <c r="J29" s="26">
        <v>0.19850000000000001</v>
      </c>
    </row>
    <row r="30" spans="1:10" ht="12.95" customHeight="1">
      <c r="A30" s="1"/>
      <c r="B30" s="13"/>
      <c r="C30" s="43"/>
      <c r="D30" s="33"/>
      <c r="E30" s="33"/>
      <c r="F30" s="33"/>
      <c r="G30" s="39"/>
      <c r="H30" s="40"/>
      <c r="I30" s="47"/>
      <c r="J30" s="26"/>
    </row>
    <row r="31" spans="1:10" ht="12.95" customHeight="1">
      <c r="A31" s="1"/>
      <c r="B31" s="13"/>
      <c r="C31" s="43" t="s">
        <v>414</v>
      </c>
      <c r="D31" s="33"/>
      <c r="E31" s="33"/>
      <c r="F31" s="33"/>
      <c r="G31" s="39"/>
      <c r="H31" s="40"/>
      <c r="I31" s="47"/>
      <c r="J31" s="26"/>
    </row>
    <row r="32" spans="1:10" ht="12.95" customHeight="1">
      <c r="A32" s="1"/>
      <c r="B32" s="13"/>
      <c r="C32" s="139" t="s">
        <v>50</v>
      </c>
      <c r="D32" s="33" t="s">
        <v>1</v>
      </c>
      <c r="E32" s="33" t="s">
        <v>1</v>
      </c>
      <c r="F32" s="33" t="s">
        <v>1</v>
      </c>
      <c r="G32" s="75">
        <v>3.3520210000000001</v>
      </c>
      <c r="H32" s="76">
        <v>3.35</v>
      </c>
      <c r="I32" s="77">
        <v>7.5767363855242182E-3</v>
      </c>
      <c r="J32" s="26">
        <v>7.6E-3</v>
      </c>
    </row>
    <row r="33" spans="1:10" ht="12.95" customHeight="1">
      <c r="A33" s="1"/>
      <c r="B33" s="13"/>
      <c r="C33" s="43" t="s">
        <v>33</v>
      </c>
      <c r="D33" s="33"/>
      <c r="E33" s="33"/>
      <c r="F33" s="33"/>
      <c r="G33" s="39">
        <v>3.3520210000000001</v>
      </c>
      <c r="H33" s="40">
        <v>3.35</v>
      </c>
      <c r="I33" s="47">
        <v>7.5767363855242182E-3</v>
      </c>
      <c r="J33" s="74"/>
    </row>
    <row r="34" spans="1:10" ht="12.95" customHeight="1">
      <c r="A34" s="1"/>
      <c r="B34" s="13"/>
      <c r="C34" s="43" t="s">
        <v>45</v>
      </c>
      <c r="D34" s="33"/>
      <c r="E34" s="33"/>
      <c r="F34" s="33"/>
      <c r="G34" s="39">
        <f>G29+G33</f>
        <v>91.174020999999996</v>
      </c>
      <c r="H34" s="39">
        <f t="shared" ref="H34:I34" si="0">H29+H33</f>
        <v>91.169999999999987</v>
      </c>
      <c r="I34" s="47">
        <f t="shared" si="0"/>
        <v>0.20608508190290192</v>
      </c>
      <c r="J34" s="74"/>
    </row>
    <row r="35" spans="1:10" ht="12.95" customHeight="1" thickBot="1">
      <c r="A35" s="1"/>
      <c r="B35" s="13"/>
      <c r="C35" s="48" t="s">
        <v>51</v>
      </c>
      <c r="D35" s="49" t="s">
        <v>1</v>
      </c>
      <c r="E35" s="49" t="s">
        <v>1</v>
      </c>
      <c r="F35" s="49" t="s">
        <v>1</v>
      </c>
      <c r="G35" s="50">
        <v>442.40961140000002</v>
      </c>
      <c r="H35" s="51">
        <v>442.41</v>
      </c>
      <c r="I35" s="52">
        <v>1</v>
      </c>
      <c r="J35" s="28">
        <v>1</v>
      </c>
    </row>
    <row r="36" spans="1:10" s="16" customFormat="1" ht="12.95" customHeight="1">
      <c r="A36" s="13"/>
      <c r="B36" s="13"/>
      <c r="C36" s="14" t="s">
        <v>1</v>
      </c>
      <c r="D36" s="13"/>
      <c r="E36" s="13"/>
      <c r="F36" s="13"/>
      <c r="G36" s="18"/>
      <c r="H36" s="13"/>
      <c r="I36" s="19"/>
      <c r="J36" s="13"/>
    </row>
    <row r="37" spans="1:10" s="16" customFormat="1" ht="12.95" customHeight="1">
      <c r="A37" s="13"/>
      <c r="B37" s="13"/>
      <c r="C37" s="21" t="s">
        <v>49</v>
      </c>
      <c r="D37" s="13"/>
      <c r="E37" s="13"/>
      <c r="F37" s="13"/>
      <c r="G37" s="18"/>
      <c r="H37" s="13"/>
      <c r="I37" s="19"/>
      <c r="J37" s="13"/>
    </row>
    <row r="38" spans="1:10" s="16" customFormat="1" ht="12.95" customHeight="1">
      <c r="A38" s="13"/>
      <c r="B38" s="13"/>
      <c r="C38" s="78" t="s">
        <v>52</v>
      </c>
      <c r="D38" s="79"/>
      <c r="E38" s="13"/>
      <c r="F38" s="13"/>
      <c r="G38" s="18"/>
      <c r="H38" s="13"/>
      <c r="I38" s="19"/>
      <c r="J38" s="13"/>
    </row>
    <row r="39" spans="1:10" s="16" customFormat="1" ht="12.95" customHeight="1">
      <c r="A39" s="13"/>
      <c r="B39" s="13"/>
      <c r="C39" s="78" t="s">
        <v>53</v>
      </c>
      <c r="D39" s="79"/>
      <c r="E39" s="13"/>
      <c r="F39" s="13"/>
      <c r="G39" s="18"/>
      <c r="H39" s="13"/>
      <c r="I39" s="19"/>
      <c r="J39" s="13"/>
    </row>
    <row r="40" spans="1:10" s="16" customFormat="1" ht="12.95" customHeight="1" thickBot="1">
      <c r="A40" s="13"/>
      <c r="B40" s="13"/>
      <c r="C40" s="78" t="s">
        <v>1</v>
      </c>
      <c r="D40" s="79"/>
      <c r="E40" s="13"/>
      <c r="F40" s="13"/>
      <c r="G40" s="18"/>
      <c r="H40" s="13"/>
      <c r="I40" s="19"/>
      <c r="J40" s="13"/>
    </row>
    <row r="41" spans="1:10" s="16" customFormat="1" ht="12.95" customHeight="1" thickBot="1">
      <c r="A41" s="13"/>
      <c r="B41" s="13"/>
      <c r="C41" s="134" t="s">
        <v>560</v>
      </c>
      <c r="D41" s="135" t="s">
        <v>564</v>
      </c>
      <c r="E41" s="13"/>
      <c r="F41" s="13"/>
      <c r="G41" s="18"/>
      <c r="H41" s="13"/>
      <c r="I41" s="19"/>
      <c r="J41" s="13"/>
    </row>
    <row r="42" spans="1:10" s="16" customFormat="1">
      <c r="G42" s="22"/>
      <c r="I42" s="23"/>
    </row>
    <row r="43" spans="1:10" s="16" customFormat="1">
      <c r="G43" s="22"/>
      <c r="I43" s="23"/>
    </row>
    <row r="44" spans="1:10" s="16" customFormat="1">
      <c r="G44" s="22"/>
      <c r="I44" s="23"/>
    </row>
    <row r="45" spans="1:10" s="16" customFormat="1">
      <c r="G45" s="22"/>
      <c r="I45" s="23"/>
    </row>
    <row r="46" spans="1:10" s="16" customFormat="1">
      <c r="G46" s="22"/>
      <c r="I46" s="23"/>
    </row>
    <row r="47" spans="1:10" s="16" customFormat="1">
      <c r="G47" s="22"/>
      <c r="I47" s="23"/>
    </row>
    <row r="48" spans="1:10" s="16" customFormat="1">
      <c r="G48" s="22"/>
      <c r="I48" s="23"/>
    </row>
    <row r="49" spans="7:9" s="16" customFormat="1">
      <c r="G49" s="22"/>
      <c r="I49" s="23"/>
    </row>
    <row r="50" spans="7:9" s="16" customFormat="1">
      <c r="G50" s="22"/>
      <c r="I50" s="23"/>
    </row>
    <row r="51" spans="7:9" s="16" customFormat="1">
      <c r="G51" s="22"/>
      <c r="I51" s="23"/>
    </row>
    <row r="52" spans="7:9" s="16" customFormat="1">
      <c r="G52" s="22"/>
      <c r="I52" s="23"/>
    </row>
    <row r="53" spans="7:9" s="16" customFormat="1">
      <c r="G53" s="22"/>
      <c r="I53" s="23"/>
    </row>
    <row r="54" spans="7:9" s="16" customFormat="1">
      <c r="G54" s="22"/>
      <c r="I54" s="23"/>
    </row>
    <row r="55" spans="7:9" s="16" customFormat="1">
      <c r="G55" s="22"/>
      <c r="I55" s="23"/>
    </row>
    <row r="56" spans="7:9" s="16" customFormat="1">
      <c r="G56" s="22"/>
      <c r="I56" s="23"/>
    </row>
    <row r="57" spans="7:9" s="16" customFormat="1">
      <c r="G57" s="22"/>
      <c r="I57" s="23"/>
    </row>
    <row r="58" spans="7:9" s="16" customFormat="1">
      <c r="G58" s="22"/>
      <c r="I58" s="23"/>
    </row>
    <row r="59" spans="7:9" s="16" customFormat="1">
      <c r="G59" s="22"/>
      <c r="I59" s="23"/>
    </row>
    <row r="60" spans="7:9" s="16" customFormat="1">
      <c r="G60" s="22"/>
      <c r="I60" s="23"/>
    </row>
    <row r="61" spans="7:9" s="16" customFormat="1">
      <c r="G61" s="22"/>
      <c r="I61" s="23"/>
    </row>
    <row r="62" spans="7:9" s="16" customFormat="1">
      <c r="G62" s="22"/>
      <c r="I62" s="23"/>
    </row>
    <row r="63" spans="7:9" s="16" customFormat="1">
      <c r="G63" s="22"/>
      <c r="I63" s="23"/>
    </row>
    <row r="64" spans="7:9" s="16" customFormat="1">
      <c r="G64" s="22"/>
      <c r="I64" s="23"/>
    </row>
    <row r="65" spans="7:9" s="16" customFormat="1">
      <c r="G65" s="22"/>
      <c r="I65" s="23"/>
    </row>
    <row r="66" spans="7:9" s="16" customFormat="1">
      <c r="G66" s="22"/>
      <c r="I66" s="23"/>
    </row>
    <row r="67" spans="7:9" s="16" customFormat="1">
      <c r="G67" s="22"/>
      <c r="I67" s="23"/>
    </row>
    <row r="68" spans="7:9" s="16" customFormat="1">
      <c r="G68" s="22"/>
      <c r="I68" s="23"/>
    </row>
    <row r="69" spans="7:9" s="16" customFormat="1">
      <c r="G69" s="22"/>
      <c r="I69" s="23"/>
    </row>
    <row r="70" spans="7:9" s="16" customFormat="1">
      <c r="G70" s="22"/>
      <c r="I70" s="23"/>
    </row>
    <row r="71" spans="7:9" s="16" customFormat="1">
      <c r="G71" s="22"/>
      <c r="I71" s="23"/>
    </row>
    <row r="72" spans="7:9" s="16" customFormat="1">
      <c r="G72" s="22"/>
      <c r="I72" s="23"/>
    </row>
    <row r="73" spans="7:9" s="16" customFormat="1">
      <c r="G73" s="22"/>
      <c r="I73" s="23"/>
    </row>
    <row r="74" spans="7:9" s="16" customFormat="1">
      <c r="G74" s="22"/>
      <c r="I74" s="23"/>
    </row>
    <row r="75" spans="7:9" s="16" customFormat="1">
      <c r="G75" s="22"/>
      <c r="I75" s="23"/>
    </row>
    <row r="76" spans="7:9" s="16" customFormat="1">
      <c r="G76" s="22"/>
      <c r="I76" s="23"/>
    </row>
    <row r="77" spans="7:9" s="16" customFormat="1">
      <c r="G77" s="22"/>
      <c r="I77" s="23"/>
    </row>
    <row r="78" spans="7:9" s="16" customFormat="1">
      <c r="G78" s="22"/>
      <c r="I78" s="23"/>
    </row>
    <row r="79" spans="7:9" s="16" customFormat="1">
      <c r="G79" s="22"/>
      <c r="I79" s="23"/>
    </row>
    <row r="80" spans="7:9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13"/>
  <sheetViews>
    <sheetView topLeftCell="B1" zoomScaleNormal="100" workbookViewId="0">
      <selection activeCell="C68" sqref="C68"/>
    </sheetView>
  </sheetViews>
  <sheetFormatPr defaultRowHeight="12.75"/>
  <cols>
    <col min="1" max="1" width="3.42578125" hidden="1" customWidth="1"/>
    <col min="2" max="2" width="3.42578125" style="16" customWidth="1"/>
    <col min="3" max="3" width="50.42578125" bestFit="1" customWidth="1"/>
    <col min="4" max="4" width="16.85546875" bestFit="1" customWidth="1"/>
    <col min="5" max="5" width="33.5703125" bestFit="1" customWidth="1"/>
    <col min="6" max="6" width="16.85546875" bestFit="1" customWidth="1"/>
    <col min="7" max="7" width="16.85546875" style="6" bestFit="1" customWidth="1"/>
    <col min="8" max="8" width="25.140625" hidden="1" customWidth="1"/>
    <col min="9" max="9" width="16.85546875" style="8" bestFit="1" customWidth="1"/>
    <col min="10" max="10" width="25.140625" hidden="1" customWidth="1"/>
    <col min="11" max="88" width="9.140625" style="16"/>
  </cols>
  <sheetData>
    <row r="1" spans="1:10" ht="15.95" customHeight="1">
      <c r="A1" s="1"/>
      <c r="B1" s="13"/>
      <c r="C1" s="147" t="s">
        <v>565</v>
      </c>
      <c r="D1" s="148"/>
      <c r="E1" s="148"/>
      <c r="F1" s="148"/>
      <c r="G1" s="148"/>
      <c r="H1" s="148"/>
      <c r="I1" s="149"/>
      <c r="J1" s="1"/>
    </row>
    <row r="2" spans="1:10" ht="12.95" customHeight="1" thickBot="1">
      <c r="A2" s="1"/>
      <c r="B2" s="13"/>
      <c r="C2" s="150" t="s">
        <v>566</v>
      </c>
      <c r="D2" s="151"/>
      <c r="E2" s="151"/>
      <c r="F2" s="151"/>
      <c r="G2" s="151"/>
      <c r="H2" s="151"/>
      <c r="I2" s="152"/>
      <c r="J2" s="1"/>
    </row>
    <row r="3" spans="1:10" s="16" customFormat="1" ht="12.95" customHeight="1">
      <c r="A3" s="13"/>
      <c r="B3" s="13"/>
      <c r="C3" s="83"/>
      <c r="D3" s="83"/>
      <c r="E3" s="83"/>
      <c r="F3" s="83"/>
      <c r="G3" s="83"/>
      <c r="H3" s="83"/>
      <c r="I3" s="83"/>
      <c r="J3" s="13"/>
    </row>
    <row r="4" spans="1:10" s="16" customFormat="1" ht="12.95" customHeight="1">
      <c r="A4" s="14" t="s">
        <v>1</v>
      </c>
      <c r="B4" s="14"/>
      <c r="C4" s="17" t="s">
        <v>2</v>
      </c>
      <c r="D4" s="13"/>
      <c r="E4" s="13"/>
      <c r="F4" s="13"/>
      <c r="G4" s="18"/>
      <c r="H4" s="13"/>
      <c r="I4" s="19"/>
      <c r="J4" s="13"/>
    </row>
    <row r="5" spans="1:10" s="16" customFormat="1" ht="12.95" customHeight="1" thickBot="1">
      <c r="A5" s="14"/>
      <c r="B5" s="14"/>
      <c r="C5" s="17"/>
      <c r="D5" s="13"/>
      <c r="E5" s="13"/>
      <c r="F5" s="13"/>
      <c r="G5" s="18"/>
      <c r="H5" s="13"/>
      <c r="I5" s="19"/>
      <c r="J5" s="13"/>
    </row>
    <row r="6" spans="1:10" ht="27.95" customHeight="1" thickBot="1">
      <c r="A6" s="1"/>
      <c r="B6" s="13"/>
      <c r="C6" s="58" t="s">
        <v>3</v>
      </c>
      <c r="D6" s="59" t="s">
        <v>4</v>
      </c>
      <c r="E6" s="60" t="s">
        <v>542</v>
      </c>
      <c r="F6" s="60" t="s">
        <v>6</v>
      </c>
      <c r="G6" s="61" t="s">
        <v>7</v>
      </c>
      <c r="H6" s="60" t="s">
        <v>8</v>
      </c>
      <c r="I6" s="62" t="s">
        <v>9</v>
      </c>
      <c r="J6" s="24" t="s">
        <v>10</v>
      </c>
    </row>
    <row r="7" spans="1:10" ht="12.95" customHeight="1">
      <c r="A7" s="1"/>
      <c r="B7" s="13"/>
      <c r="C7" s="53" t="s">
        <v>56</v>
      </c>
      <c r="D7" s="54" t="s">
        <v>1</v>
      </c>
      <c r="E7" s="54" t="s">
        <v>1</v>
      </c>
      <c r="F7" s="54" t="s">
        <v>1</v>
      </c>
      <c r="G7" s="55" t="s">
        <v>1</v>
      </c>
      <c r="H7" s="56"/>
      <c r="I7" s="57" t="s">
        <v>1</v>
      </c>
      <c r="J7" s="4" t="s">
        <v>1</v>
      </c>
    </row>
    <row r="8" spans="1:10" ht="12.95" customHeight="1">
      <c r="A8" s="1"/>
      <c r="B8" s="13"/>
      <c r="C8" s="43" t="s">
        <v>57</v>
      </c>
      <c r="D8" s="33" t="s">
        <v>1</v>
      </c>
      <c r="E8" s="33" t="s">
        <v>1</v>
      </c>
      <c r="F8" s="33" t="s">
        <v>1</v>
      </c>
      <c r="G8" s="34" t="s">
        <v>1</v>
      </c>
      <c r="H8" s="35"/>
      <c r="I8" s="44" t="s">
        <v>1</v>
      </c>
      <c r="J8" s="4" t="s">
        <v>1</v>
      </c>
    </row>
    <row r="9" spans="1:10" ht="12.95" customHeight="1">
      <c r="A9" s="2" t="s">
        <v>275</v>
      </c>
      <c r="B9" s="15"/>
      <c r="C9" s="45" t="s">
        <v>276</v>
      </c>
      <c r="D9" s="33" t="s">
        <v>277</v>
      </c>
      <c r="E9" s="33" t="s">
        <v>61</v>
      </c>
      <c r="F9" s="36">
        <v>82389</v>
      </c>
      <c r="G9" s="37">
        <v>880.57363199999998</v>
      </c>
      <c r="H9" s="38">
        <v>880.57</v>
      </c>
      <c r="I9" s="46">
        <v>5.5945448963456032E-2</v>
      </c>
      <c r="J9" s="3">
        <v>5.5899999999999998E-2</v>
      </c>
    </row>
    <row r="10" spans="1:10" ht="12.95" customHeight="1">
      <c r="A10" s="2" t="s">
        <v>278</v>
      </c>
      <c r="B10" s="15"/>
      <c r="C10" s="45" t="s">
        <v>279</v>
      </c>
      <c r="D10" s="33" t="s">
        <v>280</v>
      </c>
      <c r="E10" s="33" t="s">
        <v>121</v>
      </c>
      <c r="F10" s="36">
        <v>64000</v>
      </c>
      <c r="G10" s="37">
        <v>743.64800000000002</v>
      </c>
      <c r="H10" s="38">
        <v>743.65</v>
      </c>
      <c r="I10" s="46">
        <v>4.7246158321006995E-2</v>
      </c>
      <c r="J10" s="3">
        <v>4.7199999999999999E-2</v>
      </c>
    </row>
    <row r="11" spans="1:10" ht="12.95" customHeight="1">
      <c r="A11" s="2" t="s">
        <v>115</v>
      </c>
      <c r="B11" s="15"/>
      <c r="C11" s="45" t="s">
        <v>116</v>
      </c>
      <c r="D11" s="33" t="s">
        <v>117</v>
      </c>
      <c r="E11" s="33" t="s">
        <v>61</v>
      </c>
      <c r="F11" s="36">
        <v>243500</v>
      </c>
      <c r="G11" s="37">
        <v>658.30224999999996</v>
      </c>
      <c r="H11" s="38">
        <v>658.3</v>
      </c>
      <c r="I11" s="46">
        <v>4.1823890236476299E-2</v>
      </c>
      <c r="J11" s="3">
        <v>4.1799999999999997E-2</v>
      </c>
    </row>
    <row r="12" spans="1:10" ht="12.95" customHeight="1">
      <c r="A12" s="2" t="s">
        <v>281</v>
      </c>
      <c r="B12" s="15"/>
      <c r="C12" s="45" t="s">
        <v>282</v>
      </c>
      <c r="D12" s="33" t="s">
        <v>283</v>
      </c>
      <c r="E12" s="33" t="s">
        <v>95</v>
      </c>
      <c r="F12" s="36">
        <v>195185</v>
      </c>
      <c r="G12" s="37">
        <v>641.76828</v>
      </c>
      <c r="H12" s="38">
        <v>641.77</v>
      </c>
      <c r="I12" s="46">
        <v>4.0773438188874772E-2</v>
      </c>
      <c r="J12" s="3">
        <v>4.0800000000000003E-2</v>
      </c>
    </row>
    <row r="13" spans="1:10" ht="12.95" customHeight="1">
      <c r="A13" s="2" t="s">
        <v>284</v>
      </c>
      <c r="B13" s="15"/>
      <c r="C13" s="45" t="s">
        <v>285</v>
      </c>
      <c r="D13" s="33" t="s">
        <v>286</v>
      </c>
      <c r="E13" s="33" t="s">
        <v>65</v>
      </c>
      <c r="F13" s="36">
        <v>71500</v>
      </c>
      <c r="G13" s="37">
        <v>616.54449999999997</v>
      </c>
      <c r="H13" s="38">
        <v>616.54</v>
      </c>
      <c r="I13" s="46">
        <v>3.9170896793840768E-2</v>
      </c>
      <c r="J13" s="3">
        <v>3.9199999999999999E-2</v>
      </c>
    </row>
    <row r="14" spans="1:10" ht="12.95" customHeight="1">
      <c r="A14" s="2" t="s">
        <v>287</v>
      </c>
      <c r="B14" s="15"/>
      <c r="C14" s="45" t="s">
        <v>288</v>
      </c>
      <c r="D14" s="33" t="s">
        <v>289</v>
      </c>
      <c r="E14" s="33" t="s">
        <v>219</v>
      </c>
      <c r="F14" s="36">
        <v>12450</v>
      </c>
      <c r="G14" s="37">
        <v>583.35720000000003</v>
      </c>
      <c r="H14" s="38">
        <v>583.36</v>
      </c>
      <c r="I14" s="46">
        <v>3.7062409404583004E-2</v>
      </c>
      <c r="J14" s="3">
        <v>3.7100000000000001E-2</v>
      </c>
    </row>
    <row r="15" spans="1:10" ht="12.95" customHeight="1">
      <c r="A15" s="2" t="s">
        <v>290</v>
      </c>
      <c r="B15" s="15"/>
      <c r="C15" s="45" t="s">
        <v>291</v>
      </c>
      <c r="D15" s="33" t="s">
        <v>292</v>
      </c>
      <c r="E15" s="33" t="s">
        <v>121</v>
      </c>
      <c r="F15" s="36">
        <v>18000</v>
      </c>
      <c r="G15" s="37">
        <v>465.84899999999999</v>
      </c>
      <c r="H15" s="38">
        <v>465.85</v>
      </c>
      <c r="I15" s="46">
        <v>2.9596765684413578E-2</v>
      </c>
      <c r="J15" s="3">
        <v>2.9600000000000001E-2</v>
      </c>
    </row>
    <row r="16" spans="1:10" ht="12.95" customHeight="1">
      <c r="A16" s="2" t="s">
        <v>293</v>
      </c>
      <c r="B16" s="15"/>
      <c r="C16" s="45" t="s">
        <v>294</v>
      </c>
      <c r="D16" s="33" t="s">
        <v>295</v>
      </c>
      <c r="E16" s="33" t="s">
        <v>69</v>
      </c>
      <c r="F16" s="36">
        <v>50596</v>
      </c>
      <c r="G16" s="37">
        <v>439.37566399999997</v>
      </c>
      <c r="H16" s="38">
        <v>439.38</v>
      </c>
      <c r="I16" s="46">
        <v>2.7914836298546589E-2</v>
      </c>
      <c r="J16" s="3">
        <v>2.7900000000000001E-2</v>
      </c>
    </row>
    <row r="17" spans="1:10" ht="12.95" customHeight="1">
      <c r="A17" s="2" t="s">
        <v>296</v>
      </c>
      <c r="B17" s="15"/>
      <c r="C17" s="45" t="s">
        <v>297</v>
      </c>
      <c r="D17" s="33" t="s">
        <v>298</v>
      </c>
      <c r="E17" s="33" t="s">
        <v>61</v>
      </c>
      <c r="F17" s="36">
        <v>175000</v>
      </c>
      <c r="G17" s="37">
        <v>415.01249999999999</v>
      </c>
      <c r="H17" s="38">
        <v>415.01</v>
      </c>
      <c r="I17" s="46">
        <v>2.6366972385048995E-2</v>
      </c>
      <c r="J17" s="3">
        <v>2.64E-2</v>
      </c>
    </row>
    <row r="18" spans="1:10" ht="12.95" customHeight="1">
      <c r="A18" s="2" t="s">
        <v>85</v>
      </c>
      <c r="B18" s="15"/>
      <c r="C18" s="45" t="s">
        <v>86</v>
      </c>
      <c r="D18" s="33" t="s">
        <v>87</v>
      </c>
      <c r="E18" s="33" t="s">
        <v>61</v>
      </c>
      <c r="F18" s="36">
        <v>39700</v>
      </c>
      <c r="G18" s="37">
        <v>374.15264999999999</v>
      </c>
      <c r="H18" s="38">
        <v>374.15</v>
      </c>
      <c r="I18" s="46">
        <v>2.3771025186814621E-2</v>
      </c>
      <c r="J18" s="3">
        <v>2.3800000000000002E-2</v>
      </c>
    </row>
    <row r="19" spans="1:10" ht="12.95" customHeight="1">
      <c r="A19" s="2" t="s">
        <v>299</v>
      </c>
      <c r="B19" s="15"/>
      <c r="C19" s="45" t="s">
        <v>300</v>
      </c>
      <c r="D19" s="33" t="s">
        <v>301</v>
      </c>
      <c r="E19" s="33" t="s">
        <v>84</v>
      </c>
      <c r="F19" s="36">
        <v>30000</v>
      </c>
      <c r="G19" s="37">
        <v>363.82499999999999</v>
      </c>
      <c r="H19" s="38">
        <v>363.83</v>
      </c>
      <c r="I19" s="46">
        <v>2.3114879016874073E-2</v>
      </c>
      <c r="J19" s="3">
        <v>2.3099999999999999E-2</v>
      </c>
    </row>
    <row r="20" spans="1:10" ht="12.95" customHeight="1">
      <c r="A20" s="2" t="s">
        <v>96</v>
      </c>
      <c r="B20" s="15"/>
      <c r="C20" s="45" t="s">
        <v>97</v>
      </c>
      <c r="D20" s="33" t="s">
        <v>98</v>
      </c>
      <c r="E20" s="33" t="s">
        <v>99</v>
      </c>
      <c r="F20" s="36">
        <v>92500</v>
      </c>
      <c r="G20" s="37">
        <v>363.01625000000001</v>
      </c>
      <c r="H20" s="38">
        <v>363.02</v>
      </c>
      <c r="I20" s="46">
        <v>2.3063496735818902E-2</v>
      </c>
      <c r="J20" s="3">
        <v>2.3099999999999999E-2</v>
      </c>
    </row>
    <row r="21" spans="1:10" ht="12.95" customHeight="1">
      <c r="A21" s="2" t="s">
        <v>70</v>
      </c>
      <c r="B21" s="15"/>
      <c r="C21" s="45" t="s">
        <v>71</v>
      </c>
      <c r="D21" s="33" t="s">
        <v>72</v>
      </c>
      <c r="E21" s="33" t="s">
        <v>69</v>
      </c>
      <c r="F21" s="36">
        <v>20900</v>
      </c>
      <c r="G21" s="37">
        <v>313.97025000000002</v>
      </c>
      <c r="H21" s="38">
        <v>313.97000000000003</v>
      </c>
      <c r="I21" s="46">
        <v>1.9947459200570897E-2</v>
      </c>
      <c r="J21" s="3">
        <v>1.9900000000000001E-2</v>
      </c>
    </row>
    <row r="22" spans="1:10" ht="12.95" customHeight="1">
      <c r="A22" s="2" t="s">
        <v>58</v>
      </c>
      <c r="B22" s="15"/>
      <c r="C22" s="45" t="s">
        <v>59</v>
      </c>
      <c r="D22" s="33" t="s">
        <v>60</v>
      </c>
      <c r="E22" s="33" t="s">
        <v>61</v>
      </c>
      <c r="F22" s="36">
        <v>48000</v>
      </c>
      <c r="G22" s="37">
        <v>311.08800000000002</v>
      </c>
      <c r="H22" s="38">
        <v>311.08999999999997</v>
      </c>
      <c r="I22" s="46">
        <v>1.9764341327839816E-2</v>
      </c>
      <c r="J22" s="3">
        <v>1.9800000000000002E-2</v>
      </c>
    </row>
    <row r="23" spans="1:10" ht="12.95" customHeight="1">
      <c r="A23" s="2" t="s">
        <v>100</v>
      </c>
      <c r="B23" s="15"/>
      <c r="C23" s="45" t="s">
        <v>101</v>
      </c>
      <c r="D23" s="33" t="s">
        <v>102</v>
      </c>
      <c r="E23" s="33" t="s">
        <v>95</v>
      </c>
      <c r="F23" s="36">
        <v>36200</v>
      </c>
      <c r="G23" s="37">
        <v>304.6592</v>
      </c>
      <c r="H23" s="38">
        <v>304.66000000000003</v>
      </c>
      <c r="I23" s="46">
        <v>1.9355900637332897E-2</v>
      </c>
      <c r="J23" s="3">
        <v>1.9400000000000001E-2</v>
      </c>
    </row>
    <row r="24" spans="1:10" ht="12.95" customHeight="1">
      <c r="A24" s="2" t="s">
        <v>62</v>
      </c>
      <c r="B24" s="15"/>
      <c r="C24" s="45" t="s">
        <v>63</v>
      </c>
      <c r="D24" s="33" t="s">
        <v>64</v>
      </c>
      <c r="E24" s="33" t="s">
        <v>65</v>
      </c>
      <c r="F24" s="36">
        <v>38888</v>
      </c>
      <c r="G24" s="37">
        <v>300.97367600000001</v>
      </c>
      <c r="H24" s="38">
        <v>300.97000000000003</v>
      </c>
      <c r="I24" s="46">
        <v>1.9121748390033274E-2</v>
      </c>
      <c r="J24" s="3">
        <v>1.9099999999999999E-2</v>
      </c>
    </row>
    <row r="25" spans="1:10" ht="12.95" customHeight="1">
      <c r="A25" s="2" t="s">
        <v>92</v>
      </c>
      <c r="B25" s="15"/>
      <c r="C25" s="45" t="s">
        <v>93</v>
      </c>
      <c r="D25" s="33" t="s">
        <v>94</v>
      </c>
      <c r="E25" s="33" t="s">
        <v>95</v>
      </c>
      <c r="F25" s="36">
        <v>9700</v>
      </c>
      <c r="G25" s="37">
        <v>298.95400000000001</v>
      </c>
      <c r="H25" s="38">
        <v>298.95</v>
      </c>
      <c r="I25" s="46">
        <v>1.8993432396373452E-2</v>
      </c>
      <c r="J25" s="3">
        <v>1.9E-2</v>
      </c>
    </row>
    <row r="26" spans="1:10" ht="12.95" customHeight="1">
      <c r="A26" s="2" t="s">
        <v>302</v>
      </c>
      <c r="B26" s="15"/>
      <c r="C26" s="45" t="s">
        <v>303</v>
      </c>
      <c r="D26" s="33" t="s">
        <v>304</v>
      </c>
      <c r="E26" s="33" t="s">
        <v>95</v>
      </c>
      <c r="F26" s="36">
        <v>35000</v>
      </c>
      <c r="G26" s="37">
        <v>285.16250000000002</v>
      </c>
      <c r="H26" s="38">
        <v>285.16000000000003</v>
      </c>
      <c r="I26" s="46">
        <v>1.8117217584413804E-2</v>
      </c>
      <c r="J26" s="3">
        <v>1.8100000000000002E-2</v>
      </c>
    </row>
    <row r="27" spans="1:10" ht="12.95" customHeight="1">
      <c r="A27" s="2" t="s">
        <v>305</v>
      </c>
      <c r="B27" s="15"/>
      <c r="C27" s="45" t="s">
        <v>306</v>
      </c>
      <c r="D27" s="33" t="s">
        <v>307</v>
      </c>
      <c r="E27" s="33" t="s">
        <v>61</v>
      </c>
      <c r="F27" s="36">
        <v>55000</v>
      </c>
      <c r="G27" s="37">
        <v>272.60750000000002</v>
      </c>
      <c r="H27" s="38">
        <v>272.61</v>
      </c>
      <c r="I27" s="46">
        <v>1.7319561276966943E-2</v>
      </c>
      <c r="J27" s="3">
        <v>1.7299999999999999E-2</v>
      </c>
    </row>
    <row r="28" spans="1:10" ht="12.95" customHeight="1">
      <c r="A28" s="2" t="s">
        <v>308</v>
      </c>
      <c r="B28" s="15"/>
      <c r="C28" s="45" t="s">
        <v>552</v>
      </c>
      <c r="D28" s="33" t="s">
        <v>309</v>
      </c>
      <c r="E28" s="33" t="s">
        <v>219</v>
      </c>
      <c r="F28" s="36">
        <v>110000</v>
      </c>
      <c r="G28" s="37">
        <v>238.095</v>
      </c>
      <c r="H28" s="38">
        <v>238.1</v>
      </c>
      <c r="I28" s="46">
        <v>1.5126880009682216E-2</v>
      </c>
      <c r="J28" s="3">
        <v>1.5100000000000001E-2</v>
      </c>
    </row>
    <row r="29" spans="1:10" ht="12.95" customHeight="1">
      <c r="A29" s="2" t="s">
        <v>88</v>
      </c>
      <c r="B29" s="15"/>
      <c r="C29" s="45" t="s">
        <v>89</v>
      </c>
      <c r="D29" s="33" t="s">
        <v>90</v>
      </c>
      <c r="E29" s="33" t="s">
        <v>91</v>
      </c>
      <c r="F29" s="36">
        <v>74500</v>
      </c>
      <c r="G29" s="37">
        <v>199.8835</v>
      </c>
      <c r="H29" s="38">
        <v>199.88</v>
      </c>
      <c r="I29" s="46">
        <v>1.2699190324934649E-2</v>
      </c>
      <c r="J29" s="3">
        <v>1.2699999999999999E-2</v>
      </c>
    </row>
    <row r="30" spans="1:10" ht="12.95" customHeight="1">
      <c r="A30" s="2" t="s">
        <v>310</v>
      </c>
      <c r="B30" s="15"/>
      <c r="C30" s="45" t="s">
        <v>311</v>
      </c>
      <c r="D30" s="33" t="s">
        <v>312</v>
      </c>
      <c r="E30" s="33" t="s">
        <v>132</v>
      </c>
      <c r="F30" s="36">
        <v>7000</v>
      </c>
      <c r="G30" s="37">
        <v>187.13800000000001</v>
      </c>
      <c r="H30" s="38">
        <v>187.14</v>
      </c>
      <c r="I30" s="46">
        <v>1.1889430988689014E-2</v>
      </c>
      <c r="J30" s="3">
        <v>1.1900000000000001E-2</v>
      </c>
    </row>
    <row r="31" spans="1:10" ht="12.95" customHeight="1">
      <c r="A31" s="2" t="s">
        <v>313</v>
      </c>
      <c r="B31" s="15"/>
      <c r="C31" s="45" t="s">
        <v>314</v>
      </c>
      <c r="D31" s="33" t="s">
        <v>315</v>
      </c>
      <c r="E31" s="33" t="s">
        <v>232</v>
      </c>
      <c r="F31" s="36">
        <v>140000</v>
      </c>
      <c r="G31" s="37">
        <v>185.29</v>
      </c>
      <c r="H31" s="38">
        <v>185.29</v>
      </c>
      <c r="I31" s="46">
        <v>1.1772022079396954E-2</v>
      </c>
      <c r="J31" s="3">
        <v>1.18E-2</v>
      </c>
    </row>
    <row r="32" spans="1:10" ht="12.95" customHeight="1">
      <c r="A32" s="2" t="s">
        <v>77</v>
      </c>
      <c r="B32" s="15"/>
      <c r="C32" s="45" t="s">
        <v>78</v>
      </c>
      <c r="D32" s="33" t="s">
        <v>79</v>
      </c>
      <c r="E32" s="33" t="s">
        <v>80</v>
      </c>
      <c r="F32" s="36">
        <v>50140</v>
      </c>
      <c r="G32" s="37">
        <v>179.02486999999999</v>
      </c>
      <c r="H32" s="38">
        <v>179.02</v>
      </c>
      <c r="I32" s="46">
        <v>1.137397982838345E-2</v>
      </c>
      <c r="J32" s="3">
        <v>1.14E-2</v>
      </c>
    </row>
    <row r="33" spans="1:10" ht="12.95" customHeight="1">
      <c r="A33" s="2" t="s">
        <v>66</v>
      </c>
      <c r="B33" s="15"/>
      <c r="C33" s="45" t="s">
        <v>67</v>
      </c>
      <c r="D33" s="33" t="s">
        <v>68</v>
      </c>
      <c r="E33" s="33" t="s">
        <v>69</v>
      </c>
      <c r="F33" s="36">
        <v>7224</v>
      </c>
      <c r="G33" s="37">
        <v>178.54115999999999</v>
      </c>
      <c r="H33" s="38">
        <v>178.54</v>
      </c>
      <c r="I33" s="46">
        <v>1.1343248300508091E-2</v>
      </c>
      <c r="J33" s="3">
        <v>1.1299999999999999E-2</v>
      </c>
    </row>
    <row r="34" spans="1:10" ht="12.95" customHeight="1">
      <c r="A34" s="2" t="s">
        <v>126</v>
      </c>
      <c r="B34" s="15"/>
      <c r="C34" s="45" t="s">
        <v>127</v>
      </c>
      <c r="D34" s="33" t="s">
        <v>128</v>
      </c>
      <c r="E34" s="33" t="s">
        <v>125</v>
      </c>
      <c r="F34" s="36">
        <v>15546</v>
      </c>
      <c r="G34" s="37">
        <v>154.16968199999999</v>
      </c>
      <c r="H34" s="38">
        <v>154.16999999999999</v>
      </c>
      <c r="I34" s="46">
        <v>9.7948561739846039E-3</v>
      </c>
      <c r="J34" s="3">
        <v>9.7999999999999997E-3</v>
      </c>
    </row>
    <row r="35" spans="1:10" ht="12.95" customHeight="1">
      <c r="A35" s="2" t="s">
        <v>226</v>
      </c>
      <c r="B35" s="15"/>
      <c r="C35" s="45" t="s">
        <v>227</v>
      </c>
      <c r="D35" s="33" t="s">
        <v>228</v>
      </c>
      <c r="E35" s="33" t="s">
        <v>203</v>
      </c>
      <c r="F35" s="36">
        <v>47851</v>
      </c>
      <c r="G35" s="37">
        <v>152.0944035</v>
      </c>
      <c r="H35" s="38">
        <v>152.09</v>
      </c>
      <c r="I35" s="46">
        <v>9.6630075889400906E-3</v>
      </c>
      <c r="J35" s="3">
        <v>9.7000000000000003E-3</v>
      </c>
    </row>
    <row r="36" spans="1:10" ht="12.95" customHeight="1">
      <c r="A36" s="2" t="s">
        <v>316</v>
      </c>
      <c r="B36" s="15"/>
      <c r="C36" s="45" t="s">
        <v>317</v>
      </c>
      <c r="D36" s="33" t="s">
        <v>318</v>
      </c>
      <c r="E36" s="33" t="s">
        <v>121</v>
      </c>
      <c r="F36" s="36">
        <v>15000</v>
      </c>
      <c r="G36" s="37">
        <v>147.32249999999999</v>
      </c>
      <c r="H36" s="38">
        <v>147.32</v>
      </c>
      <c r="I36" s="46">
        <v>9.3598344367853518E-3</v>
      </c>
      <c r="J36" s="3">
        <v>9.4000000000000004E-3</v>
      </c>
    </row>
    <row r="37" spans="1:10" ht="12.95" customHeight="1">
      <c r="A37" s="2" t="s">
        <v>137</v>
      </c>
      <c r="B37" s="15"/>
      <c r="C37" s="45" t="s">
        <v>138</v>
      </c>
      <c r="D37" s="33" t="s">
        <v>139</v>
      </c>
      <c r="E37" s="33" t="s">
        <v>125</v>
      </c>
      <c r="F37" s="36">
        <v>16113</v>
      </c>
      <c r="G37" s="37">
        <v>146.2335315</v>
      </c>
      <c r="H37" s="38">
        <v>146.22999999999999</v>
      </c>
      <c r="I37" s="46">
        <v>9.2906490450979009E-3</v>
      </c>
      <c r="J37" s="3">
        <v>9.2999999999999992E-3</v>
      </c>
    </row>
    <row r="38" spans="1:10" ht="12.95" customHeight="1">
      <c r="A38" s="2" t="s">
        <v>319</v>
      </c>
      <c r="B38" s="15"/>
      <c r="C38" s="45" t="s">
        <v>320</v>
      </c>
      <c r="D38" s="33" t="s">
        <v>321</v>
      </c>
      <c r="E38" s="33" t="s">
        <v>69</v>
      </c>
      <c r="F38" s="36">
        <v>6700</v>
      </c>
      <c r="G38" s="37">
        <v>136.27799999999999</v>
      </c>
      <c r="H38" s="38">
        <v>136.28</v>
      </c>
      <c r="I38" s="46">
        <v>8.6581446647744521E-3</v>
      </c>
      <c r="J38" s="3">
        <v>8.6999999999999994E-3</v>
      </c>
    </row>
    <row r="39" spans="1:10" ht="12.95" customHeight="1">
      <c r="A39" s="2" t="s">
        <v>106</v>
      </c>
      <c r="B39" s="15"/>
      <c r="C39" s="45" t="s">
        <v>107</v>
      </c>
      <c r="D39" s="33" t="s">
        <v>108</v>
      </c>
      <c r="E39" s="33" t="s">
        <v>76</v>
      </c>
      <c r="F39" s="36">
        <v>87000</v>
      </c>
      <c r="G39" s="37">
        <v>135.41550000000001</v>
      </c>
      <c r="H39" s="38">
        <v>135.41999999999999</v>
      </c>
      <c r="I39" s="46">
        <v>8.6033474871422006E-3</v>
      </c>
      <c r="J39" s="3">
        <v>8.6E-3</v>
      </c>
    </row>
    <row r="40" spans="1:10" ht="12.95" customHeight="1">
      <c r="A40" s="2" t="s">
        <v>322</v>
      </c>
      <c r="B40" s="15"/>
      <c r="C40" s="45" t="s">
        <v>323</v>
      </c>
      <c r="D40" s="33" t="s">
        <v>324</v>
      </c>
      <c r="E40" s="33" t="s">
        <v>95</v>
      </c>
      <c r="F40" s="36">
        <v>43000</v>
      </c>
      <c r="G40" s="37">
        <v>118.68</v>
      </c>
      <c r="H40" s="38">
        <v>118.68</v>
      </c>
      <c r="I40" s="46">
        <v>7.5400916421978006E-3</v>
      </c>
      <c r="J40" s="3">
        <v>7.4999999999999997E-3</v>
      </c>
    </row>
    <row r="41" spans="1:10" ht="12.95" customHeight="1">
      <c r="A41" s="2" t="s">
        <v>325</v>
      </c>
      <c r="B41" s="15"/>
      <c r="C41" s="45" t="s">
        <v>326</v>
      </c>
      <c r="D41" s="33" t="s">
        <v>327</v>
      </c>
      <c r="E41" s="33" t="s">
        <v>328</v>
      </c>
      <c r="F41" s="36">
        <v>33000</v>
      </c>
      <c r="G41" s="37">
        <v>111.4905</v>
      </c>
      <c r="H41" s="38">
        <v>111.49</v>
      </c>
      <c r="I41" s="46">
        <v>7.0833214293432251E-3</v>
      </c>
      <c r="J41" s="3">
        <v>7.1000000000000004E-3</v>
      </c>
    </row>
    <row r="42" spans="1:10" ht="12.95" customHeight="1">
      <c r="A42" s="2" t="s">
        <v>329</v>
      </c>
      <c r="B42" s="15"/>
      <c r="C42" s="45" t="s">
        <v>330</v>
      </c>
      <c r="D42" s="33" t="s">
        <v>331</v>
      </c>
      <c r="E42" s="33" t="s">
        <v>332</v>
      </c>
      <c r="F42" s="36">
        <v>34000</v>
      </c>
      <c r="G42" s="37">
        <v>111.384</v>
      </c>
      <c r="H42" s="38">
        <v>111.38</v>
      </c>
      <c r="I42" s="46">
        <v>7.0765551691486335E-3</v>
      </c>
      <c r="J42" s="3">
        <v>7.1000000000000004E-3</v>
      </c>
    </row>
    <row r="43" spans="1:10" ht="12.95" customHeight="1">
      <c r="A43" s="2" t="s">
        <v>333</v>
      </c>
      <c r="B43" s="15"/>
      <c r="C43" s="45" t="s">
        <v>334</v>
      </c>
      <c r="D43" s="33" t="s">
        <v>335</v>
      </c>
      <c r="E43" s="33" t="s">
        <v>91</v>
      </c>
      <c r="F43" s="36">
        <v>7500</v>
      </c>
      <c r="G43" s="37">
        <v>109.96875</v>
      </c>
      <c r="H43" s="38">
        <v>109.97</v>
      </c>
      <c r="I43" s="46">
        <v>6.9866401481120614E-3</v>
      </c>
      <c r="J43" s="3">
        <v>7.0000000000000001E-3</v>
      </c>
    </row>
    <row r="44" spans="1:10" ht="12.95" customHeight="1">
      <c r="A44" s="2" t="s">
        <v>182</v>
      </c>
      <c r="B44" s="15"/>
      <c r="C44" s="45" t="s">
        <v>183</v>
      </c>
      <c r="D44" s="33" t="s">
        <v>184</v>
      </c>
      <c r="E44" s="33" t="s">
        <v>125</v>
      </c>
      <c r="F44" s="36">
        <v>5100</v>
      </c>
      <c r="G44" s="37">
        <v>49.447049999999997</v>
      </c>
      <c r="H44" s="38">
        <v>49.45</v>
      </c>
      <c r="I44" s="46">
        <v>3.141517428685008E-3</v>
      </c>
      <c r="J44" s="3">
        <v>3.0999999999999999E-3</v>
      </c>
    </row>
    <row r="45" spans="1:10" ht="12.95" customHeight="1">
      <c r="A45" s="2" t="s">
        <v>336</v>
      </c>
      <c r="B45" s="15"/>
      <c r="C45" s="45" t="s">
        <v>337</v>
      </c>
      <c r="D45" s="33" t="s">
        <v>338</v>
      </c>
      <c r="E45" s="33" t="s">
        <v>80</v>
      </c>
      <c r="F45" s="36">
        <v>6000</v>
      </c>
      <c r="G45" s="37">
        <v>17.940000000000001</v>
      </c>
      <c r="H45" s="38">
        <v>17.940000000000001</v>
      </c>
      <c r="I45" s="46">
        <v>1.1397812947508304E-3</v>
      </c>
      <c r="J45" s="3">
        <v>1.1000000000000001E-3</v>
      </c>
    </row>
    <row r="46" spans="1:10" ht="12.95" customHeight="1">
      <c r="A46" s="1"/>
      <c r="B46" s="13"/>
      <c r="C46" s="43" t="s">
        <v>33</v>
      </c>
      <c r="D46" s="33" t="s">
        <v>1</v>
      </c>
      <c r="E46" s="33" t="s">
        <v>1</v>
      </c>
      <c r="F46" s="33" t="s">
        <v>1</v>
      </c>
      <c r="G46" s="39">
        <v>11191.236499000001</v>
      </c>
      <c r="H46" s="40">
        <v>11191.23</v>
      </c>
      <c r="I46" s="47">
        <v>0.71101237606984224</v>
      </c>
      <c r="J46" s="26">
        <v>0.71109999999999995</v>
      </c>
    </row>
    <row r="47" spans="1:10" ht="12.95" customHeight="1">
      <c r="A47" s="1"/>
      <c r="B47" s="13"/>
      <c r="C47" s="43" t="s">
        <v>272</v>
      </c>
      <c r="D47" s="33" t="s">
        <v>1</v>
      </c>
      <c r="E47" s="33" t="s">
        <v>1</v>
      </c>
      <c r="F47" s="33" t="s">
        <v>1</v>
      </c>
      <c r="G47" s="39" t="s">
        <v>273</v>
      </c>
      <c r="H47" s="42" t="s">
        <v>273</v>
      </c>
      <c r="I47" s="47" t="s">
        <v>273</v>
      </c>
      <c r="J47" s="27" t="s">
        <v>273</v>
      </c>
    </row>
    <row r="48" spans="1:10" ht="12.95" customHeight="1">
      <c r="A48" s="1"/>
      <c r="B48" s="13"/>
      <c r="C48" s="43" t="s">
        <v>33</v>
      </c>
      <c r="D48" s="33" t="s">
        <v>1</v>
      </c>
      <c r="E48" s="33" t="s">
        <v>1</v>
      </c>
      <c r="F48" s="33" t="s">
        <v>1</v>
      </c>
      <c r="G48" s="39" t="s">
        <v>273</v>
      </c>
      <c r="H48" s="42" t="s">
        <v>273</v>
      </c>
      <c r="I48" s="47" t="s">
        <v>273</v>
      </c>
      <c r="J48" s="27" t="s">
        <v>273</v>
      </c>
    </row>
    <row r="49" spans="1:10" ht="12.95" customHeight="1">
      <c r="A49" s="1"/>
      <c r="B49" s="13"/>
      <c r="C49" s="43" t="s">
        <v>45</v>
      </c>
      <c r="D49" s="33" t="s">
        <v>1</v>
      </c>
      <c r="E49" s="33" t="s">
        <v>1</v>
      </c>
      <c r="F49" s="33" t="s">
        <v>1</v>
      </c>
      <c r="G49" s="39">
        <v>11191.236499000001</v>
      </c>
      <c r="H49" s="40">
        <v>11191.23</v>
      </c>
      <c r="I49" s="47">
        <v>0.71101237606984224</v>
      </c>
      <c r="J49" s="26">
        <v>0.71109999999999995</v>
      </c>
    </row>
    <row r="50" spans="1:10" ht="12.95" customHeight="1">
      <c r="A50" s="1"/>
      <c r="B50" s="13"/>
      <c r="C50" s="43"/>
      <c r="D50" s="33"/>
      <c r="E50" s="33"/>
      <c r="F50" s="33"/>
      <c r="G50" s="39"/>
      <c r="H50" s="40"/>
      <c r="I50" s="47"/>
      <c r="J50" s="63"/>
    </row>
    <row r="51" spans="1:10" ht="12.95" customHeight="1">
      <c r="A51" s="1"/>
      <c r="B51" s="13"/>
      <c r="C51" s="43" t="s">
        <v>339</v>
      </c>
      <c r="D51" s="33" t="s">
        <v>1</v>
      </c>
      <c r="E51" s="33" t="s">
        <v>1</v>
      </c>
      <c r="F51" s="33" t="s">
        <v>1</v>
      </c>
      <c r="G51" s="34" t="s">
        <v>1</v>
      </c>
      <c r="H51" s="35"/>
      <c r="I51" s="44" t="s">
        <v>1</v>
      </c>
      <c r="J51" s="4" t="s">
        <v>1</v>
      </c>
    </row>
    <row r="52" spans="1:10" ht="12.95" customHeight="1">
      <c r="A52" s="1"/>
      <c r="B52" s="13"/>
      <c r="C52" s="43" t="s">
        <v>340</v>
      </c>
      <c r="D52" s="33" t="s">
        <v>1</v>
      </c>
      <c r="E52" s="33" t="s">
        <v>1</v>
      </c>
      <c r="F52" s="33" t="s">
        <v>1</v>
      </c>
      <c r="G52" s="34" t="s">
        <v>1</v>
      </c>
      <c r="H52" s="35"/>
      <c r="I52" s="44" t="s">
        <v>1</v>
      </c>
      <c r="J52" s="4" t="s">
        <v>1</v>
      </c>
    </row>
    <row r="53" spans="1:10" ht="12.95" customHeight="1">
      <c r="A53" s="2" t="s">
        <v>341</v>
      </c>
      <c r="B53" s="15"/>
      <c r="C53" s="45" t="s">
        <v>342</v>
      </c>
      <c r="D53" s="33" t="s">
        <v>343</v>
      </c>
      <c r="E53" s="33" t="s">
        <v>344</v>
      </c>
      <c r="F53" s="36">
        <v>1000000</v>
      </c>
      <c r="G53" s="37">
        <v>1041.9000000000001</v>
      </c>
      <c r="H53" s="38">
        <v>1041.9000000000001</v>
      </c>
      <c r="I53" s="46">
        <v>6.6194990579759763E-2</v>
      </c>
      <c r="J53" s="3">
        <v>6.6199999999999995E-2</v>
      </c>
    </row>
    <row r="54" spans="1:10" ht="12.95" customHeight="1">
      <c r="A54" s="2" t="s">
        <v>345</v>
      </c>
      <c r="B54" s="15"/>
      <c r="C54" s="45" t="s">
        <v>346</v>
      </c>
      <c r="D54" s="33" t="s">
        <v>347</v>
      </c>
      <c r="E54" s="33" t="s">
        <v>348</v>
      </c>
      <c r="F54" s="36">
        <v>1000000</v>
      </c>
      <c r="G54" s="37">
        <v>1009.259</v>
      </c>
      <c r="H54" s="38">
        <v>1009.26</v>
      </c>
      <c r="I54" s="46">
        <v>6.4121211246317075E-2</v>
      </c>
      <c r="J54" s="3">
        <v>6.4100000000000004E-2</v>
      </c>
    </row>
    <row r="55" spans="1:10" ht="12.95" customHeight="1">
      <c r="A55" s="2" t="s">
        <v>349</v>
      </c>
      <c r="B55" s="15"/>
      <c r="C55" s="45" t="s">
        <v>350</v>
      </c>
      <c r="D55" s="33" t="s">
        <v>351</v>
      </c>
      <c r="E55" s="33" t="s">
        <v>344</v>
      </c>
      <c r="F55" s="36">
        <v>500000</v>
      </c>
      <c r="G55" s="37">
        <v>506.05</v>
      </c>
      <c r="H55" s="38">
        <v>506.05</v>
      </c>
      <c r="I55" s="46">
        <v>3.2150854192232868E-2</v>
      </c>
      <c r="J55" s="3">
        <v>3.2199999999999999E-2</v>
      </c>
    </row>
    <row r="56" spans="1:10" ht="12.95" customHeight="1">
      <c r="A56" s="2" t="s">
        <v>352</v>
      </c>
      <c r="B56" s="15"/>
      <c r="C56" s="45" t="s">
        <v>353</v>
      </c>
      <c r="D56" s="33" t="s">
        <v>354</v>
      </c>
      <c r="E56" s="33" t="s">
        <v>348</v>
      </c>
      <c r="F56" s="36">
        <v>500000</v>
      </c>
      <c r="G56" s="37">
        <v>504.548</v>
      </c>
      <c r="H56" s="38">
        <v>504.55</v>
      </c>
      <c r="I56" s="46">
        <v>3.2055427686953283E-2</v>
      </c>
      <c r="J56" s="3">
        <v>3.2099999999999997E-2</v>
      </c>
    </row>
    <row r="57" spans="1:10" ht="12.95" customHeight="1">
      <c r="A57" s="2" t="s">
        <v>355</v>
      </c>
      <c r="B57" s="15"/>
      <c r="C57" s="45" t="s">
        <v>356</v>
      </c>
      <c r="D57" s="33" t="s">
        <v>357</v>
      </c>
      <c r="E57" s="33" t="s">
        <v>348</v>
      </c>
      <c r="F57" s="36">
        <v>500000</v>
      </c>
      <c r="G57" s="37">
        <v>504.51</v>
      </c>
      <c r="H57" s="38">
        <v>504.51</v>
      </c>
      <c r="I57" s="46">
        <v>3.2053013434489491E-2</v>
      </c>
      <c r="J57" s="3">
        <v>3.2099999999999997E-2</v>
      </c>
    </row>
    <row r="58" spans="1:10" ht="12.95" customHeight="1">
      <c r="A58" s="1"/>
      <c r="B58" s="13"/>
      <c r="C58" s="43" t="s">
        <v>33</v>
      </c>
      <c r="D58" s="33" t="s">
        <v>1</v>
      </c>
      <c r="E58" s="33" t="s">
        <v>1</v>
      </c>
      <c r="F58" s="33" t="s">
        <v>1</v>
      </c>
      <c r="G58" s="39">
        <v>3566.2669999999998</v>
      </c>
      <c r="H58" s="40">
        <v>3566.27</v>
      </c>
      <c r="I58" s="47">
        <v>0.22657549713975247</v>
      </c>
      <c r="J58" s="26">
        <v>0.22670000000000001</v>
      </c>
    </row>
    <row r="59" spans="1:10" ht="12.95" customHeight="1">
      <c r="A59" s="1"/>
      <c r="B59" s="13"/>
      <c r="C59" s="43" t="s">
        <v>358</v>
      </c>
      <c r="D59" s="33" t="s">
        <v>1</v>
      </c>
      <c r="E59" s="33" t="s">
        <v>1</v>
      </c>
      <c r="F59" s="33" t="s">
        <v>1</v>
      </c>
      <c r="G59" s="39" t="s">
        <v>273</v>
      </c>
      <c r="H59" s="42" t="s">
        <v>273</v>
      </c>
      <c r="I59" s="47" t="s">
        <v>273</v>
      </c>
      <c r="J59" s="27" t="s">
        <v>273</v>
      </c>
    </row>
    <row r="60" spans="1:10" ht="12.95" customHeight="1">
      <c r="A60" s="1"/>
      <c r="B60" s="13"/>
      <c r="C60" s="43" t="s">
        <v>550</v>
      </c>
      <c r="D60" s="33" t="s">
        <v>1</v>
      </c>
      <c r="E60" s="33" t="s">
        <v>1</v>
      </c>
      <c r="F60" s="33" t="s">
        <v>1</v>
      </c>
      <c r="G60" s="39" t="s">
        <v>273</v>
      </c>
      <c r="H60" s="42" t="s">
        <v>273</v>
      </c>
      <c r="I60" s="47" t="s">
        <v>273</v>
      </c>
      <c r="J60" s="27" t="s">
        <v>273</v>
      </c>
    </row>
    <row r="61" spans="1:10" ht="12.95" customHeight="1">
      <c r="A61" s="1"/>
      <c r="B61" s="13"/>
      <c r="C61" s="43" t="s">
        <v>33</v>
      </c>
      <c r="D61" s="33"/>
      <c r="E61" s="33"/>
      <c r="F61" s="33"/>
      <c r="G61" s="39">
        <v>3566.2669999999998</v>
      </c>
      <c r="H61" s="40">
        <v>3566.27</v>
      </c>
      <c r="I61" s="47">
        <v>0.22657549713975247</v>
      </c>
      <c r="J61" s="138"/>
    </row>
    <row r="62" spans="1:10" ht="12.95" customHeight="1">
      <c r="A62" s="1"/>
      <c r="B62" s="13"/>
      <c r="C62" s="43"/>
      <c r="D62" s="33"/>
      <c r="E62" s="33"/>
      <c r="F62" s="33"/>
      <c r="G62" s="39"/>
      <c r="H62" s="40"/>
      <c r="I62" s="47"/>
      <c r="J62" s="138"/>
    </row>
    <row r="63" spans="1:10" ht="12.95" customHeight="1">
      <c r="A63" s="1"/>
      <c r="B63" s="13"/>
      <c r="C63" s="43" t="s">
        <v>46</v>
      </c>
      <c r="D63" s="33" t="s">
        <v>1</v>
      </c>
      <c r="E63" s="33" t="s">
        <v>1</v>
      </c>
      <c r="F63" s="33" t="s">
        <v>1</v>
      </c>
      <c r="G63" s="34" t="s">
        <v>1</v>
      </c>
      <c r="H63" s="35"/>
      <c r="I63" s="44" t="s">
        <v>1</v>
      </c>
      <c r="J63" s="4" t="s">
        <v>1</v>
      </c>
    </row>
    <row r="64" spans="1:10" ht="12.95" customHeight="1">
      <c r="A64" s="2" t="s">
        <v>47</v>
      </c>
      <c r="B64" s="15"/>
      <c r="C64" s="45" t="s">
        <v>48</v>
      </c>
      <c r="D64" s="33" t="s">
        <v>1</v>
      </c>
      <c r="E64" s="33" t="s">
        <v>49</v>
      </c>
      <c r="F64" s="36"/>
      <c r="G64" s="37">
        <v>1464.4526000000001</v>
      </c>
      <c r="H64" s="38">
        <v>1464.45</v>
      </c>
      <c r="I64" s="46">
        <v>9.3041007833289849E-2</v>
      </c>
      <c r="J64" s="3">
        <v>9.2999999999999999E-2</v>
      </c>
    </row>
    <row r="65" spans="1:10" ht="12.95" customHeight="1">
      <c r="A65" s="1"/>
      <c r="B65" s="13"/>
      <c r="C65" s="43" t="s">
        <v>33</v>
      </c>
      <c r="D65" s="33" t="s">
        <v>1</v>
      </c>
      <c r="E65" s="33" t="s">
        <v>1</v>
      </c>
      <c r="F65" s="33" t="s">
        <v>1</v>
      </c>
      <c r="G65" s="39">
        <v>1464.4526000000001</v>
      </c>
      <c r="H65" s="40">
        <v>1464.45</v>
      </c>
      <c r="I65" s="47">
        <v>9.3041007833289849E-2</v>
      </c>
      <c r="J65" s="26">
        <v>9.2999999999999999E-2</v>
      </c>
    </row>
    <row r="66" spans="1:10" ht="12.95" customHeight="1">
      <c r="A66" s="1"/>
      <c r="B66" s="13"/>
      <c r="C66" s="43"/>
      <c r="D66" s="33"/>
      <c r="E66" s="33"/>
      <c r="F66" s="33"/>
      <c r="G66" s="39"/>
      <c r="H66" s="40"/>
      <c r="I66" s="47"/>
      <c r="J66" s="26"/>
    </row>
    <row r="67" spans="1:10" ht="12.95" customHeight="1">
      <c r="A67" s="1"/>
      <c r="B67" s="13"/>
      <c r="C67" s="43" t="s">
        <v>414</v>
      </c>
      <c r="D67" s="33"/>
      <c r="E67" s="33"/>
      <c r="F67" s="33"/>
      <c r="G67" s="39"/>
      <c r="H67" s="40"/>
      <c r="I67" s="47"/>
      <c r="J67" s="26"/>
    </row>
    <row r="68" spans="1:10" ht="12.95" customHeight="1">
      <c r="A68" s="1"/>
      <c r="B68" s="13"/>
      <c r="C68" s="139" t="s">
        <v>50</v>
      </c>
      <c r="D68" s="33" t="s">
        <v>1</v>
      </c>
      <c r="E68" s="33" t="s">
        <v>1</v>
      </c>
      <c r="F68" s="33" t="s">
        <v>1</v>
      </c>
      <c r="G68" s="75">
        <v>-482.09435304819999</v>
      </c>
      <c r="H68" s="76">
        <v>-482.09</v>
      </c>
      <c r="I68" s="77">
        <v>-3.0628881042884575E-2</v>
      </c>
      <c r="J68" s="26">
        <v>-3.0800000000000001E-2</v>
      </c>
    </row>
    <row r="69" spans="1:10" ht="12.95" customHeight="1">
      <c r="A69" s="1"/>
      <c r="B69" s="13"/>
      <c r="C69" s="43" t="s">
        <v>33</v>
      </c>
      <c r="D69" s="33"/>
      <c r="E69" s="33"/>
      <c r="F69" s="33"/>
      <c r="G69" s="39">
        <v>-482.09435304819999</v>
      </c>
      <c r="H69" s="40">
        <v>-482.09</v>
      </c>
      <c r="I69" s="47">
        <v>-3.0628881042884575E-2</v>
      </c>
      <c r="J69" s="74"/>
    </row>
    <row r="70" spans="1:10" ht="12.95" customHeight="1">
      <c r="A70" s="1"/>
      <c r="B70" s="13"/>
      <c r="C70" s="43" t="s">
        <v>45</v>
      </c>
      <c r="D70" s="33"/>
      <c r="E70" s="33"/>
      <c r="F70" s="33"/>
      <c r="G70" s="39">
        <f>G65+G69</f>
        <v>982.35824695180008</v>
      </c>
      <c r="H70" s="39">
        <f t="shared" ref="H70:I70" si="0">H65+H69</f>
        <v>982.36000000000013</v>
      </c>
      <c r="I70" s="47">
        <f t="shared" si="0"/>
        <v>6.2412126790405274E-2</v>
      </c>
      <c r="J70" s="74"/>
    </row>
    <row r="71" spans="1:10" ht="12.95" customHeight="1" thickBot="1">
      <c r="A71" s="1"/>
      <c r="B71" s="13"/>
      <c r="C71" s="48" t="s">
        <v>51</v>
      </c>
      <c r="D71" s="49" t="s">
        <v>1</v>
      </c>
      <c r="E71" s="49" t="s">
        <v>1</v>
      </c>
      <c r="F71" s="49" t="s">
        <v>1</v>
      </c>
      <c r="G71" s="50">
        <v>15739.861745951799</v>
      </c>
      <c r="H71" s="51">
        <v>15739.86</v>
      </c>
      <c r="I71" s="52">
        <v>1</v>
      </c>
      <c r="J71" s="28">
        <v>1</v>
      </c>
    </row>
    <row r="72" spans="1:10" s="16" customFormat="1" ht="12.95" customHeight="1">
      <c r="A72" s="13"/>
      <c r="B72" s="13"/>
      <c r="C72" s="14" t="s">
        <v>1</v>
      </c>
      <c r="D72" s="13"/>
      <c r="E72" s="13"/>
      <c r="F72" s="13"/>
      <c r="G72" s="18"/>
      <c r="H72" s="13"/>
      <c r="I72" s="19"/>
      <c r="J72" s="13"/>
    </row>
    <row r="73" spans="1:10" s="16" customFormat="1" ht="12.95" customHeight="1">
      <c r="A73" s="13"/>
      <c r="B73" s="13"/>
      <c r="C73" s="21" t="s">
        <v>49</v>
      </c>
      <c r="D73" s="13"/>
      <c r="E73" s="13"/>
      <c r="F73" s="13"/>
      <c r="G73" s="18"/>
      <c r="H73" s="13"/>
      <c r="I73" s="19"/>
      <c r="J73" s="13"/>
    </row>
    <row r="74" spans="1:10" s="16" customFormat="1" ht="12.95" customHeight="1">
      <c r="A74" s="13"/>
      <c r="B74" s="13"/>
      <c r="C74" s="21" t="s">
        <v>52</v>
      </c>
      <c r="D74" s="13"/>
      <c r="E74" s="13"/>
      <c r="F74" s="13"/>
      <c r="G74" s="18"/>
      <c r="H74" s="13"/>
      <c r="I74" s="19"/>
      <c r="J74" s="13"/>
    </row>
    <row r="75" spans="1:10" s="16" customFormat="1" ht="12.95" customHeight="1">
      <c r="A75" s="13"/>
      <c r="B75" s="13"/>
      <c r="C75" s="21" t="s">
        <v>539</v>
      </c>
      <c r="D75" s="13"/>
      <c r="E75" s="13"/>
      <c r="F75" s="13"/>
      <c r="G75" s="18"/>
      <c r="H75" s="13"/>
      <c r="I75" s="19"/>
      <c r="J75" s="13"/>
    </row>
    <row r="76" spans="1:10" s="16" customFormat="1" ht="12.95" customHeight="1" thickBot="1">
      <c r="A76" s="13"/>
      <c r="B76" s="13"/>
      <c r="C76" s="21" t="s">
        <v>1</v>
      </c>
      <c r="D76" s="13"/>
      <c r="E76" s="13"/>
      <c r="F76" s="13"/>
      <c r="G76" s="18"/>
      <c r="H76" s="13"/>
      <c r="I76" s="19"/>
      <c r="J76" s="13"/>
    </row>
    <row r="77" spans="1:10" s="16" customFormat="1" ht="13.5" thickBot="1">
      <c r="C77" s="86" t="s">
        <v>555</v>
      </c>
      <c r="D77" s="81">
        <v>7.9500000000000001E-2</v>
      </c>
      <c r="G77" s="22"/>
      <c r="I77" s="23"/>
    </row>
    <row r="78" spans="1:10" s="16" customFormat="1">
      <c r="G78" s="22"/>
      <c r="I78" s="23"/>
    </row>
    <row r="79" spans="1:10" s="16" customFormat="1">
      <c r="G79" s="22"/>
      <c r="I79" s="23"/>
    </row>
    <row r="80" spans="1:10" s="16" customFormat="1">
      <c r="G80" s="22"/>
      <c r="I80" s="23"/>
    </row>
    <row r="81" spans="7:9" s="16" customFormat="1">
      <c r="G81" s="22"/>
      <c r="I81" s="23"/>
    </row>
    <row r="82" spans="7:9" s="16" customFormat="1">
      <c r="G82" s="22"/>
      <c r="I82" s="23"/>
    </row>
    <row r="83" spans="7:9" s="16" customFormat="1">
      <c r="G83" s="22"/>
      <c r="I83" s="23"/>
    </row>
    <row r="84" spans="7:9" s="16" customFormat="1">
      <c r="G84" s="22"/>
      <c r="I84" s="23"/>
    </row>
    <row r="85" spans="7:9" s="16" customFormat="1">
      <c r="G85" s="22"/>
      <c r="I85" s="23"/>
    </row>
    <row r="86" spans="7:9" s="16" customFormat="1">
      <c r="G86" s="22"/>
      <c r="I86" s="23"/>
    </row>
    <row r="87" spans="7:9" s="16" customFormat="1">
      <c r="G87" s="22"/>
      <c r="I87" s="23"/>
    </row>
    <row r="88" spans="7:9" s="16" customFormat="1">
      <c r="G88" s="22"/>
      <c r="I88" s="23"/>
    </row>
    <row r="89" spans="7:9" s="16" customFormat="1">
      <c r="G89" s="22"/>
      <c r="I89" s="23"/>
    </row>
    <row r="90" spans="7:9" s="16" customFormat="1">
      <c r="G90" s="22"/>
      <c r="I90" s="23"/>
    </row>
    <row r="91" spans="7:9" s="16" customFormat="1">
      <c r="G91" s="22"/>
      <c r="I91" s="23"/>
    </row>
    <row r="92" spans="7:9" s="16" customFormat="1">
      <c r="G92" s="22"/>
      <c r="I92" s="23"/>
    </row>
    <row r="93" spans="7:9" s="16" customFormat="1">
      <c r="G93" s="22"/>
      <c r="I93" s="23"/>
    </row>
    <row r="94" spans="7:9" s="16" customFormat="1">
      <c r="G94" s="22"/>
      <c r="I94" s="23"/>
    </row>
    <row r="95" spans="7:9" s="16" customFormat="1">
      <c r="G95" s="22"/>
      <c r="I95" s="23"/>
    </row>
    <row r="96" spans="7:9" s="16" customFormat="1">
      <c r="G96" s="22"/>
      <c r="I96" s="23"/>
    </row>
    <row r="97" spans="7:9" s="16" customFormat="1">
      <c r="G97" s="22"/>
      <c r="I97" s="23"/>
    </row>
    <row r="98" spans="7:9" s="16" customFormat="1">
      <c r="G98" s="22"/>
      <c r="I98" s="23"/>
    </row>
    <row r="99" spans="7:9" s="16" customFormat="1">
      <c r="G99" s="22"/>
      <c r="I99" s="23"/>
    </row>
    <row r="100" spans="7:9" s="16" customFormat="1">
      <c r="G100" s="22"/>
      <c r="I100" s="23"/>
    </row>
    <row r="101" spans="7:9" s="16" customFormat="1">
      <c r="G101" s="22"/>
      <c r="I101" s="23"/>
    </row>
    <row r="102" spans="7:9" s="16" customFormat="1">
      <c r="G102" s="22"/>
      <c r="I102" s="23"/>
    </row>
    <row r="103" spans="7:9" s="16" customFormat="1">
      <c r="G103" s="22"/>
      <c r="I103" s="23"/>
    </row>
    <row r="104" spans="7:9" s="16" customFormat="1">
      <c r="G104" s="22"/>
      <c r="I104" s="23"/>
    </row>
    <row r="105" spans="7:9" s="16" customFormat="1">
      <c r="G105" s="22"/>
      <c r="I105" s="23"/>
    </row>
    <row r="106" spans="7:9" s="16" customFormat="1">
      <c r="G106" s="22"/>
      <c r="I106" s="23"/>
    </row>
    <row r="107" spans="7:9" s="16" customFormat="1">
      <c r="G107" s="22"/>
      <c r="I107" s="23"/>
    </row>
    <row r="108" spans="7:9" s="16" customFormat="1">
      <c r="G108" s="22"/>
      <c r="I108" s="23"/>
    </row>
    <row r="109" spans="7:9" s="16" customFormat="1">
      <c r="G109" s="22"/>
      <c r="I109" s="23"/>
    </row>
    <row r="110" spans="7:9" s="16" customFormat="1">
      <c r="G110" s="22"/>
      <c r="I110" s="23"/>
    </row>
    <row r="111" spans="7:9" s="16" customFormat="1">
      <c r="G111" s="22"/>
      <c r="I111" s="23"/>
    </row>
    <row r="112" spans="7:9" s="16" customFormat="1">
      <c r="G112" s="22"/>
      <c r="I112" s="23"/>
    </row>
    <row r="113" spans="7:9" s="16" customFormat="1">
      <c r="G113" s="22"/>
      <c r="I113" s="23"/>
    </row>
    <row r="114" spans="7:9" s="16" customFormat="1">
      <c r="G114" s="22"/>
      <c r="I114" s="23"/>
    </row>
    <row r="115" spans="7:9" s="16" customFormat="1">
      <c r="G115" s="22"/>
      <c r="I115" s="23"/>
    </row>
    <row r="116" spans="7:9" s="16" customFormat="1">
      <c r="G116" s="22"/>
      <c r="I116" s="23"/>
    </row>
    <row r="117" spans="7:9" s="16" customFormat="1">
      <c r="G117" s="22"/>
      <c r="I117" s="23"/>
    </row>
    <row r="118" spans="7:9" s="16" customFormat="1">
      <c r="G118" s="22"/>
      <c r="I118" s="23"/>
    </row>
    <row r="119" spans="7:9" s="16" customFormat="1">
      <c r="G119" s="22"/>
      <c r="I119" s="23"/>
    </row>
    <row r="120" spans="7:9" s="16" customFormat="1">
      <c r="G120" s="22"/>
      <c r="I120" s="23"/>
    </row>
    <row r="121" spans="7:9" s="16" customFormat="1">
      <c r="G121" s="22"/>
      <c r="I121" s="23"/>
    </row>
    <row r="122" spans="7:9" s="16" customFormat="1">
      <c r="G122" s="22"/>
      <c r="I122" s="23"/>
    </row>
    <row r="123" spans="7:9" s="16" customFormat="1">
      <c r="G123" s="22"/>
      <c r="I123" s="23"/>
    </row>
    <row r="124" spans="7:9" s="16" customFormat="1">
      <c r="G124" s="22"/>
      <c r="I124" s="23"/>
    </row>
    <row r="125" spans="7:9" s="16" customFormat="1">
      <c r="G125" s="22"/>
      <c r="I125" s="23"/>
    </row>
    <row r="126" spans="7:9" s="16" customFormat="1">
      <c r="G126" s="22"/>
      <c r="I126" s="23"/>
    </row>
    <row r="127" spans="7:9" s="16" customFormat="1">
      <c r="G127" s="22"/>
      <c r="I127" s="23"/>
    </row>
    <row r="128" spans="7:9" s="16" customFormat="1">
      <c r="G128" s="22"/>
      <c r="I128" s="23"/>
    </row>
    <row r="129" spans="7:9" s="16" customFormat="1">
      <c r="G129" s="22"/>
      <c r="I129" s="23"/>
    </row>
    <row r="130" spans="7:9" s="16" customFormat="1">
      <c r="G130" s="22"/>
      <c r="I130" s="23"/>
    </row>
    <row r="131" spans="7:9" s="16" customFormat="1">
      <c r="G131" s="22"/>
      <c r="I131" s="23"/>
    </row>
    <row r="132" spans="7:9" s="16" customFormat="1">
      <c r="G132" s="22"/>
      <c r="I132" s="23"/>
    </row>
    <row r="133" spans="7:9" s="16" customFormat="1">
      <c r="G133" s="22"/>
      <c r="I133" s="23"/>
    </row>
    <row r="134" spans="7:9" s="16" customFormat="1">
      <c r="G134" s="22"/>
      <c r="I134" s="23"/>
    </row>
    <row r="135" spans="7:9" s="16" customFormat="1">
      <c r="G135" s="22"/>
      <c r="I135" s="23"/>
    </row>
    <row r="136" spans="7:9" s="16" customFormat="1">
      <c r="G136" s="22"/>
      <c r="I136" s="23"/>
    </row>
    <row r="137" spans="7:9" s="16" customFormat="1">
      <c r="G137" s="22"/>
      <c r="I137" s="23"/>
    </row>
    <row r="138" spans="7:9" s="16" customFormat="1">
      <c r="G138" s="22"/>
      <c r="I138" s="23"/>
    </row>
    <row r="139" spans="7:9" s="16" customFormat="1">
      <c r="G139" s="22"/>
      <c r="I139" s="23"/>
    </row>
    <row r="140" spans="7:9" s="16" customFormat="1">
      <c r="G140" s="22"/>
      <c r="I140" s="23"/>
    </row>
    <row r="141" spans="7:9" s="16" customFormat="1">
      <c r="G141" s="22"/>
      <c r="I141" s="23"/>
    </row>
    <row r="142" spans="7:9" s="16" customFormat="1">
      <c r="G142" s="22"/>
      <c r="I142" s="23"/>
    </row>
    <row r="143" spans="7:9" s="16" customFormat="1">
      <c r="G143" s="22"/>
      <c r="I143" s="23"/>
    </row>
    <row r="144" spans="7:9" s="16" customFormat="1">
      <c r="G144" s="22"/>
      <c r="I144" s="23"/>
    </row>
    <row r="145" spans="7:9" s="16" customFormat="1">
      <c r="G145" s="22"/>
      <c r="I145" s="23"/>
    </row>
    <row r="146" spans="7:9" s="16" customFormat="1">
      <c r="G146" s="22"/>
      <c r="I146" s="23"/>
    </row>
    <row r="147" spans="7:9" s="16" customFormat="1">
      <c r="G147" s="22"/>
      <c r="I147" s="23"/>
    </row>
    <row r="148" spans="7:9" s="16" customFormat="1">
      <c r="G148" s="22"/>
      <c r="I148" s="23"/>
    </row>
    <row r="149" spans="7:9" s="16" customFormat="1">
      <c r="G149" s="22"/>
      <c r="I149" s="23"/>
    </row>
    <row r="150" spans="7:9" s="16" customFormat="1">
      <c r="G150" s="22"/>
      <c r="I150" s="23"/>
    </row>
    <row r="151" spans="7:9" s="16" customFormat="1">
      <c r="G151" s="22"/>
      <c r="I151" s="23"/>
    </row>
    <row r="152" spans="7:9" s="16" customFormat="1">
      <c r="G152" s="22"/>
      <c r="I152" s="23"/>
    </row>
    <row r="153" spans="7:9" s="16" customFormat="1">
      <c r="G153" s="22"/>
      <c r="I153" s="23"/>
    </row>
    <row r="154" spans="7:9" s="16" customFormat="1">
      <c r="G154" s="22"/>
      <c r="I154" s="23"/>
    </row>
    <row r="155" spans="7:9" s="16" customFormat="1">
      <c r="G155" s="22"/>
      <c r="I155" s="23"/>
    </row>
    <row r="156" spans="7:9" s="16" customFormat="1">
      <c r="G156" s="22"/>
      <c r="I156" s="23"/>
    </row>
    <row r="157" spans="7:9" s="16" customFormat="1">
      <c r="G157" s="22"/>
      <c r="I157" s="23"/>
    </row>
    <row r="158" spans="7:9" s="16" customFormat="1">
      <c r="G158" s="22"/>
      <c r="I158" s="23"/>
    </row>
    <row r="159" spans="7:9" s="16" customFormat="1">
      <c r="G159" s="22"/>
      <c r="I159" s="23"/>
    </row>
    <row r="160" spans="7:9" s="16" customFormat="1">
      <c r="G160" s="22"/>
      <c r="I160" s="23"/>
    </row>
    <row r="161" spans="7:9" s="16" customFormat="1">
      <c r="G161" s="22"/>
      <c r="I161" s="23"/>
    </row>
    <row r="162" spans="7:9" s="16" customFormat="1">
      <c r="G162" s="22"/>
      <c r="I162" s="23"/>
    </row>
    <row r="163" spans="7:9" s="16" customFormat="1">
      <c r="G163" s="22"/>
      <c r="I163" s="23"/>
    </row>
    <row r="164" spans="7:9" s="16" customFormat="1">
      <c r="G164" s="22"/>
      <c r="I164" s="23"/>
    </row>
    <row r="165" spans="7:9" s="16" customFormat="1">
      <c r="G165" s="22"/>
      <c r="I165" s="23"/>
    </row>
    <row r="166" spans="7:9" s="16" customFormat="1">
      <c r="G166" s="22"/>
      <c r="I166" s="23"/>
    </row>
    <row r="167" spans="7:9" s="16" customFormat="1">
      <c r="G167" s="22"/>
      <c r="I167" s="23"/>
    </row>
    <row r="168" spans="7:9" s="16" customFormat="1">
      <c r="G168" s="22"/>
      <c r="I168" s="23"/>
    </row>
    <row r="169" spans="7:9" s="16" customFormat="1">
      <c r="G169" s="22"/>
      <c r="I169" s="23"/>
    </row>
    <row r="170" spans="7:9" s="16" customFormat="1">
      <c r="G170" s="22"/>
      <c r="I170" s="23"/>
    </row>
    <row r="171" spans="7:9" s="16" customFormat="1">
      <c r="G171" s="22"/>
      <c r="I171" s="23"/>
    </row>
    <row r="172" spans="7:9" s="16" customFormat="1">
      <c r="G172" s="22"/>
      <c r="I172" s="23"/>
    </row>
    <row r="173" spans="7:9" s="16" customFormat="1">
      <c r="G173" s="22"/>
      <c r="I173" s="23"/>
    </row>
    <row r="174" spans="7:9" s="16" customFormat="1">
      <c r="G174" s="22"/>
      <c r="I174" s="23"/>
    </row>
    <row r="175" spans="7:9" s="16" customFormat="1">
      <c r="G175" s="22"/>
      <c r="I175" s="23"/>
    </row>
    <row r="176" spans="7:9" s="16" customFormat="1">
      <c r="G176" s="22"/>
      <c r="I176" s="23"/>
    </row>
    <row r="177" spans="7:9" s="16" customFormat="1">
      <c r="G177" s="22"/>
      <c r="I177" s="23"/>
    </row>
    <row r="178" spans="7:9" s="16" customFormat="1">
      <c r="G178" s="22"/>
      <c r="I178" s="23"/>
    </row>
    <row r="179" spans="7:9" s="16" customFormat="1">
      <c r="G179" s="22"/>
      <c r="I179" s="23"/>
    </row>
    <row r="180" spans="7:9" s="16" customFormat="1">
      <c r="G180" s="22"/>
      <c r="I180" s="23"/>
    </row>
    <row r="181" spans="7:9" s="16" customFormat="1">
      <c r="G181" s="22"/>
      <c r="I181" s="23"/>
    </row>
    <row r="182" spans="7:9" s="16" customFormat="1">
      <c r="G182" s="22"/>
      <c r="I182" s="23"/>
    </row>
    <row r="183" spans="7:9" s="16" customFormat="1">
      <c r="G183" s="22"/>
      <c r="I183" s="23"/>
    </row>
    <row r="184" spans="7:9" s="16" customFormat="1">
      <c r="G184" s="22"/>
      <c r="I184" s="23"/>
    </row>
    <row r="185" spans="7:9" s="16" customFormat="1">
      <c r="G185" s="22"/>
      <c r="I185" s="23"/>
    </row>
    <row r="186" spans="7:9" s="16" customFormat="1">
      <c r="G186" s="22"/>
      <c r="I186" s="23"/>
    </row>
    <row r="187" spans="7:9" s="16" customFormat="1">
      <c r="G187" s="22"/>
      <c r="I187" s="23"/>
    </row>
    <row r="188" spans="7:9" s="16" customFormat="1">
      <c r="G188" s="22"/>
      <c r="I188" s="23"/>
    </row>
    <row r="189" spans="7:9" s="16" customFormat="1">
      <c r="G189" s="22"/>
      <c r="I189" s="23"/>
    </row>
    <row r="190" spans="7:9" s="16" customFormat="1">
      <c r="G190" s="22"/>
      <c r="I190" s="23"/>
    </row>
    <row r="191" spans="7:9" s="16" customFormat="1">
      <c r="G191" s="22"/>
      <c r="I191" s="23"/>
    </row>
    <row r="192" spans="7:9" s="16" customFormat="1">
      <c r="G192" s="22"/>
      <c r="I192" s="23"/>
    </row>
    <row r="193" spans="7:9" s="16" customFormat="1">
      <c r="G193" s="22"/>
      <c r="I193" s="23"/>
    </row>
    <row r="194" spans="7:9" s="16" customFormat="1">
      <c r="G194" s="22"/>
      <c r="I194" s="23"/>
    </row>
    <row r="195" spans="7:9" s="16" customFormat="1">
      <c r="G195" s="22"/>
      <c r="I195" s="23"/>
    </row>
    <row r="196" spans="7:9" s="16" customFormat="1">
      <c r="G196" s="22"/>
      <c r="I196" s="23"/>
    </row>
    <row r="197" spans="7:9" s="16" customFormat="1">
      <c r="G197" s="22"/>
      <c r="I197" s="23"/>
    </row>
    <row r="198" spans="7:9" s="16" customFormat="1">
      <c r="G198" s="22"/>
      <c r="I198" s="23"/>
    </row>
    <row r="199" spans="7:9" s="16" customFormat="1">
      <c r="G199" s="22"/>
      <c r="I199" s="23"/>
    </row>
    <row r="200" spans="7:9" s="16" customFormat="1">
      <c r="G200" s="22"/>
      <c r="I200" s="23"/>
    </row>
    <row r="201" spans="7:9" s="16" customFormat="1">
      <c r="G201" s="22"/>
      <c r="I201" s="23"/>
    </row>
    <row r="202" spans="7:9" s="16" customFormat="1">
      <c r="G202" s="22"/>
      <c r="I202" s="23"/>
    </row>
    <row r="203" spans="7:9" s="16" customFormat="1">
      <c r="G203" s="22"/>
      <c r="I203" s="23"/>
    </row>
    <row r="204" spans="7:9" s="16" customFormat="1">
      <c r="G204" s="22"/>
      <c r="I204" s="23"/>
    </row>
    <row r="205" spans="7:9" s="16" customFormat="1">
      <c r="G205" s="22"/>
      <c r="I205" s="23"/>
    </row>
    <row r="206" spans="7:9" s="16" customFormat="1">
      <c r="G206" s="22"/>
      <c r="I206" s="23"/>
    </row>
    <row r="207" spans="7:9" s="16" customFormat="1">
      <c r="G207" s="22"/>
      <c r="I207" s="23"/>
    </row>
    <row r="208" spans="7:9" s="16" customFormat="1">
      <c r="G208" s="22"/>
      <c r="I208" s="23"/>
    </row>
    <row r="209" spans="7:9" s="16" customFormat="1">
      <c r="G209" s="22"/>
      <c r="I209" s="23"/>
    </row>
    <row r="210" spans="7:9" s="16" customFormat="1">
      <c r="G210" s="22"/>
      <c r="I210" s="23"/>
    </row>
    <row r="211" spans="7:9" s="16" customFormat="1">
      <c r="G211" s="22"/>
      <c r="I211" s="23"/>
    </row>
    <row r="212" spans="7:9" s="16" customFormat="1">
      <c r="G212" s="22"/>
      <c r="I212" s="23"/>
    </row>
    <row r="213" spans="7:9" s="16" customFormat="1">
      <c r="G213" s="22"/>
      <c r="I213" s="23"/>
    </row>
    <row r="214" spans="7:9" s="16" customFormat="1">
      <c r="G214" s="22"/>
      <c r="I214" s="23"/>
    </row>
    <row r="215" spans="7:9" s="16" customFormat="1">
      <c r="G215" s="22"/>
      <c r="I215" s="23"/>
    </row>
    <row r="216" spans="7:9" s="16" customFormat="1">
      <c r="G216" s="22"/>
      <c r="I216" s="23"/>
    </row>
    <row r="217" spans="7:9" s="16" customFormat="1">
      <c r="G217" s="22"/>
      <c r="I217" s="23"/>
    </row>
    <row r="218" spans="7:9" s="16" customFormat="1">
      <c r="G218" s="22"/>
      <c r="I218" s="23"/>
    </row>
    <row r="219" spans="7:9" s="16" customFormat="1">
      <c r="G219" s="22"/>
      <c r="I219" s="23"/>
    </row>
    <row r="220" spans="7:9" s="16" customFormat="1">
      <c r="G220" s="22"/>
      <c r="I220" s="23"/>
    </row>
    <row r="221" spans="7:9" s="16" customFormat="1">
      <c r="G221" s="22"/>
      <c r="I221" s="23"/>
    </row>
    <row r="222" spans="7:9" s="16" customFormat="1">
      <c r="G222" s="22"/>
      <c r="I222" s="23"/>
    </row>
    <row r="223" spans="7:9" s="16" customFormat="1">
      <c r="G223" s="22"/>
      <c r="I223" s="23"/>
    </row>
    <row r="224" spans="7:9" s="16" customFormat="1">
      <c r="G224" s="22"/>
      <c r="I224" s="23"/>
    </row>
    <row r="225" spans="7:9" s="16" customFormat="1">
      <c r="G225" s="22"/>
      <c r="I225" s="23"/>
    </row>
    <row r="226" spans="7:9" s="16" customFormat="1">
      <c r="G226" s="22"/>
      <c r="I226" s="23"/>
    </row>
    <row r="227" spans="7:9" s="16" customFormat="1">
      <c r="G227" s="22"/>
      <c r="I227" s="23"/>
    </row>
    <row r="228" spans="7:9" s="16" customFormat="1">
      <c r="G228" s="22"/>
      <c r="I228" s="23"/>
    </row>
    <row r="229" spans="7:9" s="16" customFormat="1">
      <c r="G229" s="22"/>
      <c r="I229" s="23"/>
    </row>
    <row r="230" spans="7:9" s="16" customFormat="1">
      <c r="G230" s="22"/>
      <c r="I230" s="23"/>
    </row>
    <row r="231" spans="7:9" s="16" customFormat="1">
      <c r="G231" s="22"/>
      <c r="I231" s="23"/>
    </row>
    <row r="232" spans="7:9" s="16" customFormat="1">
      <c r="G232" s="22"/>
      <c r="I232" s="23"/>
    </row>
    <row r="233" spans="7:9" s="16" customFormat="1">
      <c r="G233" s="22"/>
      <c r="I233" s="23"/>
    </row>
    <row r="234" spans="7:9" s="16" customFormat="1">
      <c r="G234" s="22"/>
      <c r="I234" s="23"/>
    </row>
    <row r="235" spans="7:9" s="16" customFormat="1">
      <c r="G235" s="22"/>
      <c r="I235" s="23"/>
    </row>
    <row r="236" spans="7:9" s="16" customFormat="1">
      <c r="G236" s="22"/>
      <c r="I236" s="23"/>
    </row>
    <row r="237" spans="7:9" s="16" customFormat="1">
      <c r="G237" s="22"/>
      <c r="I237" s="23"/>
    </row>
    <row r="238" spans="7:9" s="16" customFormat="1">
      <c r="G238" s="22"/>
      <c r="I238" s="23"/>
    </row>
    <row r="239" spans="7:9" s="16" customFormat="1">
      <c r="G239" s="22"/>
      <c r="I239" s="23"/>
    </row>
    <row r="240" spans="7:9" s="16" customFormat="1">
      <c r="G240" s="22"/>
      <c r="I240" s="23"/>
    </row>
    <row r="241" spans="7:9" s="16" customFormat="1">
      <c r="G241" s="22"/>
      <c r="I241" s="23"/>
    </row>
    <row r="242" spans="7:9" s="16" customFormat="1">
      <c r="G242" s="22"/>
      <c r="I242" s="23"/>
    </row>
    <row r="243" spans="7:9" s="16" customFormat="1">
      <c r="G243" s="22"/>
      <c r="I243" s="23"/>
    </row>
    <row r="244" spans="7:9" s="16" customFormat="1">
      <c r="G244" s="22"/>
      <c r="I244" s="23"/>
    </row>
    <row r="245" spans="7:9" s="16" customFormat="1">
      <c r="G245" s="22"/>
      <c r="I245" s="23"/>
    </row>
    <row r="246" spans="7:9" s="16" customFormat="1">
      <c r="G246" s="22"/>
      <c r="I246" s="23"/>
    </row>
    <row r="247" spans="7:9" s="16" customFormat="1">
      <c r="G247" s="22"/>
      <c r="I247" s="23"/>
    </row>
    <row r="248" spans="7:9" s="16" customFormat="1">
      <c r="G248" s="22"/>
      <c r="I248" s="23"/>
    </row>
    <row r="249" spans="7:9" s="16" customFormat="1">
      <c r="G249" s="22"/>
      <c r="I249" s="23"/>
    </row>
    <row r="250" spans="7:9" s="16" customFormat="1">
      <c r="G250" s="22"/>
      <c r="I250" s="23"/>
    </row>
    <row r="251" spans="7:9" s="16" customFormat="1">
      <c r="G251" s="22"/>
      <c r="I251" s="23"/>
    </row>
    <row r="252" spans="7:9" s="16" customFormat="1">
      <c r="G252" s="22"/>
      <c r="I252" s="23"/>
    </row>
    <row r="253" spans="7:9" s="16" customFormat="1">
      <c r="G253" s="22"/>
      <c r="I253" s="23"/>
    </row>
    <row r="254" spans="7:9" s="16" customFormat="1">
      <c r="G254" s="22"/>
      <c r="I254" s="23"/>
    </row>
    <row r="255" spans="7:9" s="16" customFormat="1">
      <c r="G255" s="22"/>
      <c r="I255" s="23"/>
    </row>
    <row r="256" spans="7:9" s="16" customFormat="1">
      <c r="G256" s="22"/>
      <c r="I256" s="23"/>
    </row>
    <row r="257" spans="7:9" s="16" customFormat="1">
      <c r="G257" s="22"/>
      <c r="I257" s="23"/>
    </row>
    <row r="258" spans="7:9" s="16" customFormat="1">
      <c r="G258" s="22"/>
      <c r="I258" s="23"/>
    </row>
    <row r="259" spans="7:9" s="16" customFormat="1">
      <c r="G259" s="22"/>
      <c r="I259" s="23"/>
    </row>
    <row r="260" spans="7:9" s="16" customFormat="1">
      <c r="G260" s="22"/>
      <c r="I260" s="23"/>
    </row>
    <row r="261" spans="7:9" s="16" customFormat="1">
      <c r="G261" s="22"/>
      <c r="I261" s="23"/>
    </row>
    <row r="262" spans="7:9" s="16" customFormat="1">
      <c r="G262" s="22"/>
      <c r="I262" s="23"/>
    </row>
    <row r="263" spans="7:9" s="16" customFormat="1">
      <c r="G263" s="22"/>
      <c r="I263" s="23"/>
    </row>
    <row r="264" spans="7:9" s="16" customFormat="1">
      <c r="G264" s="22"/>
      <c r="I264" s="23"/>
    </row>
    <row r="265" spans="7:9" s="16" customFormat="1">
      <c r="G265" s="22"/>
      <c r="I265" s="23"/>
    </row>
    <row r="266" spans="7:9" s="16" customFormat="1">
      <c r="G266" s="22"/>
      <c r="I266" s="23"/>
    </row>
    <row r="267" spans="7:9" s="16" customFormat="1">
      <c r="G267" s="22"/>
      <c r="I267" s="23"/>
    </row>
    <row r="268" spans="7:9" s="16" customFormat="1">
      <c r="G268" s="22"/>
      <c r="I268" s="23"/>
    </row>
    <row r="269" spans="7:9" s="16" customFormat="1">
      <c r="G269" s="22"/>
      <c r="I269" s="23"/>
    </row>
    <row r="270" spans="7:9" s="16" customFormat="1">
      <c r="G270" s="22"/>
      <c r="I270" s="23"/>
    </row>
    <row r="271" spans="7:9" s="16" customFormat="1">
      <c r="G271" s="22"/>
      <c r="I271" s="23"/>
    </row>
    <row r="272" spans="7:9" s="16" customFormat="1">
      <c r="G272" s="22"/>
      <c r="I272" s="23"/>
    </row>
    <row r="273" spans="7:9" s="16" customFormat="1">
      <c r="G273" s="22"/>
      <c r="I273" s="23"/>
    </row>
    <row r="274" spans="7:9" s="16" customFormat="1">
      <c r="G274" s="22"/>
      <c r="I274" s="23"/>
    </row>
    <row r="275" spans="7:9" s="16" customFormat="1">
      <c r="G275" s="22"/>
      <c r="I275" s="23"/>
    </row>
    <row r="276" spans="7:9" s="16" customFormat="1">
      <c r="G276" s="22"/>
      <c r="I276" s="23"/>
    </row>
    <row r="277" spans="7:9" s="16" customFormat="1">
      <c r="G277" s="22"/>
      <c r="I277" s="23"/>
    </row>
    <row r="278" spans="7:9" s="16" customFormat="1">
      <c r="G278" s="22"/>
      <c r="I278" s="23"/>
    </row>
    <row r="279" spans="7:9" s="16" customFormat="1">
      <c r="G279" s="22"/>
      <c r="I279" s="23"/>
    </row>
    <row r="280" spans="7:9" s="16" customFormat="1">
      <c r="G280" s="22"/>
      <c r="I280" s="23"/>
    </row>
    <row r="281" spans="7:9" s="16" customFormat="1">
      <c r="G281" s="22"/>
      <c r="I281" s="23"/>
    </row>
    <row r="282" spans="7:9" s="16" customFormat="1">
      <c r="G282" s="22"/>
      <c r="I282" s="23"/>
    </row>
    <row r="283" spans="7:9" s="16" customFormat="1">
      <c r="G283" s="22"/>
      <c r="I283" s="23"/>
    </row>
    <row r="284" spans="7:9" s="16" customFormat="1">
      <c r="G284" s="22"/>
      <c r="I284" s="23"/>
    </row>
    <row r="285" spans="7:9" s="16" customFormat="1">
      <c r="G285" s="22"/>
      <c r="I285" s="23"/>
    </row>
    <row r="286" spans="7:9" s="16" customFormat="1">
      <c r="G286" s="22"/>
      <c r="I286" s="23"/>
    </row>
    <row r="287" spans="7:9" s="16" customFormat="1">
      <c r="G287" s="22"/>
      <c r="I287" s="23"/>
    </row>
    <row r="288" spans="7:9" s="16" customFormat="1">
      <c r="G288" s="22"/>
      <c r="I288" s="23"/>
    </row>
    <row r="289" spans="7:9" s="16" customFormat="1">
      <c r="G289" s="22"/>
      <c r="I289" s="23"/>
    </row>
    <row r="290" spans="7:9" s="16" customFormat="1">
      <c r="G290" s="22"/>
      <c r="I290" s="23"/>
    </row>
    <row r="291" spans="7:9" s="16" customFormat="1">
      <c r="G291" s="22"/>
      <c r="I291" s="23"/>
    </row>
    <row r="292" spans="7:9" s="16" customFormat="1">
      <c r="G292" s="22"/>
      <c r="I292" s="23"/>
    </row>
    <row r="293" spans="7:9" s="16" customFormat="1">
      <c r="G293" s="22"/>
      <c r="I293" s="23"/>
    </row>
    <row r="294" spans="7:9" s="16" customFormat="1">
      <c r="G294" s="22"/>
      <c r="I294" s="23"/>
    </row>
    <row r="295" spans="7:9" s="16" customFormat="1">
      <c r="G295" s="22"/>
      <c r="I295" s="23"/>
    </row>
    <row r="296" spans="7:9" s="16" customFormat="1">
      <c r="G296" s="22"/>
      <c r="I296" s="23"/>
    </row>
    <row r="297" spans="7:9" s="16" customFormat="1">
      <c r="G297" s="22"/>
      <c r="I297" s="23"/>
    </row>
    <row r="298" spans="7:9" s="16" customFormat="1">
      <c r="G298" s="22"/>
      <c r="I298" s="23"/>
    </row>
    <row r="299" spans="7:9" s="16" customFormat="1">
      <c r="G299" s="22"/>
      <c r="I299" s="23"/>
    </row>
    <row r="300" spans="7:9" s="16" customFormat="1">
      <c r="G300" s="22"/>
      <c r="I300" s="23"/>
    </row>
    <row r="301" spans="7:9" s="16" customFormat="1">
      <c r="G301" s="22"/>
      <c r="I301" s="23"/>
    </row>
    <row r="302" spans="7:9" s="16" customFormat="1">
      <c r="G302" s="22"/>
      <c r="I302" s="23"/>
    </row>
    <row r="303" spans="7:9" s="16" customFormat="1">
      <c r="G303" s="22"/>
      <c r="I303" s="23"/>
    </row>
    <row r="304" spans="7:9" s="16" customFormat="1">
      <c r="G304" s="22"/>
      <c r="I304" s="23"/>
    </row>
    <row r="305" spans="7:9" s="16" customFormat="1">
      <c r="G305" s="22"/>
      <c r="I305" s="23"/>
    </row>
    <row r="306" spans="7:9" s="16" customFormat="1">
      <c r="G306" s="22"/>
      <c r="I306" s="23"/>
    </row>
    <row r="307" spans="7:9" s="16" customFormat="1">
      <c r="G307" s="22"/>
      <c r="I307" s="23"/>
    </row>
    <row r="308" spans="7:9" s="16" customFormat="1">
      <c r="G308" s="22"/>
      <c r="I308" s="23"/>
    </row>
    <row r="309" spans="7:9" s="16" customFormat="1">
      <c r="G309" s="22"/>
      <c r="I309" s="23"/>
    </row>
    <row r="310" spans="7:9" s="16" customFormat="1">
      <c r="G310" s="22"/>
      <c r="I310" s="23"/>
    </row>
    <row r="311" spans="7:9" s="16" customFormat="1">
      <c r="G311" s="22"/>
      <c r="I311" s="23"/>
    </row>
    <row r="312" spans="7:9" s="16" customFormat="1">
      <c r="G312" s="22"/>
      <c r="I312" s="23"/>
    </row>
    <row r="313" spans="7:9" s="16" customFormat="1">
      <c r="G313" s="22"/>
      <c r="I313" s="23"/>
    </row>
    <row r="314" spans="7:9" s="16" customFormat="1">
      <c r="G314" s="22"/>
      <c r="I314" s="23"/>
    </row>
    <row r="315" spans="7:9" s="16" customFormat="1">
      <c r="G315" s="22"/>
      <c r="I315" s="23"/>
    </row>
    <row r="316" spans="7:9" s="16" customFormat="1">
      <c r="G316" s="22"/>
      <c r="I316" s="23"/>
    </row>
    <row r="317" spans="7:9" s="16" customFormat="1">
      <c r="G317" s="22"/>
      <c r="I317" s="23"/>
    </row>
    <row r="318" spans="7:9" s="16" customFormat="1">
      <c r="G318" s="22"/>
      <c r="I318" s="23"/>
    </row>
    <row r="319" spans="7:9" s="16" customFormat="1">
      <c r="G319" s="22"/>
      <c r="I319" s="23"/>
    </row>
    <row r="320" spans="7:9" s="16" customFormat="1">
      <c r="G320" s="22"/>
      <c r="I320" s="23"/>
    </row>
    <row r="321" spans="7:9" s="16" customFormat="1">
      <c r="G321" s="22"/>
      <c r="I321" s="23"/>
    </row>
    <row r="322" spans="7:9" s="16" customFormat="1">
      <c r="G322" s="22"/>
      <c r="I322" s="23"/>
    </row>
    <row r="323" spans="7:9" s="16" customFormat="1">
      <c r="G323" s="22"/>
      <c r="I323" s="23"/>
    </row>
    <row r="324" spans="7:9" s="16" customFormat="1">
      <c r="G324" s="22"/>
      <c r="I324" s="23"/>
    </row>
    <row r="325" spans="7:9" s="16" customFormat="1">
      <c r="G325" s="22"/>
      <c r="I325" s="23"/>
    </row>
    <row r="326" spans="7:9" s="16" customFormat="1">
      <c r="G326" s="22"/>
      <c r="I326" s="23"/>
    </row>
    <row r="327" spans="7:9" s="16" customFormat="1">
      <c r="G327" s="22"/>
      <c r="I327" s="23"/>
    </row>
    <row r="328" spans="7:9" s="16" customFormat="1">
      <c r="G328" s="22"/>
      <c r="I328" s="23"/>
    </row>
    <row r="329" spans="7:9" s="16" customFormat="1">
      <c r="G329" s="22"/>
      <c r="I329" s="23"/>
    </row>
    <row r="330" spans="7:9" s="16" customFormat="1">
      <c r="G330" s="22"/>
      <c r="I330" s="23"/>
    </row>
    <row r="331" spans="7:9" s="16" customFormat="1">
      <c r="G331" s="22"/>
      <c r="I331" s="23"/>
    </row>
    <row r="332" spans="7:9" s="16" customFormat="1">
      <c r="G332" s="22"/>
      <c r="I332" s="23"/>
    </row>
    <row r="333" spans="7:9" s="16" customFormat="1">
      <c r="G333" s="22"/>
      <c r="I333" s="23"/>
    </row>
    <row r="334" spans="7:9" s="16" customFormat="1">
      <c r="G334" s="22"/>
      <c r="I334" s="23"/>
    </row>
    <row r="335" spans="7:9" s="16" customFormat="1">
      <c r="G335" s="22"/>
      <c r="I335" s="23"/>
    </row>
    <row r="336" spans="7:9" s="16" customFormat="1">
      <c r="G336" s="22"/>
      <c r="I336" s="23"/>
    </row>
    <row r="337" spans="7:9" s="16" customFormat="1">
      <c r="G337" s="22"/>
      <c r="I337" s="23"/>
    </row>
    <row r="338" spans="7:9" s="16" customFormat="1">
      <c r="G338" s="22"/>
      <c r="I338" s="23"/>
    </row>
    <row r="339" spans="7:9" s="16" customFormat="1">
      <c r="G339" s="22"/>
      <c r="I339" s="23"/>
    </row>
    <row r="340" spans="7:9" s="16" customFormat="1">
      <c r="G340" s="22"/>
      <c r="I340" s="23"/>
    </row>
    <row r="341" spans="7:9" s="16" customFormat="1">
      <c r="G341" s="22"/>
      <c r="I341" s="23"/>
    </row>
    <row r="342" spans="7:9" s="16" customFormat="1">
      <c r="G342" s="22"/>
      <c r="I342" s="23"/>
    </row>
    <row r="343" spans="7:9" s="16" customFormat="1">
      <c r="G343" s="22"/>
      <c r="I343" s="23"/>
    </row>
    <row r="344" spans="7:9" s="16" customFormat="1">
      <c r="G344" s="22"/>
      <c r="I344" s="23"/>
    </row>
    <row r="345" spans="7:9" s="16" customFormat="1">
      <c r="G345" s="22"/>
      <c r="I345" s="23"/>
    </row>
    <row r="346" spans="7:9" s="16" customFormat="1">
      <c r="G346" s="22"/>
      <c r="I346" s="23"/>
    </row>
    <row r="347" spans="7:9" s="16" customFormat="1">
      <c r="G347" s="22"/>
      <c r="I347" s="23"/>
    </row>
    <row r="348" spans="7:9" s="16" customFormat="1">
      <c r="G348" s="22"/>
      <c r="I348" s="23"/>
    </row>
    <row r="349" spans="7:9" s="16" customFormat="1">
      <c r="G349" s="22"/>
      <c r="I349" s="23"/>
    </row>
    <row r="350" spans="7:9" s="16" customFormat="1">
      <c r="G350" s="22"/>
      <c r="I350" s="23"/>
    </row>
    <row r="351" spans="7:9" s="16" customFormat="1">
      <c r="G351" s="22"/>
      <c r="I351" s="23"/>
    </row>
    <row r="352" spans="7:9" s="16" customFormat="1">
      <c r="G352" s="22"/>
      <c r="I352" s="23"/>
    </row>
    <row r="353" spans="7:9" s="16" customFormat="1">
      <c r="G353" s="22"/>
      <c r="I353" s="23"/>
    </row>
    <row r="354" spans="7:9" s="16" customFormat="1">
      <c r="G354" s="22"/>
      <c r="I354" s="23"/>
    </row>
    <row r="355" spans="7:9" s="16" customFormat="1">
      <c r="G355" s="22"/>
      <c r="I355" s="23"/>
    </row>
    <row r="356" spans="7:9" s="16" customFormat="1">
      <c r="G356" s="22"/>
      <c r="I356" s="23"/>
    </row>
    <row r="357" spans="7:9" s="16" customFormat="1">
      <c r="G357" s="22"/>
      <c r="I357" s="23"/>
    </row>
    <row r="358" spans="7:9" s="16" customFormat="1">
      <c r="G358" s="22"/>
      <c r="I358" s="23"/>
    </row>
    <row r="359" spans="7:9" s="16" customFormat="1">
      <c r="G359" s="22"/>
      <c r="I359" s="23"/>
    </row>
    <row r="360" spans="7:9" s="16" customFormat="1">
      <c r="G360" s="22"/>
      <c r="I360" s="23"/>
    </row>
    <row r="361" spans="7:9" s="16" customFormat="1">
      <c r="G361" s="22"/>
      <c r="I361" s="23"/>
    </row>
    <row r="362" spans="7:9" s="16" customFormat="1">
      <c r="G362" s="22"/>
      <c r="I362" s="23"/>
    </row>
    <row r="363" spans="7:9" s="16" customFormat="1">
      <c r="G363" s="22"/>
      <c r="I363" s="23"/>
    </row>
    <row r="364" spans="7:9" s="16" customFormat="1">
      <c r="G364" s="22"/>
      <c r="I364" s="23"/>
    </row>
    <row r="365" spans="7:9" s="16" customFormat="1">
      <c r="G365" s="22"/>
      <c r="I365" s="23"/>
    </row>
    <row r="366" spans="7:9" s="16" customFormat="1">
      <c r="G366" s="22"/>
      <c r="I366" s="23"/>
    </row>
    <row r="367" spans="7:9" s="16" customFormat="1">
      <c r="G367" s="22"/>
      <c r="I367" s="23"/>
    </row>
    <row r="368" spans="7:9" s="16" customFormat="1">
      <c r="G368" s="22"/>
      <c r="I368" s="23"/>
    </row>
    <row r="369" spans="7:9" s="16" customFormat="1">
      <c r="G369" s="22"/>
      <c r="I369" s="23"/>
    </row>
    <row r="370" spans="7:9" s="16" customFormat="1">
      <c r="G370" s="22"/>
      <c r="I370" s="23"/>
    </row>
    <row r="371" spans="7:9" s="16" customFormat="1">
      <c r="G371" s="22"/>
      <c r="I371" s="23"/>
    </row>
    <row r="372" spans="7:9" s="16" customFormat="1">
      <c r="G372" s="22"/>
      <c r="I372" s="23"/>
    </row>
    <row r="373" spans="7:9" s="16" customFormat="1">
      <c r="G373" s="22"/>
      <c r="I373" s="23"/>
    </row>
    <row r="374" spans="7:9" s="16" customFormat="1">
      <c r="G374" s="22"/>
      <c r="I374" s="23"/>
    </row>
    <row r="375" spans="7:9" s="16" customFormat="1">
      <c r="G375" s="22"/>
      <c r="I375" s="23"/>
    </row>
    <row r="376" spans="7:9" s="16" customFormat="1">
      <c r="G376" s="22"/>
      <c r="I376" s="23"/>
    </row>
    <row r="377" spans="7:9" s="16" customFormat="1">
      <c r="G377" s="22"/>
      <c r="I377" s="23"/>
    </row>
    <row r="378" spans="7:9" s="16" customFormat="1">
      <c r="G378" s="22"/>
      <c r="I378" s="23"/>
    </row>
    <row r="379" spans="7:9" s="16" customFormat="1">
      <c r="G379" s="22"/>
      <c r="I379" s="23"/>
    </row>
    <row r="380" spans="7:9" s="16" customFormat="1">
      <c r="G380" s="22"/>
      <c r="I380" s="23"/>
    </row>
    <row r="381" spans="7:9" s="16" customFormat="1">
      <c r="G381" s="22"/>
      <c r="I381" s="23"/>
    </row>
    <row r="382" spans="7:9" s="16" customFormat="1">
      <c r="G382" s="22"/>
      <c r="I382" s="23"/>
    </row>
    <row r="383" spans="7:9" s="16" customFormat="1">
      <c r="G383" s="22"/>
      <c r="I383" s="23"/>
    </row>
    <row r="384" spans="7:9" s="16" customFormat="1">
      <c r="G384" s="22"/>
      <c r="I384" s="23"/>
    </row>
    <row r="385" spans="7:9" s="16" customFormat="1">
      <c r="G385" s="22"/>
      <c r="I385" s="23"/>
    </row>
    <row r="386" spans="7:9" s="16" customFormat="1">
      <c r="G386" s="22"/>
      <c r="I386" s="23"/>
    </row>
    <row r="387" spans="7:9" s="16" customFormat="1">
      <c r="G387" s="22"/>
      <c r="I387" s="23"/>
    </row>
    <row r="388" spans="7:9" s="16" customFormat="1">
      <c r="G388" s="22"/>
      <c r="I388" s="23"/>
    </row>
    <row r="389" spans="7:9" s="16" customFormat="1">
      <c r="G389" s="22"/>
      <c r="I389" s="23"/>
    </row>
    <row r="390" spans="7:9" s="16" customFormat="1">
      <c r="G390" s="22"/>
      <c r="I390" s="23"/>
    </row>
    <row r="391" spans="7:9" s="16" customFormat="1">
      <c r="G391" s="22"/>
      <c r="I391" s="23"/>
    </row>
    <row r="392" spans="7:9" s="16" customFormat="1">
      <c r="G392" s="22"/>
      <c r="I392" s="23"/>
    </row>
    <row r="393" spans="7:9" s="16" customFormat="1">
      <c r="G393" s="22"/>
      <c r="I393" s="23"/>
    </row>
    <row r="394" spans="7:9" s="16" customFormat="1">
      <c r="G394" s="22"/>
      <c r="I394" s="23"/>
    </row>
    <row r="395" spans="7:9" s="16" customFormat="1">
      <c r="G395" s="22"/>
      <c r="I395" s="23"/>
    </row>
    <row r="396" spans="7:9" s="16" customFormat="1">
      <c r="G396" s="22"/>
      <c r="I396" s="23"/>
    </row>
    <row r="397" spans="7:9" s="16" customFormat="1">
      <c r="G397" s="22"/>
      <c r="I397" s="23"/>
    </row>
    <row r="398" spans="7:9" s="16" customFormat="1">
      <c r="G398" s="22"/>
      <c r="I398" s="23"/>
    </row>
    <row r="399" spans="7:9" s="16" customFormat="1">
      <c r="G399" s="22"/>
      <c r="I399" s="23"/>
    </row>
    <row r="400" spans="7:9" s="16" customFormat="1">
      <c r="G400" s="22"/>
      <c r="I400" s="23"/>
    </row>
    <row r="401" spans="7:9" s="16" customFormat="1">
      <c r="G401" s="22"/>
      <c r="I401" s="23"/>
    </row>
    <row r="402" spans="7:9" s="16" customFormat="1">
      <c r="G402" s="22"/>
      <c r="I402" s="23"/>
    </row>
    <row r="403" spans="7:9" s="16" customFormat="1">
      <c r="G403" s="22"/>
      <c r="I403" s="23"/>
    </row>
    <row r="404" spans="7:9" s="16" customFormat="1">
      <c r="G404" s="22"/>
      <c r="I404" s="23"/>
    </row>
    <row r="405" spans="7:9" s="16" customFormat="1">
      <c r="G405" s="22"/>
      <c r="I405" s="23"/>
    </row>
    <row r="406" spans="7:9" s="16" customFormat="1">
      <c r="G406" s="22"/>
      <c r="I406" s="23"/>
    </row>
    <row r="407" spans="7:9" s="16" customFormat="1">
      <c r="G407" s="22"/>
      <c r="I407" s="23"/>
    </row>
    <row r="408" spans="7:9" s="16" customFormat="1">
      <c r="G408" s="22"/>
      <c r="I408" s="23"/>
    </row>
    <row r="409" spans="7:9" s="16" customFormat="1">
      <c r="G409" s="22"/>
      <c r="I409" s="23"/>
    </row>
    <row r="410" spans="7:9" s="16" customFormat="1">
      <c r="G410" s="22"/>
      <c r="I410" s="23"/>
    </row>
    <row r="411" spans="7:9" s="16" customFormat="1">
      <c r="G411" s="22"/>
      <c r="I411" s="23"/>
    </row>
    <row r="412" spans="7:9" s="16" customFormat="1">
      <c r="G412" s="22"/>
      <c r="I412" s="23"/>
    </row>
    <row r="413" spans="7:9" s="16" customFormat="1">
      <c r="G413" s="22"/>
      <c r="I413" s="23"/>
    </row>
    <row r="414" spans="7:9" s="16" customFormat="1">
      <c r="G414" s="22"/>
      <c r="I414" s="23"/>
    </row>
    <row r="415" spans="7:9" s="16" customFormat="1">
      <c r="G415" s="22"/>
      <c r="I415" s="23"/>
    </row>
    <row r="416" spans="7:9" s="16" customFormat="1">
      <c r="G416" s="22"/>
      <c r="I416" s="23"/>
    </row>
    <row r="417" spans="7:9" s="16" customFormat="1">
      <c r="G417" s="22"/>
      <c r="I417" s="23"/>
    </row>
    <row r="418" spans="7:9" s="16" customFormat="1">
      <c r="G418" s="22"/>
      <c r="I418" s="23"/>
    </row>
    <row r="419" spans="7:9" s="16" customFormat="1">
      <c r="G419" s="22"/>
      <c r="I419" s="23"/>
    </row>
    <row r="420" spans="7:9" s="16" customFormat="1">
      <c r="G420" s="22"/>
      <c r="I420" s="23"/>
    </row>
    <row r="421" spans="7:9" s="16" customFormat="1">
      <c r="G421" s="22"/>
      <c r="I421" s="23"/>
    </row>
    <row r="422" spans="7:9" s="16" customFormat="1">
      <c r="G422" s="22"/>
      <c r="I422" s="23"/>
    </row>
    <row r="423" spans="7:9" s="16" customFormat="1">
      <c r="G423" s="22"/>
      <c r="I423" s="23"/>
    </row>
    <row r="424" spans="7:9" s="16" customFormat="1">
      <c r="G424" s="22"/>
      <c r="I424" s="23"/>
    </row>
    <row r="425" spans="7:9" s="16" customFormat="1">
      <c r="G425" s="22"/>
      <c r="I425" s="23"/>
    </row>
    <row r="426" spans="7:9" s="16" customFormat="1">
      <c r="G426" s="22"/>
      <c r="I426" s="23"/>
    </row>
    <row r="427" spans="7:9" s="16" customFormat="1">
      <c r="G427" s="22"/>
      <c r="I427" s="23"/>
    </row>
    <row r="428" spans="7:9" s="16" customFormat="1">
      <c r="G428" s="22"/>
      <c r="I428" s="23"/>
    </row>
    <row r="429" spans="7:9" s="16" customFormat="1">
      <c r="G429" s="22"/>
      <c r="I429" s="23"/>
    </row>
    <row r="430" spans="7:9" s="16" customFormat="1">
      <c r="G430" s="22"/>
      <c r="I430" s="23"/>
    </row>
    <row r="431" spans="7:9" s="16" customFormat="1">
      <c r="G431" s="22"/>
      <c r="I431" s="23"/>
    </row>
    <row r="432" spans="7:9" s="16" customFormat="1">
      <c r="G432" s="22"/>
      <c r="I432" s="23"/>
    </row>
    <row r="433" spans="7:9" s="16" customFormat="1">
      <c r="G433" s="22"/>
      <c r="I433" s="23"/>
    </row>
    <row r="434" spans="7:9" s="16" customFormat="1">
      <c r="G434" s="22"/>
      <c r="I434" s="23"/>
    </row>
    <row r="435" spans="7:9" s="16" customFormat="1">
      <c r="G435" s="22"/>
      <c r="I435" s="23"/>
    </row>
    <row r="436" spans="7:9" s="16" customFormat="1">
      <c r="G436" s="22"/>
      <c r="I436" s="23"/>
    </row>
    <row r="437" spans="7:9" s="16" customFormat="1">
      <c r="G437" s="22"/>
      <c r="I437" s="23"/>
    </row>
    <row r="438" spans="7:9" s="16" customFormat="1">
      <c r="G438" s="22"/>
      <c r="I438" s="23"/>
    </row>
    <row r="439" spans="7:9" s="16" customFormat="1">
      <c r="G439" s="22"/>
      <c r="I439" s="23"/>
    </row>
    <row r="440" spans="7:9" s="16" customFormat="1">
      <c r="G440" s="22"/>
      <c r="I440" s="23"/>
    </row>
    <row r="441" spans="7:9" s="16" customFormat="1">
      <c r="G441" s="22"/>
      <c r="I441" s="23"/>
    </row>
    <row r="442" spans="7:9" s="16" customFormat="1">
      <c r="G442" s="22"/>
      <c r="I442" s="23"/>
    </row>
    <row r="443" spans="7:9" s="16" customFormat="1">
      <c r="G443" s="22"/>
      <c r="I443" s="23"/>
    </row>
    <row r="444" spans="7:9" s="16" customFormat="1">
      <c r="G444" s="22"/>
      <c r="I444" s="23"/>
    </row>
    <row r="445" spans="7:9" s="16" customFormat="1">
      <c r="G445" s="22"/>
      <c r="I445" s="23"/>
    </row>
    <row r="446" spans="7:9" s="16" customFormat="1">
      <c r="G446" s="22"/>
      <c r="I446" s="23"/>
    </row>
    <row r="447" spans="7:9" s="16" customFormat="1">
      <c r="G447" s="22"/>
      <c r="I447" s="23"/>
    </row>
    <row r="448" spans="7:9" s="16" customFormat="1">
      <c r="G448" s="22"/>
      <c r="I448" s="23"/>
    </row>
    <row r="449" spans="7:9" s="16" customFormat="1">
      <c r="G449" s="22"/>
      <c r="I449" s="23"/>
    </row>
    <row r="450" spans="7:9" s="16" customFormat="1">
      <c r="G450" s="22"/>
      <c r="I450" s="23"/>
    </row>
    <row r="451" spans="7:9" s="16" customFormat="1">
      <c r="G451" s="22"/>
      <c r="I451" s="23"/>
    </row>
    <row r="452" spans="7:9" s="16" customFormat="1">
      <c r="G452" s="22"/>
      <c r="I452" s="23"/>
    </row>
    <row r="453" spans="7:9" s="16" customFormat="1">
      <c r="G453" s="22"/>
      <c r="I453" s="23"/>
    </row>
    <row r="454" spans="7:9" s="16" customFormat="1">
      <c r="G454" s="22"/>
      <c r="I454" s="23"/>
    </row>
    <row r="455" spans="7:9" s="16" customFormat="1">
      <c r="G455" s="22"/>
      <c r="I455" s="23"/>
    </row>
    <row r="456" spans="7:9" s="16" customFormat="1">
      <c r="G456" s="22"/>
      <c r="I456" s="23"/>
    </row>
    <row r="457" spans="7:9" s="16" customFormat="1">
      <c r="G457" s="22"/>
      <c r="I457" s="23"/>
    </row>
    <row r="458" spans="7:9" s="16" customFormat="1">
      <c r="G458" s="22"/>
      <c r="I458" s="23"/>
    </row>
    <row r="459" spans="7:9" s="16" customFormat="1">
      <c r="G459" s="22"/>
      <c r="I459" s="23"/>
    </row>
    <row r="460" spans="7:9" s="16" customFormat="1">
      <c r="G460" s="22"/>
      <c r="I460" s="23"/>
    </row>
    <row r="461" spans="7:9" s="16" customFormat="1">
      <c r="G461" s="22"/>
      <c r="I461" s="23"/>
    </row>
    <row r="462" spans="7:9" s="16" customFormat="1">
      <c r="G462" s="22"/>
      <c r="I462" s="23"/>
    </row>
    <row r="463" spans="7:9" s="16" customFormat="1">
      <c r="G463" s="22"/>
      <c r="I463" s="23"/>
    </row>
    <row r="464" spans="7:9" s="16" customFormat="1">
      <c r="G464" s="22"/>
      <c r="I464" s="23"/>
    </row>
    <row r="465" spans="7:9" s="16" customFormat="1">
      <c r="G465" s="22"/>
      <c r="I465" s="23"/>
    </row>
    <row r="466" spans="7:9" s="16" customFormat="1">
      <c r="G466" s="22"/>
      <c r="I466" s="23"/>
    </row>
    <row r="467" spans="7:9" s="16" customFormat="1">
      <c r="G467" s="22"/>
      <c r="I467" s="23"/>
    </row>
    <row r="468" spans="7:9" s="16" customFormat="1">
      <c r="G468" s="22"/>
      <c r="I468" s="23"/>
    </row>
    <row r="469" spans="7:9" s="16" customFormat="1">
      <c r="G469" s="22"/>
      <c r="I469" s="23"/>
    </row>
    <row r="470" spans="7:9" s="16" customFormat="1">
      <c r="G470" s="22"/>
      <c r="I470" s="23"/>
    </row>
    <row r="471" spans="7:9" s="16" customFormat="1">
      <c r="G471" s="22"/>
      <c r="I471" s="23"/>
    </row>
    <row r="472" spans="7:9" s="16" customFormat="1">
      <c r="G472" s="22"/>
      <c r="I472" s="23"/>
    </row>
    <row r="473" spans="7:9" s="16" customFormat="1">
      <c r="G473" s="22"/>
      <c r="I473" s="23"/>
    </row>
    <row r="474" spans="7:9" s="16" customFormat="1">
      <c r="G474" s="22"/>
      <c r="I474" s="23"/>
    </row>
    <row r="475" spans="7:9" s="16" customFormat="1">
      <c r="G475" s="22"/>
      <c r="I475" s="23"/>
    </row>
    <row r="476" spans="7:9" s="16" customFormat="1">
      <c r="G476" s="22"/>
      <c r="I476" s="23"/>
    </row>
    <row r="477" spans="7:9" s="16" customFormat="1">
      <c r="G477" s="22"/>
      <c r="I477" s="23"/>
    </row>
    <row r="478" spans="7:9" s="16" customFormat="1">
      <c r="G478" s="22"/>
      <c r="I478" s="23"/>
    </row>
    <row r="479" spans="7:9" s="16" customFormat="1">
      <c r="G479" s="22"/>
      <c r="I479" s="23"/>
    </row>
    <row r="480" spans="7:9" s="16" customFormat="1">
      <c r="G480" s="22"/>
      <c r="I480" s="23"/>
    </row>
    <row r="481" spans="7:9" s="16" customFormat="1">
      <c r="G481" s="22"/>
      <c r="I481" s="23"/>
    </row>
    <row r="482" spans="7:9" s="16" customFormat="1">
      <c r="G482" s="22"/>
      <c r="I482" s="23"/>
    </row>
    <row r="483" spans="7:9" s="16" customFormat="1">
      <c r="G483" s="22"/>
      <c r="I483" s="23"/>
    </row>
    <row r="484" spans="7:9" s="16" customFormat="1">
      <c r="G484" s="22"/>
      <c r="I484" s="23"/>
    </row>
    <row r="485" spans="7:9" s="16" customFormat="1">
      <c r="G485" s="22"/>
      <c r="I485" s="23"/>
    </row>
    <row r="486" spans="7:9" s="16" customFormat="1">
      <c r="G486" s="22"/>
      <c r="I486" s="23"/>
    </row>
    <row r="487" spans="7:9" s="16" customFormat="1">
      <c r="G487" s="22"/>
      <c r="I487" s="23"/>
    </row>
    <row r="488" spans="7:9" s="16" customFormat="1">
      <c r="G488" s="22"/>
      <c r="I488" s="23"/>
    </row>
    <row r="489" spans="7:9" s="16" customFormat="1">
      <c r="G489" s="22"/>
      <c r="I489" s="23"/>
    </row>
    <row r="490" spans="7:9" s="16" customFormat="1">
      <c r="G490" s="22"/>
      <c r="I490" s="23"/>
    </row>
    <row r="491" spans="7:9" s="16" customFormat="1">
      <c r="G491" s="22"/>
      <c r="I491" s="23"/>
    </row>
    <row r="492" spans="7:9" s="16" customFormat="1">
      <c r="G492" s="22"/>
      <c r="I492" s="23"/>
    </row>
    <row r="493" spans="7:9" s="16" customFormat="1">
      <c r="G493" s="22"/>
      <c r="I493" s="23"/>
    </row>
    <row r="494" spans="7:9" s="16" customFormat="1">
      <c r="G494" s="22"/>
      <c r="I494" s="23"/>
    </row>
    <row r="495" spans="7:9" s="16" customFormat="1">
      <c r="G495" s="22"/>
      <c r="I495" s="23"/>
    </row>
    <row r="496" spans="7:9" s="16" customFormat="1">
      <c r="G496" s="22"/>
      <c r="I496" s="23"/>
    </row>
    <row r="497" spans="7:9" s="16" customFormat="1">
      <c r="G497" s="22"/>
      <c r="I497" s="23"/>
    </row>
    <row r="498" spans="7:9" s="16" customFormat="1">
      <c r="G498" s="22"/>
      <c r="I498" s="23"/>
    </row>
    <row r="499" spans="7:9" s="16" customFormat="1">
      <c r="G499" s="22"/>
      <c r="I499" s="23"/>
    </row>
    <row r="500" spans="7:9" s="16" customFormat="1">
      <c r="G500" s="22"/>
      <c r="I500" s="23"/>
    </row>
    <row r="501" spans="7:9" s="16" customFormat="1">
      <c r="G501" s="22"/>
      <c r="I501" s="23"/>
    </row>
    <row r="502" spans="7:9" s="16" customFormat="1">
      <c r="G502" s="22"/>
      <c r="I502" s="23"/>
    </row>
    <row r="503" spans="7:9" s="16" customFormat="1">
      <c r="G503" s="22"/>
      <c r="I503" s="23"/>
    </row>
    <row r="504" spans="7:9" s="16" customFormat="1">
      <c r="G504" s="22"/>
      <c r="I504" s="23"/>
    </row>
    <row r="505" spans="7:9" s="16" customFormat="1">
      <c r="G505" s="22"/>
      <c r="I505" s="23"/>
    </row>
    <row r="506" spans="7:9" s="16" customFormat="1">
      <c r="G506" s="22"/>
      <c r="I506" s="23"/>
    </row>
    <row r="507" spans="7:9" s="16" customFormat="1">
      <c r="G507" s="22"/>
      <c r="I507" s="23"/>
    </row>
    <row r="508" spans="7:9" s="16" customFormat="1">
      <c r="G508" s="22"/>
      <c r="I508" s="23"/>
    </row>
    <row r="509" spans="7:9" s="16" customFormat="1">
      <c r="G509" s="22"/>
      <c r="I509" s="23"/>
    </row>
    <row r="510" spans="7:9" s="16" customFormat="1">
      <c r="G510" s="22"/>
      <c r="I510" s="23"/>
    </row>
    <row r="511" spans="7:9" s="16" customFormat="1">
      <c r="G511" s="22"/>
      <c r="I511" s="23"/>
    </row>
    <row r="512" spans="7:9" s="16" customFormat="1">
      <c r="G512" s="22"/>
      <c r="I512" s="23"/>
    </row>
    <row r="513" spans="7:9" s="16" customFormat="1">
      <c r="G513" s="22"/>
      <c r="I513" s="23"/>
    </row>
    <row r="514" spans="7:9" s="16" customFormat="1">
      <c r="G514" s="22"/>
      <c r="I514" s="23"/>
    </row>
    <row r="515" spans="7:9" s="16" customFormat="1">
      <c r="G515" s="22"/>
      <c r="I515" s="23"/>
    </row>
    <row r="516" spans="7:9" s="16" customFormat="1">
      <c r="G516" s="22"/>
      <c r="I516" s="23"/>
    </row>
    <row r="517" spans="7:9" s="16" customFormat="1">
      <c r="G517" s="22"/>
      <c r="I517" s="23"/>
    </row>
    <row r="518" spans="7:9" s="16" customFormat="1">
      <c r="G518" s="22"/>
      <c r="I518" s="23"/>
    </row>
    <row r="519" spans="7:9" s="16" customFormat="1">
      <c r="G519" s="22"/>
      <c r="I519" s="23"/>
    </row>
    <row r="520" spans="7:9" s="16" customFormat="1">
      <c r="G520" s="22"/>
      <c r="I520" s="23"/>
    </row>
    <row r="521" spans="7:9" s="16" customFormat="1">
      <c r="G521" s="22"/>
      <c r="I521" s="23"/>
    </row>
    <row r="522" spans="7:9" s="16" customFormat="1">
      <c r="G522" s="22"/>
      <c r="I522" s="23"/>
    </row>
    <row r="523" spans="7:9" s="16" customFormat="1">
      <c r="G523" s="22"/>
      <c r="I523" s="23"/>
    </row>
    <row r="524" spans="7:9" s="16" customFormat="1">
      <c r="G524" s="22"/>
      <c r="I524" s="23"/>
    </row>
    <row r="525" spans="7:9" s="16" customFormat="1">
      <c r="G525" s="22"/>
      <c r="I525" s="23"/>
    </row>
    <row r="526" spans="7:9" s="16" customFormat="1">
      <c r="G526" s="22"/>
      <c r="I526" s="23"/>
    </row>
    <row r="527" spans="7:9" s="16" customFormat="1">
      <c r="G527" s="22"/>
      <c r="I527" s="23"/>
    </row>
    <row r="528" spans="7:9" s="16" customFormat="1">
      <c r="G528" s="22"/>
      <c r="I528" s="23"/>
    </row>
    <row r="529" spans="7:9" s="16" customFormat="1">
      <c r="G529" s="22"/>
      <c r="I529" s="23"/>
    </row>
    <row r="530" spans="7:9" s="16" customFormat="1">
      <c r="G530" s="22"/>
      <c r="I530" s="23"/>
    </row>
    <row r="531" spans="7:9" s="16" customFormat="1">
      <c r="G531" s="22"/>
      <c r="I531" s="23"/>
    </row>
    <row r="532" spans="7:9" s="16" customFormat="1">
      <c r="G532" s="22"/>
      <c r="I532" s="23"/>
    </row>
    <row r="533" spans="7:9" s="16" customFormat="1">
      <c r="G533" s="22"/>
      <c r="I533" s="23"/>
    </row>
    <row r="534" spans="7:9" s="16" customFormat="1">
      <c r="G534" s="22"/>
      <c r="I534" s="23"/>
    </row>
    <row r="535" spans="7:9" s="16" customFormat="1">
      <c r="G535" s="22"/>
      <c r="I535" s="23"/>
    </row>
    <row r="536" spans="7:9" s="16" customFormat="1">
      <c r="G536" s="22"/>
      <c r="I536" s="23"/>
    </row>
    <row r="537" spans="7:9" s="16" customFormat="1">
      <c r="G537" s="22"/>
      <c r="I537" s="23"/>
    </row>
    <row r="538" spans="7:9" s="16" customFormat="1">
      <c r="G538" s="22"/>
      <c r="I538" s="23"/>
    </row>
    <row r="539" spans="7:9" s="16" customFormat="1">
      <c r="G539" s="22"/>
      <c r="I539" s="23"/>
    </row>
    <row r="540" spans="7:9" s="16" customFormat="1">
      <c r="G540" s="22"/>
      <c r="I540" s="23"/>
    </row>
    <row r="541" spans="7:9" s="16" customFormat="1">
      <c r="G541" s="22"/>
      <c r="I541" s="23"/>
    </row>
    <row r="542" spans="7:9" s="16" customFormat="1">
      <c r="G542" s="22"/>
      <c r="I542" s="23"/>
    </row>
    <row r="543" spans="7:9" s="16" customFormat="1">
      <c r="G543" s="22"/>
      <c r="I543" s="23"/>
    </row>
    <row r="544" spans="7:9" s="16" customFormat="1">
      <c r="G544" s="22"/>
      <c r="I544" s="23"/>
    </row>
    <row r="545" spans="7:9" s="16" customFormat="1">
      <c r="G545" s="22"/>
      <c r="I545" s="23"/>
    </row>
    <row r="546" spans="7:9" s="16" customFormat="1">
      <c r="G546" s="22"/>
      <c r="I546" s="23"/>
    </row>
    <row r="547" spans="7:9" s="16" customFormat="1">
      <c r="G547" s="22"/>
      <c r="I547" s="23"/>
    </row>
    <row r="548" spans="7:9" s="16" customFormat="1">
      <c r="G548" s="22"/>
      <c r="I548" s="23"/>
    </row>
    <row r="549" spans="7:9" s="16" customFormat="1">
      <c r="G549" s="22"/>
      <c r="I549" s="23"/>
    </row>
    <row r="550" spans="7:9" s="16" customFormat="1">
      <c r="G550" s="22"/>
      <c r="I550" s="23"/>
    </row>
    <row r="551" spans="7:9" s="16" customFormat="1">
      <c r="G551" s="22"/>
      <c r="I551" s="23"/>
    </row>
    <row r="552" spans="7:9" s="16" customFormat="1">
      <c r="G552" s="22"/>
      <c r="I552" s="23"/>
    </row>
    <row r="553" spans="7:9" s="16" customFormat="1">
      <c r="G553" s="22"/>
      <c r="I553" s="23"/>
    </row>
    <row r="554" spans="7:9" s="16" customFormat="1">
      <c r="G554" s="22"/>
      <c r="I554" s="23"/>
    </row>
    <row r="555" spans="7:9" s="16" customFormat="1">
      <c r="G555" s="22"/>
      <c r="I555" s="23"/>
    </row>
    <row r="556" spans="7:9" s="16" customFormat="1">
      <c r="G556" s="22"/>
      <c r="I556" s="23"/>
    </row>
    <row r="557" spans="7:9" s="16" customFormat="1">
      <c r="G557" s="22"/>
      <c r="I557" s="23"/>
    </row>
    <row r="558" spans="7:9" s="16" customFormat="1">
      <c r="G558" s="22"/>
      <c r="I558" s="23"/>
    </row>
    <row r="559" spans="7:9" s="16" customFormat="1">
      <c r="G559" s="22"/>
      <c r="I559" s="23"/>
    </row>
    <row r="560" spans="7:9" s="16" customFormat="1">
      <c r="G560" s="22"/>
      <c r="I560" s="23"/>
    </row>
    <row r="561" spans="7:9" s="16" customFormat="1">
      <c r="G561" s="22"/>
      <c r="I561" s="23"/>
    </row>
    <row r="562" spans="7:9" s="16" customFormat="1">
      <c r="G562" s="22"/>
      <c r="I562" s="23"/>
    </row>
    <row r="563" spans="7:9" s="16" customFormat="1">
      <c r="G563" s="22"/>
      <c r="I563" s="23"/>
    </row>
    <row r="564" spans="7:9" s="16" customFormat="1">
      <c r="G564" s="22"/>
      <c r="I564" s="23"/>
    </row>
    <row r="565" spans="7:9" s="16" customFormat="1">
      <c r="G565" s="22"/>
      <c r="I565" s="23"/>
    </row>
    <row r="566" spans="7:9" s="16" customFormat="1">
      <c r="G566" s="22"/>
      <c r="I566" s="23"/>
    </row>
    <row r="567" spans="7:9" s="16" customFormat="1">
      <c r="G567" s="22"/>
      <c r="I567" s="23"/>
    </row>
    <row r="568" spans="7:9" s="16" customFormat="1">
      <c r="G568" s="22"/>
      <c r="I568" s="23"/>
    </row>
    <row r="569" spans="7:9" s="16" customFormat="1">
      <c r="G569" s="22"/>
      <c r="I569" s="23"/>
    </row>
    <row r="570" spans="7:9" s="16" customFormat="1">
      <c r="G570" s="22"/>
      <c r="I570" s="23"/>
    </row>
    <row r="571" spans="7:9" s="16" customFormat="1">
      <c r="G571" s="22"/>
      <c r="I571" s="23"/>
    </row>
    <row r="572" spans="7:9" s="16" customFormat="1">
      <c r="G572" s="22"/>
      <c r="I572" s="23"/>
    </row>
    <row r="573" spans="7:9" s="16" customFormat="1">
      <c r="G573" s="22"/>
      <c r="I573" s="23"/>
    </row>
    <row r="574" spans="7:9" s="16" customFormat="1">
      <c r="G574" s="22"/>
      <c r="I574" s="23"/>
    </row>
    <row r="575" spans="7:9" s="16" customFormat="1">
      <c r="G575" s="22"/>
      <c r="I575" s="23"/>
    </row>
    <row r="576" spans="7:9" s="16" customFormat="1">
      <c r="G576" s="22"/>
      <c r="I576" s="23"/>
    </row>
    <row r="577" spans="7:9" s="16" customFormat="1">
      <c r="G577" s="22"/>
      <c r="I577" s="23"/>
    </row>
    <row r="578" spans="7:9" s="16" customFormat="1">
      <c r="G578" s="22"/>
      <c r="I578" s="23"/>
    </row>
    <row r="579" spans="7:9" s="16" customFormat="1">
      <c r="G579" s="22"/>
      <c r="I579" s="23"/>
    </row>
    <row r="580" spans="7:9" s="16" customFormat="1">
      <c r="G580" s="22"/>
      <c r="I580" s="23"/>
    </row>
    <row r="581" spans="7:9" s="16" customFormat="1">
      <c r="G581" s="22"/>
      <c r="I581" s="23"/>
    </row>
    <row r="582" spans="7:9" s="16" customFormat="1">
      <c r="G582" s="22"/>
      <c r="I582" s="23"/>
    </row>
    <row r="583" spans="7:9" s="16" customFormat="1">
      <c r="G583" s="22"/>
      <c r="I583" s="23"/>
    </row>
    <row r="584" spans="7:9" s="16" customFormat="1">
      <c r="G584" s="22"/>
      <c r="I584" s="23"/>
    </row>
    <row r="585" spans="7:9" s="16" customFormat="1">
      <c r="G585" s="22"/>
      <c r="I585" s="23"/>
    </row>
    <row r="586" spans="7:9" s="16" customFormat="1">
      <c r="G586" s="22"/>
      <c r="I586" s="23"/>
    </row>
    <row r="587" spans="7:9" s="16" customFormat="1">
      <c r="G587" s="22"/>
      <c r="I587" s="23"/>
    </row>
    <row r="588" spans="7:9" s="16" customFormat="1">
      <c r="G588" s="22"/>
      <c r="I588" s="23"/>
    </row>
    <row r="589" spans="7:9" s="16" customFormat="1">
      <c r="G589" s="22"/>
      <c r="I589" s="23"/>
    </row>
    <row r="590" spans="7:9" s="16" customFormat="1">
      <c r="G590" s="22"/>
      <c r="I590" s="23"/>
    </row>
    <row r="591" spans="7:9" s="16" customFormat="1">
      <c r="G591" s="22"/>
      <c r="I591" s="23"/>
    </row>
    <row r="592" spans="7:9" s="16" customFormat="1">
      <c r="G592" s="22"/>
      <c r="I592" s="23"/>
    </row>
    <row r="593" spans="7:9" s="16" customFormat="1">
      <c r="G593" s="22"/>
      <c r="I593" s="23"/>
    </row>
    <row r="594" spans="7:9" s="16" customFormat="1">
      <c r="G594" s="22"/>
      <c r="I594" s="23"/>
    </row>
    <row r="595" spans="7:9" s="16" customFormat="1">
      <c r="G595" s="22"/>
      <c r="I595" s="23"/>
    </row>
    <row r="596" spans="7:9" s="16" customFormat="1">
      <c r="G596" s="22"/>
      <c r="I596" s="23"/>
    </row>
    <row r="597" spans="7:9" s="16" customFormat="1">
      <c r="G597" s="22"/>
      <c r="I597" s="23"/>
    </row>
    <row r="598" spans="7:9" s="16" customFormat="1">
      <c r="G598" s="22"/>
      <c r="I598" s="23"/>
    </row>
    <row r="599" spans="7:9" s="16" customFormat="1">
      <c r="G599" s="22"/>
      <c r="I599" s="23"/>
    </row>
    <row r="600" spans="7:9" s="16" customFormat="1">
      <c r="G600" s="22"/>
      <c r="I600" s="23"/>
    </row>
    <row r="601" spans="7:9" s="16" customFormat="1">
      <c r="G601" s="22"/>
      <c r="I601" s="23"/>
    </row>
    <row r="602" spans="7:9" s="16" customFormat="1">
      <c r="G602" s="22"/>
      <c r="I602" s="23"/>
    </row>
    <row r="603" spans="7:9" s="16" customFormat="1">
      <c r="G603" s="22"/>
      <c r="I603" s="23"/>
    </row>
    <row r="604" spans="7:9" s="16" customFormat="1">
      <c r="G604" s="22"/>
      <c r="I604" s="23"/>
    </row>
    <row r="605" spans="7:9" s="16" customFormat="1">
      <c r="G605" s="22"/>
      <c r="I605" s="23"/>
    </row>
    <row r="606" spans="7:9" s="16" customFormat="1">
      <c r="G606" s="22"/>
      <c r="I606" s="23"/>
    </row>
    <row r="607" spans="7:9" s="16" customFormat="1">
      <c r="G607" s="22"/>
      <c r="I607" s="23"/>
    </row>
    <row r="608" spans="7:9" s="16" customFormat="1">
      <c r="G608" s="22"/>
      <c r="I608" s="23"/>
    </row>
    <row r="609" spans="7:9" s="16" customFormat="1">
      <c r="G609" s="22"/>
      <c r="I609" s="23"/>
    </row>
    <row r="610" spans="7:9" s="16" customFormat="1">
      <c r="G610" s="22"/>
      <c r="I610" s="23"/>
    </row>
    <row r="611" spans="7:9" s="16" customFormat="1">
      <c r="G611" s="22"/>
      <c r="I611" s="23"/>
    </row>
    <row r="612" spans="7:9" s="16" customFormat="1">
      <c r="G612" s="22"/>
      <c r="I612" s="23"/>
    </row>
    <row r="613" spans="7:9" s="16" customFormat="1">
      <c r="G613" s="22"/>
      <c r="I613" s="23"/>
    </row>
    <row r="614" spans="7:9" s="16" customFormat="1">
      <c r="G614" s="22"/>
      <c r="I614" s="23"/>
    </row>
    <row r="615" spans="7:9" s="16" customFormat="1">
      <c r="G615" s="22"/>
      <c r="I615" s="23"/>
    </row>
    <row r="616" spans="7:9" s="16" customFormat="1">
      <c r="G616" s="22"/>
      <c r="I616" s="23"/>
    </row>
    <row r="617" spans="7:9" s="16" customFormat="1">
      <c r="G617" s="22"/>
      <c r="I617" s="23"/>
    </row>
    <row r="618" spans="7:9" s="16" customFormat="1">
      <c r="G618" s="22"/>
      <c r="I618" s="23"/>
    </row>
    <row r="619" spans="7:9" s="16" customFormat="1">
      <c r="G619" s="22"/>
      <c r="I619" s="23"/>
    </row>
    <row r="620" spans="7:9" s="16" customFormat="1">
      <c r="G620" s="22"/>
      <c r="I620" s="23"/>
    </row>
    <row r="621" spans="7:9" s="16" customFormat="1">
      <c r="G621" s="22"/>
      <c r="I621" s="23"/>
    </row>
    <row r="622" spans="7:9" s="16" customFormat="1">
      <c r="G622" s="22"/>
      <c r="I622" s="23"/>
    </row>
    <row r="623" spans="7:9" s="16" customFormat="1">
      <c r="G623" s="22"/>
      <c r="I623" s="23"/>
    </row>
    <row r="624" spans="7:9" s="16" customFormat="1">
      <c r="G624" s="22"/>
      <c r="I624" s="23"/>
    </row>
    <row r="625" spans="7:9" s="16" customFormat="1">
      <c r="G625" s="22"/>
      <c r="I625" s="23"/>
    </row>
    <row r="626" spans="7:9" s="16" customFormat="1">
      <c r="G626" s="22"/>
      <c r="I626" s="23"/>
    </row>
    <row r="627" spans="7:9" s="16" customFormat="1">
      <c r="G627" s="22"/>
      <c r="I627" s="23"/>
    </row>
    <row r="628" spans="7:9" s="16" customFormat="1">
      <c r="G628" s="22"/>
      <c r="I628" s="23"/>
    </row>
    <row r="629" spans="7:9" s="16" customFormat="1">
      <c r="G629" s="22"/>
      <c r="I629" s="23"/>
    </row>
    <row r="630" spans="7:9" s="16" customFormat="1">
      <c r="G630" s="22"/>
      <c r="I630" s="23"/>
    </row>
    <row r="631" spans="7:9" s="16" customFormat="1">
      <c r="G631" s="22"/>
      <c r="I631" s="23"/>
    </row>
    <row r="632" spans="7:9" s="16" customFormat="1">
      <c r="G632" s="22"/>
      <c r="I632" s="23"/>
    </row>
    <row r="633" spans="7:9" s="16" customFormat="1">
      <c r="G633" s="22"/>
      <c r="I633" s="23"/>
    </row>
    <row r="634" spans="7:9" s="16" customFormat="1">
      <c r="G634" s="22"/>
      <c r="I634" s="23"/>
    </row>
    <row r="635" spans="7:9" s="16" customFormat="1">
      <c r="G635" s="22"/>
      <c r="I635" s="23"/>
    </row>
    <row r="636" spans="7:9" s="16" customFormat="1">
      <c r="G636" s="22"/>
      <c r="I636" s="23"/>
    </row>
    <row r="637" spans="7:9" s="16" customFormat="1">
      <c r="G637" s="22"/>
      <c r="I637" s="23"/>
    </row>
    <row r="638" spans="7:9" s="16" customFormat="1">
      <c r="G638" s="22"/>
      <c r="I638" s="23"/>
    </row>
    <row r="639" spans="7:9" s="16" customFormat="1">
      <c r="G639" s="22"/>
      <c r="I639" s="23"/>
    </row>
    <row r="640" spans="7:9" s="16" customFormat="1">
      <c r="G640" s="22"/>
      <c r="I640" s="23"/>
    </row>
    <row r="641" spans="7:9" s="16" customFormat="1">
      <c r="G641" s="22"/>
      <c r="I641" s="23"/>
    </row>
    <row r="642" spans="7:9" s="16" customFormat="1">
      <c r="G642" s="22"/>
      <c r="I642" s="23"/>
    </row>
    <row r="643" spans="7:9" s="16" customFormat="1">
      <c r="G643" s="22"/>
      <c r="I643" s="23"/>
    </row>
    <row r="644" spans="7:9" s="16" customFormat="1">
      <c r="G644" s="22"/>
      <c r="I644" s="23"/>
    </row>
    <row r="645" spans="7:9" s="16" customFormat="1">
      <c r="G645" s="22"/>
      <c r="I645" s="23"/>
    </row>
    <row r="646" spans="7:9" s="16" customFormat="1">
      <c r="G646" s="22"/>
      <c r="I646" s="23"/>
    </row>
    <row r="647" spans="7:9" s="16" customFormat="1">
      <c r="G647" s="22"/>
      <c r="I647" s="23"/>
    </row>
    <row r="648" spans="7:9" s="16" customFormat="1">
      <c r="G648" s="22"/>
      <c r="I648" s="23"/>
    </row>
    <row r="649" spans="7:9" s="16" customFormat="1">
      <c r="G649" s="22"/>
      <c r="I649" s="23"/>
    </row>
    <row r="650" spans="7:9" s="16" customFormat="1">
      <c r="G650" s="22"/>
      <c r="I650" s="23"/>
    </row>
    <row r="651" spans="7:9" s="16" customFormat="1">
      <c r="G651" s="22"/>
      <c r="I651" s="23"/>
    </row>
    <row r="652" spans="7:9" s="16" customFormat="1">
      <c r="G652" s="22"/>
      <c r="I652" s="23"/>
    </row>
    <row r="653" spans="7:9" s="16" customFormat="1">
      <c r="G653" s="22"/>
      <c r="I653" s="23"/>
    </row>
    <row r="654" spans="7:9" s="16" customFormat="1">
      <c r="G654" s="22"/>
      <c r="I654" s="23"/>
    </row>
    <row r="655" spans="7:9" s="16" customFormat="1">
      <c r="G655" s="22"/>
      <c r="I655" s="23"/>
    </row>
    <row r="656" spans="7:9" s="16" customFormat="1">
      <c r="G656" s="22"/>
      <c r="I656" s="23"/>
    </row>
    <row r="657" spans="7:9" s="16" customFormat="1">
      <c r="G657" s="22"/>
      <c r="I657" s="23"/>
    </row>
    <row r="658" spans="7:9" s="16" customFormat="1">
      <c r="G658" s="22"/>
      <c r="I658" s="23"/>
    </row>
    <row r="659" spans="7:9" s="16" customFormat="1">
      <c r="G659" s="22"/>
      <c r="I659" s="23"/>
    </row>
    <row r="660" spans="7:9" s="16" customFormat="1">
      <c r="G660" s="22"/>
      <c r="I660" s="23"/>
    </row>
    <row r="661" spans="7:9" s="16" customFormat="1">
      <c r="G661" s="22"/>
      <c r="I661" s="23"/>
    </row>
    <row r="662" spans="7:9" s="16" customFormat="1">
      <c r="G662" s="22"/>
      <c r="I662" s="23"/>
    </row>
    <row r="663" spans="7:9" s="16" customFormat="1">
      <c r="G663" s="22"/>
      <c r="I663" s="23"/>
    </row>
    <row r="664" spans="7:9" s="16" customFormat="1">
      <c r="G664" s="22"/>
      <c r="I664" s="23"/>
    </row>
    <row r="665" spans="7:9" s="16" customFormat="1">
      <c r="G665" s="22"/>
      <c r="I665" s="23"/>
    </row>
    <row r="666" spans="7:9" s="16" customFormat="1">
      <c r="G666" s="22"/>
      <c r="I666" s="23"/>
    </row>
    <row r="667" spans="7:9" s="16" customFormat="1">
      <c r="G667" s="22"/>
      <c r="I667" s="23"/>
    </row>
    <row r="668" spans="7:9" s="16" customFormat="1">
      <c r="G668" s="22"/>
      <c r="I668" s="23"/>
    </row>
    <row r="669" spans="7:9" s="16" customFormat="1">
      <c r="G669" s="22"/>
      <c r="I669" s="23"/>
    </row>
    <row r="670" spans="7:9" s="16" customFormat="1">
      <c r="G670" s="22"/>
      <c r="I670" s="23"/>
    </row>
    <row r="671" spans="7:9" s="16" customFormat="1">
      <c r="G671" s="22"/>
      <c r="I671" s="23"/>
    </row>
    <row r="672" spans="7:9" s="16" customFormat="1">
      <c r="G672" s="22"/>
      <c r="I672" s="23"/>
    </row>
    <row r="673" spans="7:9" s="16" customFormat="1">
      <c r="G673" s="22"/>
      <c r="I673" s="23"/>
    </row>
    <row r="674" spans="7:9" s="16" customFormat="1">
      <c r="G674" s="22"/>
      <c r="I674" s="23"/>
    </row>
    <row r="675" spans="7:9" s="16" customFormat="1">
      <c r="G675" s="22"/>
      <c r="I675" s="23"/>
    </row>
    <row r="676" spans="7:9" s="16" customFormat="1">
      <c r="G676" s="22"/>
      <c r="I676" s="23"/>
    </row>
    <row r="677" spans="7:9" s="16" customFormat="1">
      <c r="G677" s="22"/>
      <c r="I677" s="23"/>
    </row>
    <row r="678" spans="7:9" s="16" customFormat="1">
      <c r="G678" s="22"/>
      <c r="I678" s="23"/>
    </row>
    <row r="679" spans="7:9" s="16" customFormat="1">
      <c r="G679" s="22"/>
      <c r="I679" s="23"/>
    </row>
    <row r="680" spans="7:9" s="16" customFormat="1">
      <c r="G680" s="22"/>
      <c r="I680" s="23"/>
    </row>
    <row r="681" spans="7:9" s="16" customFormat="1">
      <c r="G681" s="22"/>
      <c r="I681" s="23"/>
    </row>
    <row r="682" spans="7:9" s="16" customFormat="1">
      <c r="G682" s="22"/>
      <c r="I682" s="23"/>
    </row>
    <row r="683" spans="7:9" s="16" customFormat="1">
      <c r="G683" s="22"/>
      <c r="I683" s="23"/>
    </row>
    <row r="684" spans="7:9" s="16" customFormat="1">
      <c r="G684" s="22"/>
      <c r="I684" s="23"/>
    </row>
    <row r="685" spans="7:9" s="16" customFormat="1">
      <c r="G685" s="22"/>
      <c r="I685" s="23"/>
    </row>
    <row r="686" spans="7:9" s="16" customFormat="1">
      <c r="G686" s="22"/>
      <c r="I686" s="23"/>
    </row>
    <row r="687" spans="7:9" s="16" customFormat="1">
      <c r="G687" s="22"/>
      <c r="I687" s="23"/>
    </row>
    <row r="688" spans="7:9" s="16" customFormat="1">
      <c r="G688" s="22"/>
      <c r="I688" s="23"/>
    </row>
    <row r="689" spans="7:9" s="16" customFormat="1">
      <c r="G689" s="22"/>
      <c r="I689" s="23"/>
    </row>
    <row r="690" spans="7:9" s="16" customFormat="1">
      <c r="G690" s="22"/>
      <c r="I690" s="23"/>
    </row>
    <row r="691" spans="7:9" s="16" customFormat="1">
      <c r="G691" s="22"/>
      <c r="I691" s="23"/>
    </row>
    <row r="692" spans="7:9" s="16" customFormat="1">
      <c r="G692" s="22"/>
      <c r="I692" s="23"/>
    </row>
    <row r="693" spans="7:9" s="16" customFormat="1">
      <c r="G693" s="22"/>
      <c r="I693" s="23"/>
    </row>
    <row r="694" spans="7:9" s="16" customFormat="1">
      <c r="G694" s="22"/>
      <c r="I694" s="23"/>
    </row>
    <row r="695" spans="7:9" s="16" customFormat="1">
      <c r="G695" s="22"/>
      <c r="I695" s="23"/>
    </row>
    <row r="696" spans="7:9" s="16" customFormat="1">
      <c r="G696" s="22"/>
      <c r="I696" s="23"/>
    </row>
    <row r="697" spans="7:9" s="16" customFormat="1">
      <c r="G697" s="22"/>
      <c r="I697" s="23"/>
    </row>
    <row r="698" spans="7:9" s="16" customFormat="1">
      <c r="G698" s="22"/>
      <c r="I698" s="23"/>
    </row>
    <row r="699" spans="7:9" s="16" customFormat="1">
      <c r="G699" s="22"/>
      <c r="I699" s="23"/>
    </row>
    <row r="700" spans="7:9" s="16" customFormat="1">
      <c r="G700" s="22"/>
      <c r="I700" s="23"/>
    </row>
    <row r="701" spans="7:9" s="16" customFormat="1">
      <c r="G701" s="22"/>
      <c r="I701" s="23"/>
    </row>
    <row r="702" spans="7:9" s="16" customFormat="1">
      <c r="G702" s="22"/>
      <c r="I702" s="23"/>
    </row>
    <row r="703" spans="7:9" s="16" customFormat="1">
      <c r="G703" s="22"/>
      <c r="I703" s="23"/>
    </row>
    <row r="704" spans="7:9" s="16" customFormat="1">
      <c r="G704" s="22"/>
      <c r="I704" s="23"/>
    </row>
    <row r="705" spans="7:9" s="16" customFormat="1">
      <c r="G705" s="22"/>
      <c r="I705" s="23"/>
    </row>
    <row r="706" spans="7:9" s="16" customFormat="1">
      <c r="G706" s="22"/>
      <c r="I706" s="23"/>
    </row>
    <row r="707" spans="7:9" s="16" customFormat="1">
      <c r="G707" s="22"/>
      <c r="I707" s="23"/>
    </row>
    <row r="708" spans="7:9" s="16" customFormat="1">
      <c r="G708" s="22"/>
      <c r="I708" s="23"/>
    </row>
    <row r="709" spans="7:9" s="16" customFormat="1">
      <c r="G709" s="22"/>
      <c r="I709" s="23"/>
    </row>
    <row r="710" spans="7:9" s="16" customFormat="1">
      <c r="G710" s="22"/>
      <c r="I710" s="23"/>
    </row>
    <row r="711" spans="7:9" s="16" customFormat="1">
      <c r="G711" s="22"/>
      <c r="I711" s="23"/>
    </row>
    <row r="712" spans="7:9" s="16" customFormat="1">
      <c r="G712" s="22"/>
      <c r="I712" s="23"/>
    </row>
    <row r="713" spans="7:9" s="16" customFormat="1">
      <c r="G713" s="22"/>
      <c r="I713" s="23"/>
    </row>
    <row r="714" spans="7:9" s="16" customFormat="1">
      <c r="G714" s="22"/>
      <c r="I714" s="23"/>
    </row>
    <row r="715" spans="7:9" s="16" customFormat="1">
      <c r="G715" s="22"/>
      <c r="I715" s="23"/>
    </row>
    <row r="716" spans="7:9" s="16" customFormat="1">
      <c r="G716" s="22"/>
      <c r="I716" s="23"/>
    </row>
    <row r="717" spans="7:9" s="16" customFormat="1">
      <c r="G717" s="22"/>
      <c r="I717" s="23"/>
    </row>
    <row r="718" spans="7:9" s="16" customFormat="1">
      <c r="G718" s="22"/>
      <c r="I718" s="23"/>
    </row>
    <row r="719" spans="7:9" s="16" customFormat="1">
      <c r="G719" s="22"/>
      <c r="I719" s="23"/>
    </row>
    <row r="720" spans="7:9" s="16" customFormat="1">
      <c r="G720" s="22"/>
      <c r="I720" s="23"/>
    </row>
    <row r="721" spans="7:9" s="16" customFormat="1">
      <c r="G721" s="22"/>
      <c r="I721" s="23"/>
    </row>
    <row r="722" spans="7:9" s="16" customFormat="1">
      <c r="G722" s="22"/>
      <c r="I722" s="23"/>
    </row>
    <row r="723" spans="7:9" s="16" customFormat="1">
      <c r="G723" s="22"/>
      <c r="I723" s="23"/>
    </row>
    <row r="724" spans="7:9" s="16" customFormat="1">
      <c r="G724" s="22"/>
      <c r="I724" s="23"/>
    </row>
    <row r="725" spans="7:9" s="16" customFormat="1">
      <c r="G725" s="22"/>
      <c r="I725" s="23"/>
    </row>
    <row r="726" spans="7:9" s="16" customFormat="1">
      <c r="G726" s="22"/>
      <c r="I726" s="23"/>
    </row>
    <row r="727" spans="7:9" s="16" customFormat="1">
      <c r="G727" s="22"/>
      <c r="I727" s="23"/>
    </row>
    <row r="728" spans="7:9" s="16" customFormat="1">
      <c r="G728" s="22"/>
      <c r="I728" s="23"/>
    </row>
    <row r="729" spans="7:9" s="16" customFormat="1">
      <c r="G729" s="22"/>
      <c r="I729" s="23"/>
    </row>
    <row r="730" spans="7:9" s="16" customFormat="1">
      <c r="G730" s="22"/>
      <c r="I730" s="23"/>
    </row>
    <row r="731" spans="7:9" s="16" customFormat="1">
      <c r="G731" s="22"/>
      <c r="I731" s="23"/>
    </row>
    <row r="732" spans="7:9" s="16" customFormat="1">
      <c r="G732" s="22"/>
      <c r="I732" s="23"/>
    </row>
    <row r="733" spans="7:9" s="16" customFormat="1">
      <c r="G733" s="22"/>
      <c r="I733" s="23"/>
    </row>
    <row r="734" spans="7:9" s="16" customFormat="1">
      <c r="G734" s="22"/>
      <c r="I734" s="23"/>
    </row>
    <row r="735" spans="7:9" s="16" customFormat="1">
      <c r="G735" s="22"/>
      <c r="I735" s="23"/>
    </row>
    <row r="736" spans="7:9" s="16" customFormat="1">
      <c r="G736" s="22"/>
      <c r="I736" s="23"/>
    </row>
    <row r="737" spans="7:9" s="16" customFormat="1">
      <c r="G737" s="22"/>
      <c r="I737" s="23"/>
    </row>
    <row r="738" spans="7:9" s="16" customFormat="1">
      <c r="G738" s="22"/>
      <c r="I738" s="23"/>
    </row>
    <row r="739" spans="7:9" s="16" customFormat="1">
      <c r="G739" s="22"/>
      <c r="I739" s="23"/>
    </row>
    <row r="740" spans="7:9" s="16" customFormat="1">
      <c r="G740" s="22"/>
      <c r="I740" s="23"/>
    </row>
    <row r="741" spans="7:9" s="16" customFormat="1">
      <c r="G741" s="22"/>
      <c r="I741" s="23"/>
    </row>
    <row r="742" spans="7:9" s="16" customFormat="1">
      <c r="G742" s="22"/>
      <c r="I742" s="23"/>
    </row>
    <row r="743" spans="7:9" s="16" customFormat="1">
      <c r="G743" s="22"/>
      <c r="I743" s="23"/>
    </row>
    <row r="744" spans="7:9" s="16" customFormat="1">
      <c r="G744" s="22"/>
      <c r="I744" s="23"/>
    </row>
    <row r="745" spans="7:9" s="16" customFormat="1">
      <c r="G745" s="22"/>
      <c r="I745" s="23"/>
    </row>
    <row r="746" spans="7:9" s="16" customFormat="1">
      <c r="G746" s="22"/>
      <c r="I746" s="23"/>
    </row>
    <row r="747" spans="7:9" s="16" customFormat="1">
      <c r="G747" s="22"/>
      <c r="I747" s="23"/>
    </row>
    <row r="748" spans="7:9" s="16" customFormat="1">
      <c r="G748" s="22"/>
      <c r="I748" s="23"/>
    </row>
    <row r="749" spans="7:9" s="16" customFormat="1">
      <c r="G749" s="22"/>
      <c r="I749" s="23"/>
    </row>
    <row r="750" spans="7:9" s="16" customFormat="1">
      <c r="G750" s="22"/>
      <c r="I750" s="23"/>
    </row>
    <row r="751" spans="7:9" s="16" customFormat="1">
      <c r="G751" s="22"/>
      <c r="I751" s="23"/>
    </row>
    <row r="752" spans="7:9" s="16" customFormat="1">
      <c r="G752" s="22"/>
      <c r="I752" s="23"/>
    </row>
    <row r="753" spans="7:9" s="16" customFormat="1">
      <c r="G753" s="22"/>
      <c r="I753" s="23"/>
    </row>
    <row r="754" spans="7:9" s="16" customFormat="1">
      <c r="G754" s="22"/>
      <c r="I754" s="23"/>
    </row>
    <row r="755" spans="7:9" s="16" customFormat="1">
      <c r="G755" s="22"/>
      <c r="I755" s="23"/>
    </row>
    <row r="756" spans="7:9" s="16" customFormat="1">
      <c r="G756" s="22"/>
      <c r="I756" s="23"/>
    </row>
    <row r="757" spans="7:9" s="16" customFormat="1">
      <c r="G757" s="22"/>
      <c r="I757" s="23"/>
    </row>
    <row r="758" spans="7:9" s="16" customFormat="1">
      <c r="G758" s="22"/>
      <c r="I758" s="23"/>
    </row>
    <row r="759" spans="7:9" s="16" customFormat="1">
      <c r="G759" s="22"/>
      <c r="I759" s="23"/>
    </row>
    <row r="760" spans="7:9" s="16" customFormat="1">
      <c r="G760" s="22"/>
      <c r="I760" s="23"/>
    </row>
    <row r="761" spans="7:9" s="16" customFormat="1">
      <c r="G761" s="22"/>
      <c r="I761" s="23"/>
    </row>
    <row r="762" spans="7:9" s="16" customFormat="1">
      <c r="G762" s="22"/>
      <c r="I762" s="23"/>
    </row>
    <row r="763" spans="7:9" s="16" customFormat="1">
      <c r="G763" s="22"/>
      <c r="I763" s="23"/>
    </row>
    <row r="764" spans="7:9" s="16" customFormat="1">
      <c r="G764" s="22"/>
      <c r="I764" s="23"/>
    </row>
    <row r="765" spans="7:9" s="16" customFormat="1">
      <c r="G765" s="22"/>
      <c r="I765" s="23"/>
    </row>
    <row r="766" spans="7:9" s="16" customFormat="1">
      <c r="G766" s="22"/>
      <c r="I766" s="23"/>
    </row>
    <row r="767" spans="7:9" s="16" customFormat="1">
      <c r="G767" s="22"/>
      <c r="I767" s="23"/>
    </row>
    <row r="768" spans="7:9" s="16" customFormat="1">
      <c r="G768" s="22"/>
      <c r="I768" s="23"/>
    </row>
    <row r="769" spans="7:9" s="16" customFormat="1">
      <c r="G769" s="22"/>
      <c r="I769" s="23"/>
    </row>
    <row r="770" spans="7:9" s="16" customFormat="1">
      <c r="G770" s="22"/>
      <c r="I770" s="23"/>
    </row>
    <row r="771" spans="7:9" s="16" customFormat="1">
      <c r="G771" s="22"/>
      <c r="I771" s="23"/>
    </row>
    <row r="772" spans="7:9" s="16" customFormat="1">
      <c r="G772" s="22"/>
      <c r="I772" s="23"/>
    </row>
    <row r="773" spans="7:9" s="16" customFormat="1">
      <c r="G773" s="22"/>
      <c r="I773" s="23"/>
    </row>
    <row r="774" spans="7:9" s="16" customFormat="1">
      <c r="G774" s="22"/>
      <c r="I774" s="23"/>
    </row>
    <row r="775" spans="7:9" s="16" customFormat="1">
      <c r="G775" s="22"/>
      <c r="I775" s="23"/>
    </row>
    <row r="776" spans="7:9" s="16" customFormat="1">
      <c r="G776" s="22"/>
      <c r="I776" s="23"/>
    </row>
    <row r="777" spans="7:9" s="16" customFormat="1">
      <c r="G777" s="22"/>
      <c r="I777" s="23"/>
    </row>
    <row r="778" spans="7:9" s="16" customFormat="1">
      <c r="G778" s="22"/>
      <c r="I778" s="23"/>
    </row>
    <row r="779" spans="7:9" s="16" customFormat="1">
      <c r="G779" s="22"/>
      <c r="I779" s="23"/>
    </row>
    <row r="780" spans="7:9" s="16" customFormat="1">
      <c r="G780" s="22"/>
      <c r="I780" s="23"/>
    </row>
    <row r="781" spans="7:9" s="16" customFormat="1">
      <c r="G781" s="22"/>
      <c r="I781" s="23"/>
    </row>
    <row r="782" spans="7:9" s="16" customFormat="1">
      <c r="G782" s="22"/>
      <c r="I782" s="23"/>
    </row>
    <row r="783" spans="7:9" s="16" customFormat="1">
      <c r="G783" s="22"/>
      <c r="I783" s="23"/>
    </row>
    <row r="784" spans="7:9" s="16" customFormat="1">
      <c r="G784" s="22"/>
      <c r="I784" s="23"/>
    </row>
    <row r="785" spans="7:9" s="16" customFormat="1">
      <c r="G785" s="22"/>
      <c r="I785" s="23"/>
    </row>
    <row r="786" spans="7:9" s="16" customFormat="1">
      <c r="G786" s="22"/>
      <c r="I786" s="23"/>
    </row>
    <row r="787" spans="7:9" s="16" customFormat="1">
      <c r="G787" s="22"/>
      <c r="I787" s="23"/>
    </row>
    <row r="788" spans="7:9" s="16" customFormat="1">
      <c r="G788" s="22"/>
      <c r="I788" s="23"/>
    </row>
    <row r="789" spans="7:9" s="16" customFormat="1">
      <c r="G789" s="22"/>
      <c r="I789" s="23"/>
    </row>
    <row r="790" spans="7:9" s="16" customFormat="1">
      <c r="G790" s="22"/>
      <c r="I790" s="23"/>
    </row>
    <row r="791" spans="7:9" s="16" customFormat="1">
      <c r="G791" s="22"/>
      <c r="I791" s="23"/>
    </row>
    <row r="792" spans="7:9" s="16" customFormat="1">
      <c r="G792" s="22"/>
      <c r="I792" s="23"/>
    </row>
    <row r="793" spans="7:9" s="16" customFormat="1">
      <c r="G793" s="22"/>
      <c r="I793" s="23"/>
    </row>
    <row r="794" spans="7:9" s="16" customFormat="1">
      <c r="G794" s="22"/>
      <c r="I794" s="23"/>
    </row>
    <row r="795" spans="7:9" s="16" customFormat="1">
      <c r="G795" s="22"/>
      <c r="I795" s="23"/>
    </row>
    <row r="796" spans="7:9" s="16" customFormat="1">
      <c r="G796" s="22"/>
      <c r="I796" s="23"/>
    </row>
    <row r="797" spans="7:9" s="16" customFormat="1">
      <c r="G797" s="22"/>
      <c r="I797" s="23"/>
    </row>
    <row r="798" spans="7:9" s="16" customFormat="1">
      <c r="G798" s="22"/>
      <c r="I798" s="23"/>
    </row>
    <row r="799" spans="7:9" s="16" customFormat="1">
      <c r="G799" s="22"/>
      <c r="I799" s="23"/>
    </row>
    <row r="800" spans="7:9" s="16" customFormat="1">
      <c r="G800" s="22"/>
      <c r="I800" s="23"/>
    </row>
    <row r="801" spans="7:9" s="16" customFormat="1">
      <c r="G801" s="22"/>
      <c r="I801" s="23"/>
    </row>
    <row r="802" spans="7:9" s="16" customFormat="1">
      <c r="G802" s="22"/>
      <c r="I802" s="23"/>
    </row>
    <row r="803" spans="7:9" s="16" customFormat="1">
      <c r="G803" s="22"/>
      <c r="I803" s="23"/>
    </row>
    <row r="804" spans="7:9" s="16" customFormat="1">
      <c r="G804" s="22"/>
      <c r="I804" s="23"/>
    </row>
    <row r="805" spans="7:9" s="16" customFormat="1">
      <c r="G805" s="22"/>
      <c r="I805" s="23"/>
    </row>
    <row r="806" spans="7:9" s="16" customFormat="1">
      <c r="G806" s="22"/>
      <c r="I806" s="23"/>
    </row>
    <row r="807" spans="7:9" s="16" customFormat="1">
      <c r="G807" s="22"/>
      <c r="I807" s="23"/>
    </row>
    <row r="808" spans="7:9" s="16" customFormat="1">
      <c r="G808" s="22"/>
      <c r="I808" s="23"/>
    </row>
    <row r="809" spans="7:9" s="16" customFormat="1">
      <c r="G809" s="22"/>
      <c r="I809" s="23"/>
    </row>
    <row r="810" spans="7:9" s="16" customFormat="1">
      <c r="G810" s="22"/>
      <c r="I810" s="23"/>
    </row>
    <row r="811" spans="7:9" s="16" customFormat="1">
      <c r="G811" s="22"/>
      <c r="I811" s="23"/>
    </row>
    <row r="812" spans="7:9" s="16" customFormat="1">
      <c r="G812" s="22"/>
      <c r="I812" s="23"/>
    </row>
    <row r="813" spans="7:9" s="16" customFormat="1">
      <c r="G813" s="22"/>
      <c r="I813" s="23"/>
    </row>
  </sheetData>
  <mergeCells count="2">
    <mergeCell ref="C1:I1"/>
    <mergeCell ref="C2:I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MIGCS</vt:lpstr>
      <vt:lpstr>MICHF</vt:lpstr>
      <vt:lpstr>MACMF</vt:lpstr>
      <vt:lpstr>MILPF</vt:lpstr>
      <vt:lpstr>MISTB</vt:lpstr>
      <vt:lpstr>MAIPF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Vilas Chapekar</dc:creator>
  <cp:lastModifiedBy>Harshad Iyer</cp:lastModifiedBy>
  <dcterms:created xsi:type="dcterms:W3CDTF">2015-10-06T10:54:22Z</dcterms:created>
  <dcterms:modified xsi:type="dcterms:W3CDTF">2015-10-07T06:00:03Z</dcterms:modified>
</cp:coreProperties>
</file>