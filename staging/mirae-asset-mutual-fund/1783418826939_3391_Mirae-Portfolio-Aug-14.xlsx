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270" windowWidth="14940" windowHeight="9150"/>
  </bookViews>
  <sheets>
    <sheet name="MIIOF" sheetId="7" r:id="rId1"/>
    <sheet name="MAEBF" sheetId="2" r:id="rId2"/>
    <sheet name="MICCF" sheetId="4" r:id="rId3"/>
    <sheet name="MICHF" sheetId="5" r:id="rId4"/>
    <sheet name="MIGCS" sheetId="6" r:id="rId5"/>
    <sheet name="MACMF" sheetId="1" r:id="rId6"/>
    <sheet name="MILPF" sheetId="8" r:id="rId7"/>
    <sheet name="MISTB" sheetId="9" r:id="rId8"/>
    <sheet name="MAFM368" sheetId="3" r:id="rId9"/>
  </sheets>
  <calcPr calcId="145621"/>
</workbook>
</file>

<file path=xl/calcChain.xml><?xml version="1.0" encoding="utf-8"?>
<calcChain xmlns="http://schemas.openxmlformats.org/spreadsheetml/2006/main">
  <c r="G36" i="9" l="1"/>
  <c r="F36" i="9"/>
  <c r="G28" i="5"/>
  <c r="F28" i="5"/>
  <c r="G34" i="1"/>
  <c r="F34" i="1"/>
  <c r="G39" i="8"/>
  <c r="F39" i="8"/>
  <c r="G54" i="4" l="1"/>
  <c r="F54" i="4"/>
  <c r="G43" i="4"/>
  <c r="F43" i="4"/>
  <c r="G38" i="4"/>
  <c r="F38" i="4"/>
  <c r="G44" i="6"/>
  <c r="F44" i="6"/>
  <c r="G18" i="6"/>
  <c r="F18" i="6"/>
</calcChain>
</file>

<file path=xl/sharedStrings.xml><?xml version="1.0" encoding="utf-8"?>
<sst xmlns="http://schemas.openxmlformats.org/spreadsheetml/2006/main" count="1428" uniqueCount="381">
  <si>
    <t>Mirae Asset Cash Management Fund</t>
  </si>
  <si>
    <t/>
  </si>
  <si>
    <t>Monthly Portfolio Statement as on August 31,2014</t>
  </si>
  <si>
    <t>Name of the Instrument</t>
  </si>
  <si>
    <t>ISIN</t>
  </si>
  <si>
    <t>Rating</t>
  </si>
  <si>
    <t>Quantity</t>
  </si>
  <si>
    <t>Market/Fair Value
 (Rs. in Lacs)</t>
  </si>
  <si>
    <t>% to Net
 Assets</t>
  </si>
  <si>
    <t>Money Market Instruments</t>
  </si>
  <si>
    <t>Certificate of Deposit</t>
  </si>
  <si>
    <t>Corporation Bank (05/09/2014) ** #</t>
  </si>
  <si>
    <t>INE112A16EC1</t>
  </si>
  <si>
    <t>CRISIL A1+</t>
  </si>
  <si>
    <t>Axis Bank Ltd (25/09/2014) ** #</t>
  </si>
  <si>
    <t>INE238A16WV6</t>
  </si>
  <si>
    <t>Canara Bank (07/10/2014) ** #</t>
  </si>
  <si>
    <t>INE476A16OD7</t>
  </si>
  <si>
    <t>Oriental Bank of Commerce (08/10/2014) ** #</t>
  </si>
  <si>
    <t>INE141A16QL5</t>
  </si>
  <si>
    <t>Canara Bank (10/10/2014) ** #</t>
  </si>
  <si>
    <t>INE476A16OJ4</t>
  </si>
  <si>
    <t>Indusind Bank Ltd (20/10/2014) ** #</t>
  </si>
  <si>
    <t>INE095A16OR5</t>
  </si>
  <si>
    <t>ICRA A1+</t>
  </si>
  <si>
    <t>Bank of India (15/09/2014) ** #</t>
  </si>
  <si>
    <t>INE084A16AO5</t>
  </si>
  <si>
    <t>Oriental Bank of Commerce (20/10/2014) ** #</t>
  </si>
  <si>
    <t>INE141A16QO9</t>
  </si>
  <si>
    <t>Sub Total</t>
  </si>
  <si>
    <t>Total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</si>
  <si>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</si>
  <si>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</si>
  <si>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</si>
  <si>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</si>
  <si>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</si>
  <si>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</si>
  <si>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</si>
  <si>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</si>
  <si>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</si>
  <si>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</si>
  <si>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</si>
  <si>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Tech Mahindra Ltd</t>
  </si>
  <si>
    <t>INE669C01028</t>
  </si>
  <si>
    <t>Software</t>
  </si>
  <si>
    <t>ICICI Bank Ltd</t>
  </si>
  <si>
    <t>INE090A01013</t>
  </si>
  <si>
    <t>Banks</t>
  </si>
  <si>
    <t>Sundaram Finance Ltd</t>
  </si>
  <si>
    <t>INE660A01013</t>
  </si>
  <si>
    <t>Finance</t>
  </si>
  <si>
    <t>Motherson Sumi Systems Ltd</t>
  </si>
  <si>
    <t>INE775A01035</t>
  </si>
  <si>
    <t>Auto Ancillaries</t>
  </si>
  <si>
    <t>Hindustan Petroleum Corporation Ltd</t>
  </si>
  <si>
    <t>INE094A01015</t>
  </si>
  <si>
    <t>Petroleum Products</t>
  </si>
  <si>
    <t>The Federal Bank  Ltd</t>
  </si>
  <si>
    <t>INE171A01029</t>
  </si>
  <si>
    <t>HSIL Ltd</t>
  </si>
  <si>
    <t>INE415A01038</t>
  </si>
  <si>
    <t>Consumer Durables</t>
  </si>
  <si>
    <t>IPCA Laboratories Ltd</t>
  </si>
  <si>
    <t>INE571A01020</t>
  </si>
  <si>
    <t>Pharmaceuticals</t>
  </si>
  <si>
    <t>JK Cement Ltd</t>
  </si>
  <si>
    <t>INE823G01014</t>
  </si>
  <si>
    <t>Cement</t>
  </si>
  <si>
    <t>Gateway Distriparks Ltd</t>
  </si>
  <si>
    <t>INE852F01015</t>
  </si>
  <si>
    <t>Transportation</t>
  </si>
  <si>
    <t>Yes Bank Ltd</t>
  </si>
  <si>
    <t>INE528G01019</t>
  </si>
  <si>
    <t>Vinati Organics Ltd</t>
  </si>
  <si>
    <t>INE410B01029</t>
  </si>
  <si>
    <t>Chemicals</t>
  </si>
  <si>
    <t>Divi's Laboratories Ltd</t>
  </si>
  <si>
    <t>INE361B01024</t>
  </si>
  <si>
    <t>CESC Ltd</t>
  </si>
  <si>
    <t>INE486A01013</t>
  </si>
  <si>
    <t>Power</t>
  </si>
  <si>
    <t>Amara Raja Batteries Ltd</t>
  </si>
  <si>
    <t>INE885A01032</t>
  </si>
  <si>
    <t>Atul Ltd</t>
  </si>
  <si>
    <t>INE100A01010</t>
  </si>
  <si>
    <t>FAG Bearings India Ltd</t>
  </si>
  <si>
    <t>INE513A01014</t>
  </si>
  <si>
    <t>Industrial Products</t>
  </si>
  <si>
    <t>Prism CEMENT Ltd</t>
  </si>
  <si>
    <t>INE010A01011</t>
  </si>
  <si>
    <t>Torrent Pharmaceuticals Ltd</t>
  </si>
  <si>
    <t>INE685A01028</t>
  </si>
  <si>
    <t>Tata Chemicals Ltd</t>
  </si>
  <si>
    <t>INE092A01019</t>
  </si>
  <si>
    <t>VST Tillers Tractors Ltd</t>
  </si>
  <si>
    <t>INE764D01017</t>
  </si>
  <si>
    <t>Auto</t>
  </si>
  <si>
    <t>Bank of Baroda</t>
  </si>
  <si>
    <t>INE028A01013</t>
  </si>
  <si>
    <t>Carborundum Universal Ltd</t>
  </si>
  <si>
    <t>INE120A01034</t>
  </si>
  <si>
    <t>Coromandel International Ltd</t>
  </si>
  <si>
    <t>INE169A01031</t>
  </si>
  <si>
    <t>Fertilisers</t>
  </si>
  <si>
    <t>Bharat Forge Ltd</t>
  </si>
  <si>
    <t>INE465A01025</t>
  </si>
  <si>
    <t>Bajaj Finance Ltd</t>
  </si>
  <si>
    <t>INE296A01016</t>
  </si>
  <si>
    <t>Info Edge (India) Ltd</t>
  </si>
  <si>
    <t>INE663F01024</t>
  </si>
  <si>
    <t>Cadila Healthcare Ltd</t>
  </si>
  <si>
    <t>INE010B01019</t>
  </si>
  <si>
    <t>Gulf Oil Lubricants India Ltd</t>
  </si>
  <si>
    <t>INE635Q01029</t>
  </si>
  <si>
    <t>Eicher Motors Ltd</t>
  </si>
  <si>
    <t>INE066A01013</t>
  </si>
  <si>
    <t>Transport Corporation Of India Ltd</t>
  </si>
  <si>
    <t>INE688A01022</t>
  </si>
  <si>
    <t>Exide Industries Ltd</t>
  </si>
  <si>
    <t>INE302A01020</t>
  </si>
  <si>
    <t>Oil India Ltd</t>
  </si>
  <si>
    <t>INE274J01014</t>
  </si>
  <si>
    <t>Oil</t>
  </si>
  <si>
    <t>Adani Ports and Special Economic Zone Ltd</t>
  </si>
  <si>
    <t>INE742F01042</t>
  </si>
  <si>
    <t>Pidilite Industries Ltd</t>
  </si>
  <si>
    <t>INE318A01026</t>
  </si>
  <si>
    <t>Akzo Nobel India Ltd</t>
  </si>
  <si>
    <t>INE133A01011</t>
  </si>
  <si>
    <t>Consumer Non Durables</t>
  </si>
  <si>
    <t>Glenmark Pharmaceuticals Ltd</t>
  </si>
  <si>
    <t>INE935A01035</t>
  </si>
  <si>
    <t>Britannia Industries Ltd</t>
  </si>
  <si>
    <t>INE216A01022</t>
  </si>
  <si>
    <t>Crompton  Greaves Ltd</t>
  </si>
  <si>
    <t>INE067A01029</t>
  </si>
  <si>
    <t>Industrial Capital Goods</t>
  </si>
  <si>
    <t>Titan Company Limited</t>
  </si>
  <si>
    <t>INE280A01028</t>
  </si>
  <si>
    <t>LIC Housing Finance Ltd</t>
  </si>
  <si>
    <t>INE115A01026</t>
  </si>
  <si>
    <t>Colgate Palmolive (India) Ltd</t>
  </si>
  <si>
    <t>INE259A01022</t>
  </si>
  <si>
    <t>Natco Pharma Ltd</t>
  </si>
  <si>
    <t>INE987B01018</t>
  </si>
  <si>
    <t>Godfrey Phillips India Ltd</t>
  </si>
  <si>
    <t>INE260B01010</t>
  </si>
  <si>
    <t>Gulf Oil Corporation Ltd</t>
  </si>
  <si>
    <t>INE077F01035</t>
  </si>
  <si>
    <t>Indian Bank</t>
  </si>
  <si>
    <t>INE562A01011</t>
  </si>
  <si>
    <t>Karur Vysya Bank Ltd</t>
  </si>
  <si>
    <t>INE036D01010</t>
  </si>
  <si>
    <t>ING Vysya Bank Ltd</t>
  </si>
  <si>
    <t>INE166A01011</t>
  </si>
  <si>
    <t>HT Media Ltd</t>
  </si>
  <si>
    <t>INE501G01024</t>
  </si>
  <si>
    <t>Media &amp; Entertainment</t>
  </si>
  <si>
    <t>Solar Industries India Ltd</t>
  </si>
  <si>
    <t>INE343H01011</t>
  </si>
  <si>
    <t>Eclerx Services Ltd</t>
  </si>
  <si>
    <t>INE738I01010</t>
  </si>
  <si>
    <t>Multi Commodity Exchange of India Ltd</t>
  </si>
  <si>
    <t>INE745G01035</t>
  </si>
  <si>
    <t>Aurobindo Pharma Ltd</t>
  </si>
  <si>
    <t>INE406A01037</t>
  </si>
  <si>
    <t>Gujarat Mineral Development Corporation Ltd</t>
  </si>
  <si>
    <t>INE131A01031</t>
  </si>
  <si>
    <t>Minerals/Mining</t>
  </si>
  <si>
    <t>Gujarat State Petronet Ltd</t>
  </si>
  <si>
    <t>INE246F01010</t>
  </si>
  <si>
    <t>Gas</t>
  </si>
  <si>
    <t>Gayatri Projects Ltd</t>
  </si>
  <si>
    <t>INE336H01015</t>
  </si>
  <si>
    <t>Construction</t>
  </si>
  <si>
    <t>Petronet LNG Ltd</t>
  </si>
  <si>
    <t>INE347G01014</t>
  </si>
  <si>
    <t>NIIT Technologies Ltd</t>
  </si>
  <si>
    <t>INE591G01017</t>
  </si>
  <si>
    <t>Tamil Nadu Newsprint &amp; Papers Ltd</t>
  </si>
  <si>
    <t>INE107A01015</t>
  </si>
  <si>
    <t>Paper</t>
  </si>
  <si>
    <t>VIP Industries Ltd</t>
  </si>
  <si>
    <t>INE054A01027</t>
  </si>
  <si>
    <t>(b) Unlisted</t>
  </si>
  <si>
    <t>NIL</t>
  </si>
  <si>
    <t>Axis Bank Ltd (23/02/2015) ** #</t>
  </si>
  <si>
    <t>INE238A16VV8</t>
  </si>
  <si>
    <t>Indusind Bank Ltd (23/02/2015) ** #</t>
  </si>
  <si>
    <t>INE095A16MG2</t>
  </si>
  <si>
    <t>Oriental Bank of Commerce (20/02/2015) ** #</t>
  </si>
  <si>
    <t>INE141A16OL0</t>
  </si>
  <si>
    <t>Commercial Paper</t>
  </si>
  <si>
    <t>Tata Capital Ltd (23/02/2015) ** #</t>
  </si>
  <si>
    <t>INE976I14HW8</t>
  </si>
  <si>
    <t>Others</t>
  </si>
  <si>
    <t>Mutual Fund Units</t>
  </si>
  <si>
    <t>Mirae Asset Cash Management Fund - DIRECT GROWTH</t>
  </si>
  <si>
    <t>INF769K01CM1</t>
  </si>
  <si>
    <t>Mirae Asset India China Consumption Fund</t>
  </si>
  <si>
    <t>IN9155A01020</t>
  </si>
  <si>
    <t>Tencent Holdings</t>
  </si>
  <si>
    <t>KYG875721634</t>
  </si>
  <si>
    <t>Internet Software &amp; Services</t>
  </si>
  <si>
    <t>HDFC Bank Ltd</t>
  </si>
  <si>
    <t>INE040A01026</t>
  </si>
  <si>
    <t>ITC Ltd</t>
  </si>
  <si>
    <t>INE154A01025</t>
  </si>
  <si>
    <t>Lenovo Group Ltd</t>
  </si>
  <si>
    <t>HK0992009065</t>
  </si>
  <si>
    <t>Computer Hardware</t>
  </si>
  <si>
    <t>Vipshop Holding Ltd</t>
  </si>
  <si>
    <t>US92763W1036</t>
  </si>
  <si>
    <t>Oil &amp; Gas Exploration &amp; Production</t>
  </si>
  <si>
    <t>Housing Development Finance Corporation Ltd</t>
  </si>
  <si>
    <t>INE001A01036</t>
  </si>
  <si>
    <t>Sands China Ltd</t>
  </si>
  <si>
    <t>KYG7800X1079</t>
  </si>
  <si>
    <t>Casinos &amp; Gaming</t>
  </si>
  <si>
    <t>AIA GROUP LTD</t>
  </si>
  <si>
    <t>HK0000069689</t>
  </si>
  <si>
    <t>Life &amp; Health Insurance</t>
  </si>
  <si>
    <t>Maruti Suzuki India Ltd</t>
  </si>
  <si>
    <t>INE585B01010</t>
  </si>
  <si>
    <t>Bharti Airtel Ltd</t>
  </si>
  <si>
    <t>INE397D01024</t>
  </si>
  <si>
    <t>Telecom - Services</t>
  </si>
  <si>
    <t>State Bank of India</t>
  </si>
  <si>
    <t>INE062A01012</t>
  </si>
  <si>
    <t>Brilliance China Automotive Holdings Ltd</t>
  </si>
  <si>
    <t>BMG1368B1028</t>
  </si>
  <si>
    <t>Automobile Manufacturers</t>
  </si>
  <si>
    <t>Sihuan Pharmaceutical Holdings Group Ord Shs</t>
  </si>
  <si>
    <t>BMG8162K1137</t>
  </si>
  <si>
    <t>Melco International Development Ltd</t>
  </si>
  <si>
    <t>HK0200030994</t>
  </si>
  <si>
    <t>Nestle India Ltd</t>
  </si>
  <si>
    <t>INE239A01016</t>
  </si>
  <si>
    <t>Procter &amp; Gamble Hygiene and Health Care Ltd</t>
  </si>
  <si>
    <t>INE179A01014</t>
  </si>
  <si>
    <t>United Spirits Ltd</t>
  </si>
  <si>
    <t>INE854D01016</t>
  </si>
  <si>
    <t>Samsonite  International  S A</t>
  </si>
  <si>
    <t>LU0633102719</t>
  </si>
  <si>
    <t>Apparel, Accessories and Luxury Goods</t>
  </si>
  <si>
    <t>Mirae Asset China Advantage Fund</t>
  </si>
  <si>
    <t>Industry / Rating</t>
  </si>
  <si>
    <t>International  Mutual Fund Units</t>
  </si>
  <si>
    <t>Mirae Asset China Sector Leader Eq Class X Cap USD</t>
  </si>
  <si>
    <t>LU0587760769</t>
  </si>
  <si>
    <t>Mirae Asset Global Commodity Stocks Fund</t>
  </si>
  <si>
    <t>Oil &amp; Natural Gas Corporation Ltd</t>
  </si>
  <si>
    <t>INE213A01029</t>
  </si>
  <si>
    <t>BHP Billiton Ltd</t>
  </si>
  <si>
    <t>AU000000BHP4</t>
  </si>
  <si>
    <t>Diversified Metals &amp; Mining</t>
  </si>
  <si>
    <t>Reliance Industries Ltd</t>
  </si>
  <si>
    <t>INE002A01018</t>
  </si>
  <si>
    <t>Petrochina Company Ltd</t>
  </si>
  <si>
    <t>CNE1000003W8</t>
  </si>
  <si>
    <t>Integrated Oil &amp; Gas</t>
  </si>
  <si>
    <t>Cnooc Ltd</t>
  </si>
  <si>
    <t>HK0883013259</t>
  </si>
  <si>
    <t>China Petroleum -H-</t>
  </si>
  <si>
    <t>CNE1000002Q2</t>
  </si>
  <si>
    <t>Rio Tinto Ltd</t>
  </si>
  <si>
    <t>AU000000RIO1</t>
  </si>
  <si>
    <t>Sesa Sterlite Ltd</t>
  </si>
  <si>
    <t>INE205A01025</t>
  </si>
  <si>
    <t>Woodside Petroleum Ltd</t>
  </si>
  <si>
    <t>AU000000WPL2</t>
  </si>
  <si>
    <t>Origin Energy Ltd</t>
  </si>
  <si>
    <t>AU000000ORG5</t>
  </si>
  <si>
    <t>Santos Ltd-AUD</t>
  </si>
  <si>
    <t>AU000000STO6</t>
  </si>
  <si>
    <t>Coal India Ltd</t>
  </si>
  <si>
    <t>INE522F01014</t>
  </si>
  <si>
    <t>AMCOR LIMITED</t>
  </si>
  <si>
    <t>AU000000AMC4</t>
  </si>
  <si>
    <t>Paper Packaging</t>
  </si>
  <si>
    <t>China Shenhua - H</t>
  </si>
  <si>
    <t>CNE1000002R0</t>
  </si>
  <si>
    <t>Coal &amp; Consumable Fuels</t>
  </si>
  <si>
    <t>Oil Search Ltd</t>
  </si>
  <si>
    <t>PG0008579883</t>
  </si>
  <si>
    <t>SK Innovation Co Ltd</t>
  </si>
  <si>
    <t>KR7096770003</t>
  </si>
  <si>
    <t>Oil &amp; Gas Refining &amp; Marketing</t>
  </si>
  <si>
    <t>Kunlun Energy Company Ltd</t>
  </si>
  <si>
    <t>BMG5320C1082</t>
  </si>
  <si>
    <t>Bharat Petroleum Corporation Ltd</t>
  </si>
  <si>
    <t>INE029A01011</t>
  </si>
  <si>
    <t>Orica Ltd</t>
  </si>
  <si>
    <t>AU000000ORI1</t>
  </si>
  <si>
    <t>Commodity Chemicals</t>
  </si>
  <si>
    <t>Hindalco Industries Ltd</t>
  </si>
  <si>
    <t>INE038A01020</t>
  </si>
  <si>
    <t>Non - Ferrous Metals</t>
  </si>
  <si>
    <t>POSCO (Pohang Iron &amp; Steel Co Ltd )</t>
  </si>
  <si>
    <t>KR7005490008</t>
  </si>
  <si>
    <t>Steel</t>
  </si>
  <si>
    <t>Anhui Conch -H-</t>
  </si>
  <si>
    <t>CNE1000001W2</t>
  </si>
  <si>
    <t>Construction Materials</t>
  </si>
  <si>
    <t>Cairn India Ltd</t>
  </si>
  <si>
    <t>INE910H01017</t>
  </si>
  <si>
    <t>Jiangxi Copper Company Ltd</t>
  </si>
  <si>
    <t>CNE1000003K3</t>
  </si>
  <si>
    <t>PT Semen Indonesia ( Persero) TBK</t>
  </si>
  <si>
    <t>ID1000106800</t>
  </si>
  <si>
    <t>LG Chemicals Ltd</t>
  </si>
  <si>
    <t>KR7051910008</t>
  </si>
  <si>
    <t>Hindustan Zinc Ltd</t>
  </si>
  <si>
    <t>INE267A01025</t>
  </si>
  <si>
    <t>Dongkuk Steel Mill Co Ltd</t>
  </si>
  <si>
    <t>KR7001230002</t>
  </si>
  <si>
    <t>China National Building Materia Ltd</t>
  </si>
  <si>
    <t>CNE1000002N9</t>
  </si>
  <si>
    <t>Orora Ltd</t>
  </si>
  <si>
    <t>AU000000ORA8</t>
  </si>
  <si>
    <t>Mirae Asset India Opportunities Fund</t>
  </si>
  <si>
    <t>Infosys Ltd</t>
  </si>
  <si>
    <t>INE009A01021</t>
  </si>
  <si>
    <t>Tata Consultancy Services Ltd</t>
  </si>
  <si>
    <t>INE467B01029</t>
  </si>
  <si>
    <t>Sun Pharmaceuticals Industries Ltd</t>
  </si>
  <si>
    <t>INE044A01036</t>
  </si>
  <si>
    <t>Larsen &amp; Toubro Ltd</t>
  </si>
  <si>
    <t>INE018A01030</t>
  </si>
  <si>
    <t>Construction Project</t>
  </si>
  <si>
    <t>Axis Bank Ltd</t>
  </si>
  <si>
    <t>INE238A01034</t>
  </si>
  <si>
    <t>Tata Steel Ltd</t>
  </si>
  <si>
    <t>INE081A01012</t>
  </si>
  <si>
    <t>Ferrous Metals</t>
  </si>
  <si>
    <t>Lupin Ltd</t>
  </si>
  <si>
    <t>INE326A01037</t>
  </si>
  <si>
    <t>MIRAE ASSET FIXED MAT PLAN Sr I 368 day Dir Growth</t>
  </si>
  <si>
    <t>INF769K01CV2</t>
  </si>
  <si>
    <t>Mirae Asset Ultra Short Term Bond Fund</t>
  </si>
  <si>
    <t>Canara Bank (10/12/2014) ** #</t>
  </si>
  <si>
    <t>INE476A16LV5</t>
  </si>
  <si>
    <t>Oriental Bank of Commerce (03/03/2015) ** #</t>
  </si>
  <si>
    <t>INE141A16OQ9</t>
  </si>
  <si>
    <t>State Bank of Patiala (08/09/2014) ** #</t>
  </si>
  <si>
    <t>INE652A16HP1</t>
  </si>
  <si>
    <t>Bank of Baroda (10/12/2014) ** #</t>
  </si>
  <si>
    <t>INE028A16821</t>
  </si>
  <si>
    <t>Punjab National Bank (02/03/2015) ** #</t>
  </si>
  <si>
    <t>INE160A16JT3</t>
  </si>
  <si>
    <t>Indian Bank (25/03/2015) ** #</t>
  </si>
  <si>
    <t>INE562A16FR2</t>
  </si>
  <si>
    <t>FITCH A1+</t>
  </si>
  <si>
    <t>Mirae Asset Short Term Bond Fund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</si>
  <si>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</si>
  <si>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</si>
  <si>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</si>
  <si>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</si>
  <si>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</si>
  <si>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</si>
  <si>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t>(a) Listed/Awaiting Listing on Stock Exchanges</t>
  </si>
  <si>
    <t>India Equity Share*</t>
  </si>
  <si>
    <t>FOREIGN SECURITIES/OVERSEAS ETFS@@</t>
  </si>
  <si>
    <t>International Equity Shares</t>
  </si>
  <si>
    <t>* Industry classification as recommended by AMFI.</t>
  </si>
  <si>
    <t>@@ Industry Classification as per GICS Sub-Industry Classification</t>
  </si>
  <si>
    <t>American Depository Receipt</t>
  </si>
  <si>
    <t>Tata Motors Ltd DVR Shares</t>
  </si>
  <si>
    <t>MIRAE ASSET FIXED MAT PLAN Sr I 368 days Dir Growth</t>
  </si>
  <si>
    <r>
      <t>Industry</t>
    </r>
    <r>
      <rPr>
        <sz val="10"/>
        <rFont val="Tahoma"/>
        <family val="2"/>
      </rPr>
      <t>*</t>
    </r>
  </si>
  <si>
    <t>Portfolio Turnover Ratio^</t>
  </si>
  <si>
    <t>^Basis last rolling 12 month</t>
  </si>
  <si>
    <t>(An Open - Ended Equity Oriented Scheme)</t>
  </si>
  <si>
    <t>OTHERS</t>
  </si>
  <si>
    <t xml:space="preserve"> (An Open - Ended Equity Fund)</t>
  </si>
  <si>
    <t>(An Open - Ended Fund of Funds Scheme)</t>
  </si>
  <si>
    <t>(An Open - Ended Liquid Scheme)</t>
  </si>
  <si>
    <t>Mirae Asset Fixed Maturity Plan - Series I - 368 Days</t>
  </si>
  <si>
    <t xml:space="preserve"> (A Closed - Ended Debt Scheme)</t>
  </si>
  <si>
    <t>(An Open - Ended Debt Scheme)</t>
  </si>
  <si>
    <t>Average maturity in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</si>
</sst>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(#,##0.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</font>
    <font>
      <sz val="10"/>
      <name val="Tahoma"/>
      <family val="2"/>
    </font>
    <font>
      <b/>
      <sz val="9"/>
      <color indexed="72"/>
      <name val="Tahoma"/>
      <family val="2"/>
    </font>
    <font>
      <sz val="9"/>
      <color indexed="72"/>
      <name val="Tahoma"/>
      <family val="2"/>
    </font>
    <font>
      <b/>
      <sz val="10"/>
      <color indexed="72"/>
      <name val="Tahoma"/>
      <family val="2"/>
    </font>
    <font>
      <sz val="9"/>
      <name val="Tahoma"/>
      <family val="2"/>
    </font>
    <font>
      <sz val="10"/>
      <color indexed="72"/>
      <name val="Tahoma"/>
      <family val="2"/>
    </font>
    <font>
      <sz val="10"/>
      <color indexed="9"/>
      <name val="Tahoma"/>
      <family val="2"/>
    </font>
    <font>
      <b/>
      <sz val="9"/>
      <color theme="1"/>
      <name val="Tahoma"/>
      <family val="2"/>
    </font>
    <font>
      <b/>
      <sz val="15"/>
      <name val="Tahoma"/>
      <family val="2"/>
    </font>
    <font>
      <b/>
      <sz val="10"/>
      <color theme="1"/>
      <name val="Tahoma"/>
      <family val="2"/>
    </font>
    <font>
      <b/>
      <sz val="9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4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138"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 applyProtection="1">
      <alignment horizontal="left" vertical="top" wrapText="1"/>
    </xf>
    <xf numFmtId="4" fontId="3" fillId="0" borderId="0" xfId="0" applyNumberFormat="1" applyFont="1" applyFill="1" applyBorder="1" applyAlignment="1" applyProtection="1">
      <alignment horizontal="left" vertical="top" wrapText="1"/>
    </xf>
    <xf numFmtId="1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4" fontId="3" fillId="0" borderId="0" xfId="0" applyNumberFormat="1" applyFont="1" applyFill="1" applyBorder="1" applyAlignment="1"/>
    <xf numFmtId="10" fontId="3" fillId="0" borderId="0" xfId="0" applyNumberFormat="1" applyFont="1" applyFill="1" applyBorder="1" applyAlignment="1"/>
    <xf numFmtId="0" fontId="6" fillId="0" borderId="0" xfId="0" applyNumberFormat="1" applyFont="1" applyFill="1" applyBorder="1" applyAlignment="1" applyProtection="1">
      <alignment horizontal="center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10" fillId="0" borderId="1" xfId="0" applyFont="1" applyBorder="1"/>
    <xf numFmtId="0" fontId="7" fillId="0" borderId="1" xfId="0" applyFont="1" applyBorder="1"/>
    <xf numFmtId="0" fontId="4" fillId="0" borderId="1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center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4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4" fontId="8" fillId="0" borderId="2" xfId="0" applyNumberFormat="1" applyFont="1" applyFill="1" applyBorder="1" applyAlignment="1" applyProtection="1">
      <alignment horizontal="left" vertical="top" wrapText="1"/>
    </xf>
    <xf numFmtId="3" fontId="8" fillId="0" borderId="2" xfId="0" applyNumberFormat="1" applyFont="1" applyFill="1" applyBorder="1" applyAlignment="1" applyProtection="1">
      <alignment horizontal="right" vertical="top" wrapText="1"/>
    </xf>
    <xf numFmtId="4" fontId="8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4" fontId="6" fillId="0" borderId="6" xfId="0" applyNumberFormat="1" applyFont="1" applyFill="1" applyBorder="1" applyAlignment="1" applyProtection="1">
      <alignment horizontal="center" vertical="center" wrapText="1"/>
    </xf>
    <xf numFmtId="1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0" fontId="8" fillId="0" borderId="3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left" vertical="top" wrapText="1"/>
    </xf>
    <xf numFmtId="10" fontId="8" fillId="0" borderId="3" xfId="0" applyNumberFormat="1" applyFont="1" applyFill="1" applyBorder="1" applyAlignment="1" applyProtection="1">
      <alignment horizontal="right" vertical="top" wrapText="1"/>
    </xf>
    <xf numFmtId="10" fontId="6" fillId="0" borderId="3" xfId="0" applyNumberFormat="1" applyFont="1" applyFill="1" applyBorder="1" applyAlignment="1" applyProtection="1">
      <alignment horizontal="right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10" fontId="6" fillId="0" borderId="3" xfId="1" applyNumberFormat="1" applyFont="1" applyFill="1" applyBorder="1" applyAlignment="1" applyProtection="1">
      <alignment horizontal="right" vertical="top" wrapText="1"/>
    </xf>
    <xf numFmtId="0" fontId="6" fillId="0" borderId="8" xfId="0" applyNumberFormat="1" applyFont="1" applyFill="1" applyBorder="1" applyAlignment="1" applyProtection="1">
      <alignment horizontal="left" vertical="top" wrapText="1"/>
    </xf>
    <xf numFmtId="0" fontId="8" fillId="0" borderId="9" xfId="0" applyNumberFormat="1" applyFont="1" applyFill="1" applyBorder="1" applyAlignment="1" applyProtection="1">
      <alignment horizontal="left" vertical="top" wrapText="1"/>
    </xf>
    <xf numFmtId="4" fontId="8" fillId="0" borderId="9" xfId="0" applyNumberFormat="1" applyFont="1" applyFill="1" applyBorder="1" applyAlignment="1" applyProtection="1">
      <alignment horizontal="left" vertical="top" wrapText="1"/>
    </xf>
    <xf numFmtId="10" fontId="8" fillId="0" borderId="10" xfId="0" applyNumberFormat="1" applyFont="1" applyFill="1" applyBorder="1" applyAlignment="1" applyProtection="1">
      <alignment horizontal="left" vertical="top" wrapText="1"/>
    </xf>
    <xf numFmtId="0" fontId="6" fillId="0" borderId="11" xfId="0" applyNumberFormat="1" applyFont="1" applyFill="1" applyBorder="1" applyAlignment="1" applyProtection="1">
      <alignment horizontal="left" vertical="center" wrapText="1"/>
    </xf>
    <xf numFmtId="0" fontId="6" fillId="0" borderId="12" xfId="0" applyNumberFormat="1" applyFont="1" applyFill="1" applyBorder="1" applyAlignment="1" applyProtection="1">
      <alignment horizontal="left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4" fontId="6" fillId="0" borderId="12" xfId="0" applyNumberFormat="1" applyFont="1" applyFill="1" applyBorder="1" applyAlignment="1" applyProtection="1">
      <alignment horizontal="center" vertical="center" wrapText="1"/>
    </xf>
    <xf numFmtId="10" fontId="6" fillId="0" borderId="13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2" fontId="4" fillId="0" borderId="4" xfId="0" applyNumberFormat="1" applyFont="1" applyFill="1" applyBorder="1" applyAlignment="1" applyProtection="1">
      <alignment horizontal="center" vertical="top" wrapText="1"/>
    </xf>
    <xf numFmtId="0" fontId="3" fillId="0" borderId="1" xfId="0" applyFont="1" applyBorder="1"/>
    <xf numFmtId="0" fontId="12" fillId="0" borderId="1" xfId="0" applyFont="1" applyBorder="1"/>
    <xf numFmtId="0" fontId="4" fillId="2" borderId="1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10" fontId="3" fillId="0" borderId="3" xfId="0" applyNumberFormat="1" applyFont="1" applyFill="1" applyBorder="1" applyAlignment="1" applyProtection="1">
      <alignment horizontal="right" vertical="top" wrapText="1"/>
    </xf>
    <xf numFmtId="0" fontId="12" fillId="0" borderId="2" xfId="0" applyFont="1" applyBorder="1"/>
    <xf numFmtId="0" fontId="3" fillId="0" borderId="2" xfId="0" applyFont="1" applyBorder="1"/>
    <xf numFmtId="0" fontId="13" fillId="0" borderId="14" xfId="0" applyNumberFormat="1" applyFont="1" applyFill="1" applyBorder="1" applyAlignment="1" applyProtection="1">
      <alignment horizontal="left" vertical="top" wrapText="1"/>
    </xf>
    <xf numFmtId="2" fontId="13" fillId="0" borderId="4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14" fillId="0" borderId="0" xfId="0" applyNumberFormat="1" applyFont="1" applyFill="1" applyBorder="1" applyAlignment="1"/>
    <xf numFmtId="0" fontId="13" fillId="0" borderId="1" xfId="0" applyNumberFormat="1" applyFont="1" applyFill="1" applyBorder="1" applyAlignment="1" applyProtection="1">
      <alignment horizontal="left" vertical="top" wrapText="1"/>
    </xf>
    <xf numFmtId="0" fontId="13" fillId="0" borderId="1" xfId="0" applyFont="1" applyFill="1" applyBorder="1"/>
    <xf numFmtId="4" fontId="14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8" fillId="0" borderId="2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10" fontId="6" fillId="0" borderId="3" xfId="0" applyNumberFormat="1" applyFont="1" applyFill="1" applyBorder="1" applyAlignment="1" applyProtection="1">
      <alignment horizontal="center" vertical="center" wrapText="1"/>
    </xf>
    <xf numFmtId="10" fontId="14" fillId="0" borderId="3" xfId="0" applyNumberFormat="1" applyFont="1" applyFill="1" applyBorder="1" applyAlignment="1" applyProtection="1">
      <alignment horizontal="right" vertical="top" wrapText="1"/>
    </xf>
    <xf numFmtId="0" fontId="14" fillId="0" borderId="1" xfId="0" applyNumberFormat="1" applyFont="1" applyFill="1" applyBorder="1" applyAlignment="1" applyProtection="1">
      <alignment horizontal="left" vertical="top" wrapText="1"/>
    </xf>
    <xf numFmtId="0" fontId="6" fillId="0" borderId="8" xfId="0" applyNumberFormat="1" applyFont="1" applyFill="1" applyBorder="1" applyAlignment="1" applyProtection="1">
      <alignment horizontal="left" vertical="center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4" fontId="6" fillId="0" borderId="9" xfId="0" applyNumberFormat="1" applyFont="1" applyFill="1" applyBorder="1" applyAlignment="1" applyProtection="1">
      <alignment horizontal="center" vertical="center" wrapText="1"/>
    </xf>
    <xf numFmtId="10" fontId="6" fillId="0" borderId="10" xfId="0" applyNumberFormat="1" applyFont="1" applyFill="1" applyBorder="1" applyAlignment="1" applyProtection="1">
      <alignment horizontal="center" vertical="center" wrapText="1"/>
    </xf>
    <xf numFmtId="0" fontId="14" fillId="0" borderId="2" xfId="0" applyNumberFormat="1" applyFont="1" applyFill="1" applyBorder="1" applyAlignment="1" applyProtection="1">
      <alignment horizontal="right" vertical="top" wrapText="1"/>
    </xf>
    <xf numFmtId="0" fontId="15" fillId="0" borderId="1" xfId="0" applyFont="1" applyBorder="1"/>
    <xf numFmtId="0" fontId="6" fillId="2" borderId="1" xfId="0" applyNumberFormat="1" applyFont="1" applyFill="1" applyBorder="1" applyAlignment="1" applyProtection="1">
      <alignment horizontal="left" vertical="top" wrapText="1"/>
    </xf>
    <xf numFmtId="0" fontId="12" fillId="0" borderId="8" xfId="0" applyFont="1" applyBorder="1"/>
    <xf numFmtId="164" fontId="14" fillId="0" borderId="2" xfId="0" applyNumberFormat="1" applyFont="1" applyFill="1" applyBorder="1" applyAlignment="1" applyProtection="1">
      <alignment horizontal="right" vertical="top" wrapText="1"/>
    </xf>
    <xf numFmtId="164" fontId="3" fillId="0" borderId="2" xfId="0" applyNumberFormat="1" applyFont="1" applyFill="1" applyBorder="1" applyAlignment="1" applyProtection="1">
      <alignment horizontal="right" vertical="top" wrapText="1"/>
    </xf>
    <xf numFmtId="164" fontId="14" fillId="0" borderId="3" xfId="0" applyNumberFormat="1" applyFont="1" applyFill="1" applyBorder="1" applyAlignment="1" applyProtection="1">
      <alignment horizontal="right" vertical="top" wrapText="1"/>
    </xf>
    <xf numFmtId="164" fontId="3" fillId="0" borderId="3" xfId="0" applyNumberFormat="1" applyFont="1" applyFill="1" applyBorder="1" applyAlignment="1" applyProtection="1">
      <alignment horizontal="righ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0" fontId="8" fillId="0" borderId="22" xfId="0" applyNumberFormat="1" applyFont="1" applyFill="1" applyBorder="1" applyAlignment="1" applyProtection="1">
      <alignment horizontal="left" vertical="top" wrapText="1"/>
    </xf>
    <xf numFmtId="4" fontId="6" fillId="0" borderId="22" xfId="0" applyNumberFormat="1" applyFont="1" applyFill="1" applyBorder="1" applyAlignment="1" applyProtection="1">
      <alignment horizontal="right" vertical="top" wrapText="1"/>
    </xf>
    <xf numFmtId="10" fontId="6" fillId="0" borderId="23" xfId="0" applyNumberFormat="1" applyFont="1" applyFill="1" applyBorder="1" applyAlignment="1" applyProtection="1">
      <alignment horizontal="right" vertical="top" wrapText="1"/>
    </xf>
    <xf numFmtId="0" fontId="6" fillId="0" borderId="24" xfId="0" applyNumberFormat="1" applyFont="1" applyFill="1" applyBorder="1" applyAlignment="1" applyProtection="1">
      <alignment horizontal="left" vertical="top" wrapText="1"/>
    </xf>
    <xf numFmtId="0" fontId="8" fillId="0" borderId="25" xfId="0" applyNumberFormat="1" applyFont="1" applyFill="1" applyBorder="1" applyAlignment="1" applyProtection="1">
      <alignment horizontal="left" vertical="top" wrapText="1"/>
    </xf>
    <xf numFmtId="4" fontId="6" fillId="0" borderId="25" xfId="0" applyNumberFormat="1" applyFont="1" applyFill="1" applyBorder="1" applyAlignment="1" applyProtection="1">
      <alignment horizontal="right" vertical="top" wrapText="1"/>
    </xf>
    <xf numFmtId="10" fontId="6" fillId="0" borderId="26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4" fontId="3" fillId="0" borderId="2" xfId="0" applyNumberFormat="1" applyFont="1" applyFill="1" applyBorder="1" applyAlignment="1" applyProtection="1">
      <alignment horizontal="center" vertical="center" wrapText="1"/>
    </xf>
    <xf numFmtId="10" fontId="3" fillId="0" borderId="3" xfId="0" applyNumberFormat="1" applyFont="1" applyFill="1" applyBorder="1" applyAlignment="1" applyProtection="1">
      <alignment horizontal="center" vertical="center" wrapText="1"/>
    </xf>
    <xf numFmtId="0" fontId="12" fillId="0" borderId="9" xfId="0" applyFont="1" applyBorder="1"/>
    <xf numFmtId="0" fontId="14" fillId="0" borderId="2" xfId="0" applyNumberFormat="1" applyFont="1" applyFill="1" applyBorder="1" applyAlignment="1" applyProtection="1">
      <alignment horizontal="center" vertical="center" wrapText="1"/>
    </xf>
    <xf numFmtId="0" fontId="6" fillId="0" borderId="27" xfId="0" applyNumberFormat="1" applyFont="1" applyFill="1" applyBorder="1" applyAlignment="1" applyProtection="1">
      <alignment horizontal="left" vertical="center" wrapText="1"/>
    </xf>
    <xf numFmtId="0" fontId="6" fillId="0" borderId="28" xfId="0" applyNumberFormat="1" applyFont="1" applyFill="1" applyBorder="1" applyAlignment="1" applyProtection="1">
      <alignment horizontal="left" vertical="center" wrapText="1"/>
    </xf>
    <xf numFmtId="0" fontId="6" fillId="0" borderId="28" xfId="0" applyNumberFormat="1" applyFont="1" applyFill="1" applyBorder="1" applyAlignment="1" applyProtection="1">
      <alignment horizontal="center" vertical="center" wrapText="1"/>
    </xf>
    <xf numFmtId="4" fontId="6" fillId="0" borderId="28" xfId="0" applyNumberFormat="1" applyFont="1" applyFill="1" applyBorder="1" applyAlignment="1" applyProtection="1">
      <alignment horizontal="center" vertical="center" wrapText="1"/>
    </xf>
    <xf numFmtId="10" fontId="6" fillId="0" borderId="29" xfId="0" applyNumberFormat="1" applyFont="1" applyFill="1" applyBorder="1" applyAlignment="1" applyProtection="1">
      <alignment horizontal="center" vertical="center" wrapText="1"/>
    </xf>
    <xf numFmtId="0" fontId="12" fillId="0" borderId="5" xfId="0" applyFont="1" applyBorder="1"/>
    <xf numFmtId="0" fontId="12" fillId="0" borderId="6" xfId="0" applyFont="1" applyBorder="1"/>
    <xf numFmtId="0" fontId="14" fillId="0" borderId="3" xfId="0" applyNumberFormat="1" applyFont="1" applyFill="1" applyBorder="1" applyAlignment="1" applyProtection="1">
      <alignment horizontal="center" vertical="center" wrapText="1"/>
    </xf>
    <xf numFmtId="0" fontId="14" fillId="0" borderId="2" xfId="0" applyNumberFormat="1" applyFont="1" applyFill="1" applyBorder="1" applyAlignment="1" applyProtection="1">
      <alignment horizontal="right" vertical="center" wrapText="1"/>
    </xf>
    <xf numFmtId="0" fontId="14" fillId="0" borderId="3" xfId="0" applyNumberFormat="1" applyFont="1" applyFill="1" applyBorder="1" applyAlignment="1" applyProtection="1">
      <alignment horizontal="right" vertical="center" wrapText="1"/>
    </xf>
    <xf numFmtId="0" fontId="3" fillId="0" borderId="2" xfId="0" applyNumberFormat="1" applyFont="1" applyFill="1" applyBorder="1" applyAlignment="1" applyProtection="1">
      <alignment horizontal="right" vertical="center" wrapText="1"/>
    </xf>
    <xf numFmtId="4" fontId="3" fillId="0" borderId="2" xfId="0" applyNumberFormat="1" applyFont="1" applyFill="1" applyBorder="1" applyAlignment="1" applyProtection="1">
      <alignment horizontal="right" vertical="center" wrapText="1"/>
    </xf>
    <xf numFmtId="10" fontId="3" fillId="0" borderId="3" xfId="0" applyNumberFormat="1" applyFont="1" applyFill="1" applyBorder="1" applyAlignment="1" applyProtection="1">
      <alignment horizontal="right" vertical="center" wrapText="1"/>
    </xf>
    <xf numFmtId="10" fontId="14" fillId="0" borderId="3" xfId="0" applyNumberFormat="1" applyFont="1" applyFill="1" applyBorder="1" applyAlignment="1" applyProtection="1">
      <alignment horizontal="right" vertical="center" wrapText="1"/>
    </xf>
    <xf numFmtId="4" fontId="6" fillId="0" borderId="2" xfId="0" applyNumberFormat="1" applyFont="1" applyFill="1" applyBorder="1" applyAlignment="1" applyProtection="1">
      <alignment horizontal="righ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right" vertical="center" wrapText="1"/>
    </xf>
    <xf numFmtId="10" fontId="6" fillId="0" borderId="3" xfId="0" applyNumberFormat="1" applyFont="1" applyFill="1" applyBorder="1" applyAlignment="1" applyProtection="1">
      <alignment horizontal="right" vertical="center" wrapText="1"/>
    </xf>
    <xf numFmtId="0" fontId="10" fillId="0" borderId="4" xfId="0" applyNumberFormat="1" applyFont="1" applyFill="1" applyBorder="1" applyAlignment="1" applyProtection="1">
      <alignment horizontal="center" wrapText="1"/>
    </xf>
    <xf numFmtId="2" fontId="4" fillId="0" borderId="30" xfId="0" applyNumberFormat="1" applyFont="1" applyFill="1" applyBorder="1" applyAlignment="1" applyProtection="1">
      <alignment horizontal="center" vertical="top" wrapText="1"/>
    </xf>
    <xf numFmtId="0" fontId="10" fillId="0" borderId="4" xfId="2" applyNumberFormat="1" applyFont="1" applyFill="1" applyBorder="1" applyAlignment="1" applyProtection="1">
      <alignment horizontal="center" wrapText="1"/>
    </xf>
    <xf numFmtId="2" fontId="4" fillId="0" borderId="30" xfId="2" applyNumberFormat="1" applyFont="1" applyFill="1" applyBorder="1" applyAlignment="1" applyProtection="1">
      <alignment horizontal="center" vertical="top" wrapText="1"/>
    </xf>
    <xf numFmtId="0" fontId="10" fillId="2" borderId="4" xfId="0" applyNumberFormat="1" applyFont="1" applyFill="1" applyBorder="1" applyAlignment="1" applyProtection="1">
      <alignment horizontal="center" wrapText="1"/>
    </xf>
    <xf numFmtId="2" fontId="4" fillId="2" borderId="3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3" xfId="0" applyNumberFormat="1" applyFont="1" applyFill="1" applyBorder="1" applyAlignment="1" applyProtection="1">
      <alignment horizontal="right" vertical="top" wrapText="1"/>
    </xf>
    <xf numFmtId="0" fontId="15" fillId="0" borderId="2" xfId="0" applyNumberFormat="1" applyFont="1" applyFill="1" applyBorder="1" applyAlignment="1" applyProtection="1">
      <alignment horizontal="right" vertical="center" wrapText="1"/>
    </xf>
    <xf numFmtId="0" fontId="15" fillId="0" borderId="3" xfId="0" applyNumberFormat="1" applyFont="1" applyFill="1" applyBorder="1" applyAlignment="1" applyProtection="1">
      <alignment horizontal="right" vertical="center" wrapText="1"/>
    </xf>
    <xf numFmtId="0" fontId="8" fillId="0" borderId="2" xfId="0" applyNumberFormat="1" applyFont="1" applyFill="1" applyBorder="1" applyAlignment="1" applyProtection="1">
      <alignment horizontal="center" vertical="center" wrapText="1"/>
    </xf>
    <xf numFmtId="4" fontId="8" fillId="0" borderId="2" xfId="0" applyNumberFormat="1" applyFont="1" applyFill="1" applyBorder="1" applyAlignment="1" applyProtection="1">
      <alignment horizontal="center" vertical="center" wrapText="1"/>
    </xf>
    <xf numFmtId="10" fontId="8" fillId="0" borderId="3" xfId="0" applyNumberFormat="1" applyFont="1" applyFill="1" applyBorder="1" applyAlignment="1" applyProtection="1">
      <alignment horizontal="center" vertical="center" wrapText="1"/>
    </xf>
    <xf numFmtId="4" fontId="8" fillId="0" borderId="3" xfId="0" applyNumberFormat="1" applyFont="1" applyFill="1" applyBorder="1" applyAlignment="1" applyProtection="1">
      <alignment horizontal="right" vertical="top" wrapText="1"/>
    </xf>
    <xf numFmtId="0" fontId="11" fillId="0" borderId="15" xfId="0" applyNumberFormat="1" applyFont="1" applyFill="1" applyBorder="1" applyAlignment="1" applyProtection="1">
      <alignment horizontal="center" vertical="top" wrapText="1"/>
    </xf>
    <xf numFmtId="0" fontId="11" fillId="0" borderId="16" xfId="0" applyNumberFormat="1" applyFont="1" applyFill="1" applyBorder="1" applyAlignment="1" applyProtection="1">
      <alignment horizontal="center" vertical="top" wrapText="1"/>
    </xf>
    <xf numFmtId="0" fontId="11" fillId="0" borderId="17" xfId="0" applyNumberFormat="1" applyFont="1" applyFill="1" applyBorder="1" applyAlignment="1" applyProtection="1">
      <alignment horizontal="center" vertical="top" wrapText="1"/>
    </xf>
    <xf numFmtId="0" fontId="4" fillId="0" borderId="18" xfId="0" applyNumberFormat="1" applyFont="1" applyFill="1" applyBorder="1" applyAlignment="1" applyProtection="1">
      <alignment horizontal="center" vertical="top" wrapText="1"/>
    </xf>
    <xf numFmtId="0" fontId="4" fillId="0" borderId="19" xfId="0" applyNumberFormat="1" applyFont="1" applyFill="1" applyBorder="1" applyAlignment="1" applyProtection="1">
      <alignment horizontal="center" vertical="top" wrapText="1"/>
    </xf>
    <xf numFmtId="0" fontId="4" fillId="0" borderId="20" xfId="0" applyNumberFormat="1" applyFont="1" applyFill="1" applyBorder="1" applyAlignment="1" applyProtection="1">
      <alignment horizontal="center" vertical="top" wrapText="1"/>
    </xf>
    <xf numFmtId="0" fontId="11" fillId="0" borderId="15" xfId="2" applyNumberFormat="1" applyFont="1" applyFill="1" applyBorder="1" applyAlignment="1" applyProtection="1">
      <alignment horizontal="center" vertical="top" wrapText="1"/>
    </xf>
    <xf numFmtId="0" fontId="11" fillId="0" borderId="16" xfId="2" applyNumberFormat="1" applyFont="1" applyFill="1" applyBorder="1" applyAlignment="1" applyProtection="1">
      <alignment horizontal="center" vertical="top" wrapText="1"/>
    </xf>
    <xf numFmtId="0" fontId="11" fillId="0" borderId="17" xfId="2" applyNumberFormat="1" applyFont="1" applyFill="1" applyBorder="1" applyAlignment="1" applyProtection="1">
      <alignment horizontal="center" vertical="top" wrapText="1"/>
    </xf>
    <xf numFmtId="0" fontId="4" fillId="0" borderId="18" xfId="2" applyNumberFormat="1" applyFont="1" applyFill="1" applyBorder="1" applyAlignment="1" applyProtection="1">
      <alignment horizontal="center" vertical="top" wrapText="1"/>
    </xf>
    <xf numFmtId="0" fontId="4" fillId="0" borderId="19" xfId="2" applyNumberFormat="1" applyFont="1" applyFill="1" applyBorder="1" applyAlignment="1" applyProtection="1">
      <alignment horizontal="center" vertical="top" wrapText="1"/>
    </xf>
    <xf numFmtId="0" fontId="4" fillId="0" borderId="20" xfId="2" applyNumberFormat="1" applyFont="1" applyFill="1" applyBorder="1" applyAlignment="1" applyProtection="1">
      <alignment horizontal="center" vertical="top" wrapText="1"/>
    </xf>
    <xf numFmtId="0" fontId="16" fillId="0" borderId="15" xfId="0" applyNumberFormat="1" applyFont="1" applyFill="1" applyBorder="1" applyAlignment="1" applyProtection="1">
      <alignment horizontal="center" vertical="top" wrapText="1"/>
    </xf>
    <xf numFmtId="0" fontId="16" fillId="0" borderId="16" xfId="0" applyNumberFormat="1" applyFont="1" applyFill="1" applyBorder="1" applyAlignment="1" applyProtection="1">
      <alignment horizontal="center" vertical="top" wrapText="1"/>
    </xf>
    <xf numFmtId="0" fontId="16" fillId="0" borderId="17" xfId="0" applyNumberFormat="1" applyFont="1" applyFill="1" applyBorder="1" applyAlignment="1" applyProtection="1">
      <alignment horizontal="center" vertical="top" wrapText="1"/>
    </xf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showGridLines="0" tabSelected="1" zoomScaleNormal="100" workbookViewId="0">
      <selection activeCell="B4" sqref="B4"/>
    </sheetView>
  </sheetViews>
  <sheetFormatPr defaultRowHeight="12.75" x14ac:dyDescent="0.2"/>
  <cols>
    <col min="1" max="1" width="11.42578125" style="4" bestFit="1" customWidth="1"/>
    <col min="2" max="2" width="49.85546875" style="4" customWidth="1"/>
    <col min="3" max="3" width="19.5703125" style="4" customWidth="1"/>
    <col min="4" max="4" width="21" style="4" bestFit="1" customWidth="1"/>
    <col min="5" max="5" width="19.5703125" style="4" customWidth="1"/>
    <col min="6" max="6" width="19.5703125" style="7" customWidth="1"/>
    <col min="7" max="7" width="19.5703125" style="8" customWidth="1"/>
    <col min="8" max="16384" width="9.140625" style="4"/>
  </cols>
  <sheetData>
    <row r="1" spans="1:7" ht="18.75" x14ac:dyDescent="0.2">
      <c r="A1" s="1"/>
      <c r="B1" s="123" t="s">
        <v>320</v>
      </c>
      <c r="C1" s="124"/>
      <c r="D1" s="124"/>
      <c r="E1" s="124"/>
      <c r="F1" s="124"/>
      <c r="G1" s="125"/>
    </row>
    <row r="2" spans="1:7" ht="13.5" thickBot="1" x14ac:dyDescent="0.25">
      <c r="A2" s="1"/>
      <c r="B2" s="126" t="s">
        <v>372</v>
      </c>
      <c r="C2" s="127"/>
      <c r="D2" s="127"/>
      <c r="E2" s="127"/>
      <c r="F2" s="127"/>
      <c r="G2" s="128"/>
    </row>
    <row r="3" spans="1:7" x14ac:dyDescent="0.2">
      <c r="A3" s="1"/>
      <c r="B3" s="9" t="s">
        <v>1</v>
      </c>
      <c r="C3" s="1"/>
      <c r="D3" s="1"/>
      <c r="E3" s="1"/>
      <c r="F3" s="2"/>
      <c r="G3" s="3"/>
    </row>
    <row r="4" spans="1:7" ht="13.5" thickBot="1" x14ac:dyDescent="0.25">
      <c r="A4" s="10"/>
      <c r="B4" s="6" t="s">
        <v>2</v>
      </c>
      <c r="C4" s="1"/>
      <c r="D4" s="1"/>
      <c r="E4" s="1"/>
      <c r="F4" s="2"/>
      <c r="G4" s="3"/>
    </row>
    <row r="5" spans="1:7" ht="26.25" thickBot="1" x14ac:dyDescent="0.25">
      <c r="A5" s="1"/>
      <c r="B5" s="38" t="s">
        <v>3</v>
      </c>
      <c r="C5" s="39" t="s">
        <v>4</v>
      </c>
      <c r="D5" s="40" t="s">
        <v>369</v>
      </c>
      <c r="E5" s="40" t="s">
        <v>6</v>
      </c>
      <c r="F5" s="41" t="s">
        <v>7</v>
      </c>
      <c r="G5" s="42" t="s">
        <v>8</v>
      </c>
    </row>
    <row r="6" spans="1:7" x14ac:dyDescent="0.2">
      <c r="A6" s="1"/>
      <c r="B6" s="34" t="s">
        <v>40</v>
      </c>
      <c r="C6" s="35" t="s">
        <v>1</v>
      </c>
      <c r="D6" s="35" t="s">
        <v>1</v>
      </c>
      <c r="E6" s="35" t="s">
        <v>1</v>
      </c>
      <c r="F6" s="36" t="s">
        <v>1</v>
      </c>
      <c r="G6" s="37" t="s">
        <v>1</v>
      </c>
    </row>
    <row r="7" spans="1:7" x14ac:dyDescent="0.2">
      <c r="A7" s="1"/>
      <c r="B7" s="27" t="s">
        <v>41</v>
      </c>
      <c r="C7" s="19" t="s">
        <v>1</v>
      </c>
      <c r="D7" s="19" t="s">
        <v>1</v>
      </c>
      <c r="E7" s="19" t="s">
        <v>1</v>
      </c>
      <c r="F7" s="20" t="s">
        <v>1</v>
      </c>
      <c r="G7" s="28" t="s">
        <v>1</v>
      </c>
    </row>
    <row r="8" spans="1:7" x14ac:dyDescent="0.2">
      <c r="A8" s="11"/>
      <c r="B8" s="29" t="s">
        <v>45</v>
      </c>
      <c r="C8" s="19" t="s">
        <v>46</v>
      </c>
      <c r="D8" s="19" t="s">
        <v>47</v>
      </c>
      <c r="E8" s="21">
        <v>296900</v>
      </c>
      <c r="F8" s="22">
        <v>4622.1391999999996</v>
      </c>
      <c r="G8" s="30">
        <v>7.2356839211041163E-2</v>
      </c>
    </row>
    <row r="9" spans="1:7" x14ac:dyDescent="0.2">
      <c r="A9" s="11"/>
      <c r="B9" s="29" t="s">
        <v>321</v>
      </c>
      <c r="C9" s="19" t="s">
        <v>322</v>
      </c>
      <c r="D9" s="19" t="s">
        <v>44</v>
      </c>
      <c r="E9" s="21">
        <v>96453</v>
      </c>
      <c r="F9" s="22">
        <v>3471.150564</v>
      </c>
      <c r="G9" s="30">
        <v>5.4338796900937743E-2</v>
      </c>
    </row>
    <row r="10" spans="1:7" x14ac:dyDescent="0.2">
      <c r="A10" s="11"/>
      <c r="B10" s="29" t="s">
        <v>204</v>
      </c>
      <c r="C10" s="19" t="s">
        <v>205</v>
      </c>
      <c r="D10" s="19" t="s">
        <v>47</v>
      </c>
      <c r="E10" s="21">
        <v>356000</v>
      </c>
      <c r="F10" s="22">
        <v>3003.038</v>
      </c>
      <c r="G10" s="30">
        <v>4.7010773217441536E-2</v>
      </c>
    </row>
    <row r="11" spans="1:7" x14ac:dyDescent="0.2">
      <c r="A11" s="11"/>
      <c r="B11" s="29" t="s">
        <v>227</v>
      </c>
      <c r="C11" s="19" t="s">
        <v>228</v>
      </c>
      <c r="D11" s="19" t="s">
        <v>47</v>
      </c>
      <c r="E11" s="21">
        <v>108435</v>
      </c>
      <c r="F11" s="22">
        <v>2668.260045</v>
      </c>
      <c r="G11" s="30">
        <v>4.177002350974425E-2</v>
      </c>
    </row>
    <row r="12" spans="1:7" x14ac:dyDescent="0.2">
      <c r="A12" s="11"/>
      <c r="B12" s="29" t="s">
        <v>367</v>
      </c>
      <c r="C12" s="19" t="s">
        <v>200</v>
      </c>
      <c r="D12" s="19" t="s">
        <v>96</v>
      </c>
      <c r="E12" s="21">
        <v>622550</v>
      </c>
      <c r="F12" s="22">
        <v>2348.5698750000001</v>
      </c>
      <c r="G12" s="30">
        <v>3.676546409966841E-2</v>
      </c>
    </row>
    <row r="13" spans="1:7" x14ac:dyDescent="0.2">
      <c r="A13" s="11"/>
      <c r="B13" s="29" t="s">
        <v>214</v>
      </c>
      <c r="C13" s="19" t="s">
        <v>215</v>
      </c>
      <c r="D13" s="19" t="s">
        <v>50</v>
      </c>
      <c r="E13" s="21">
        <v>197275</v>
      </c>
      <c r="F13" s="22">
        <v>2119.7198749999998</v>
      </c>
      <c r="G13" s="30">
        <v>3.318295350512665E-2</v>
      </c>
    </row>
    <row r="14" spans="1:7" x14ac:dyDescent="0.2">
      <c r="A14" s="11"/>
      <c r="B14" s="29" t="s">
        <v>206</v>
      </c>
      <c r="C14" s="19" t="s">
        <v>207</v>
      </c>
      <c r="D14" s="19" t="s">
        <v>129</v>
      </c>
      <c r="E14" s="21">
        <v>540000</v>
      </c>
      <c r="F14" s="22">
        <v>1918.62</v>
      </c>
      <c r="G14" s="30">
        <v>3.0034854607383484E-2</v>
      </c>
    </row>
    <row r="15" spans="1:7" x14ac:dyDescent="0.2">
      <c r="A15" s="11"/>
      <c r="B15" s="29" t="s">
        <v>323</v>
      </c>
      <c r="C15" s="19" t="s">
        <v>324</v>
      </c>
      <c r="D15" s="19" t="s">
        <v>44</v>
      </c>
      <c r="E15" s="21">
        <v>71900</v>
      </c>
      <c r="F15" s="22">
        <v>1813.5696499999999</v>
      </c>
      <c r="G15" s="30">
        <v>2.8390353878367448E-2</v>
      </c>
    </row>
    <row r="16" spans="1:7" x14ac:dyDescent="0.2">
      <c r="A16" s="11"/>
      <c r="B16" s="29" t="s">
        <v>325</v>
      </c>
      <c r="C16" s="19" t="s">
        <v>326</v>
      </c>
      <c r="D16" s="19" t="s">
        <v>64</v>
      </c>
      <c r="E16" s="21">
        <v>209700</v>
      </c>
      <c r="F16" s="22">
        <v>1793.4592500000001</v>
      </c>
      <c r="G16" s="30">
        <v>2.8075537531151048E-2</v>
      </c>
    </row>
    <row r="17" spans="1:7" x14ac:dyDescent="0.2">
      <c r="A17" s="11"/>
      <c r="B17" s="29" t="s">
        <v>327</v>
      </c>
      <c r="C17" s="19" t="s">
        <v>328</v>
      </c>
      <c r="D17" s="19" t="s">
        <v>329</v>
      </c>
      <c r="E17" s="21">
        <v>116750</v>
      </c>
      <c r="F17" s="22">
        <v>1782.18875</v>
      </c>
      <c r="G17" s="30">
        <v>2.7899104559091698E-2</v>
      </c>
    </row>
    <row r="18" spans="1:7" x14ac:dyDescent="0.2">
      <c r="A18" s="11"/>
      <c r="B18" s="29" t="s">
        <v>42</v>
      </c>
      <c r="C18" s="19" t="s">
        <v>43</v>
      </c>
      <c r="D18" s="19" t="s">
        <v>44</v>
      </c>
      <c r="E18" s="21">
        <v>74100</v>
      </c>
      <c r="F18" s="22">
        <v>1750.9829999999999</v>
      </c>
      <c r="G18" s="30">
        <v>2.7410597108859572E-2</v>
      </c>
    </row>
    <row r="19" spans="1:7" x14ac:dyDescent="0.2">
      <c r="A19" s="11"/>
      <c r="B19" s="29" t="s">
        <v>256</v>
      </c>
      <c r="C19" s="19" t="s">
        <v>257</v>
      </c>
      <c r="D19" s="19" t="s">
        <v>56</v>
      </c>
      <c r="E19" s="21">
        <v>161900</v>
      </c>
      <c r="F19" s="22">
        <v>1616.8952999999999</v>
      </c>
      <c r="G19" s="30">
        <v>2.5311533941510929E-2</v>
      </c>
    </row>
    <row r="20" spans="1:7" x14ac:dyDescent="0.2">
      <c r="A20" s="11"/>
      <c r="B20" s="29" t="s">
        <v>54</v>
      </c>
      <c r="C20" s="19" t="s">
        <v>55</v>
      </c>
      <c r="D20" s="19" t="s">
        <v>56</v>
      </c>
      <c r="E20" s="21">
        <v>338000</v>
      </c>
      <c r="F20" s="22">
        <v>1548.04</v>
      </c>
      <c r="G20" s="30">
        <v>2.4233645185817894E-2</v>
      </c>
    </row>
    <row r="21" spans="1:7" x14ac:dyDescent="0.2">
      <c r="A21" s="11"/>
      <c r="B21" s="29" t="s">
        <v>224</v>
      </c>
      <c r="C21" s="19" t="s">
        <v>225</v>
      </c>
      <c r="D21" s="19" t="s">
        <v>226</v>
      </c>
      <c r="E21" s="21">
        <v>410291</v>
      </c>
      <c r="F21" s="22">
        <v>1517.256118</v>
      </c>
      <c r="G21" s="30">
        <v>2.3751741828133281E-2</v>
      </c>
    </row>
    <row r="22" spans="1:7" x14ac:dyDescent="0.2">
      <c r="A22" s="11"/>
      <c r="B22" s="29" t="s">
        <v>51</v>
      </c>
      <c r="C22" s="19" t="s">
        <v>52</v>
      </c>
      <c r="D22" s="19" t="s">
        <v>53</v>
      </c>
      <c r="E22" s="21">
        <v>398865</v>
      </c>
      <c r="F22" s="22">
        <v>1483.5783675</v>
      </c>
      <c r="G22" s="30">
        <v>2.3224536680802786E-2</v>
      </c>
    </row>
    <row r="23" spans="1:7" x14ac:dyDescent="0.2">
      <c r="A23" s="11"/>
      <c r="B23" s="29" t="s">
        <v>76</v>
      </c>
      <c r="C23" s="19" t="s">
        <v>77</v>
      </c>
      <c r="D23" s="19" t="s">
        <v>64</v>
      </c>
      <c r="E23" s="21">
        <v>85106</v>
      </c>
      <c r="F23" s="22">
        <v>1331.6961349999999</v>
      </c>
      <c r="G23" s="30">
        <v>2.0846910694113232E-2</v>
      </c>
    </row>
    <row r="24" spans="1:7" x14ac:dyDescent="0.2">
      <c r="A24" s="11"/>
      <c r="B24" s="29" t="s">
        <v>222</v>
      </c>
      <c r="C24" s="19" t="s">
        <v>223</v>
      </c>
      <c r="D24" s="19" t="s">
        <v>96</v>
      </c>
      <c r="E24" s="21">
        <v>46150</v>
      </c>
      <c r="F24" s="22">
        <v>1285.04675</v>
      </c>
      <c r="G24" s="30">
        <v>2.0116642326224406E-2</v>
      </c>
    </row>
    <row r="25" spans="1:7" x14ac:dyDescent="0.2">
      <c r="A25" s="11"/>
      <c r="B25" s="29" t="s">
        <v>330</v>
      </c>
      <c r="C25" s="19" t="s">
        <v>331</v>
      </c>
      <c r="D25" s="19" t="s">
        <v>47</v>
      </c>
      <c r="E25" s="21">
        <v>310500</v>
      </c>
      <c r="F25" s="22">
        <v>1233.4612500000001</v>
      </c>
      <c r="G25" s="30">
        <v>1.9309102014777021E-2</v>
      </c>
    </row>
    <row r="26" spans="1:7" x14ac:dyDescent="0.2">
      <c r="A26" s="11"/>
      <c r="B26" s="29" t="s">
        <v>97</v>
      </c>
      <c r="C26" s="19" t="s">
        <v>98</v>
      </c>
      <c r="D26" s="19" t="s">
        <v>47</v>
      </c>
      <c r="E26" s="21">
        <v>141200</v>
      </c>
      <c r="F26" s="22">
        <v>1230.558</v>
      </c>
      <c r="G26" s="30">
        <v>1.9263653363330208E-2</v>
      </c>
    </row>
    <row r="27" spans="1:7" x14ac:dyDescent="0.2">
      <c r="A27" s="11"/>
      <c r="B27" s="29" t="s">
        <v>81</v>
      </c>
      <c r="C27" s="19" t="s">
        <v>82</v>
      </c>
      <c r="D27" s="19" t="s">
        <v>53</v>
      </c>
      <c r="E27" s="21">
        <v>219178</v>
      </c>
      <c r="F27" s="22">
        <v>1210.191327</v>
      </c>
      <c r="G27" s="30">
        <v>1.8944825214769721E-2</v>
      </c>
    </row>
    <row r="28" spans="1:7" x14ac:dyDescent="0.2">
      <c r="A28" s="11"/>
      <c r="B28" s="29" t="s">
        <v>65</v>
      </c>
      <c r="C28" s="19" t="s">
        <v>66</v>
      </c>
      <c r="D28" s="19" t="s">
        <v>67</v>
      </c>
      <c r="E28" s="21">
        <v>247949</v>
      </c>
      <c r="F28" s="22">
        <v>1165.2363255</v>
      </c>
      <c r="G28" s="30">
        <v>1.8241081412491412E-2</v>
      </c>
    </row>
    <row r="29" spans="1:7" x14ac:dyDescent="0.2">
      <c r="A29" s="11"/>
      <c r="B29" s="29" t="s">
        <v>78</v>
      </c>
      <c r="C29" s="19" t="s">
        <v>79</v>
      </c>
      <c r="D29" s="19" t="s">
        <v>80</v>
      </c>
      <c r="E29" s="21">
        <v>160850</v>
      </c>
      <c r="F29" s="22">
        <v>1118.7117499999999</v>
      </c>
      <c r="G29" s="30">
        <v>1.7512766863069049E-2</v>
      </c>
    </row>
    <row r="30" spans="1:7" x14ac:dyDescent="0.2">
      <c r="A30" s="11"/>
      <c r="B30" s="29" t="s">
        <v>251</v>
      </c>
      <c r="C30" s="19" t="s">
        <v>252</v>
      </c>
      <c r="D30" s="19" t="s">
        <v>122</v>
      </c>
      <c r="E30" s="21">
        <v>247096</v>
      </c>
      <c r="F30" s="22">
        <v>1074.8676</v>
      </c>
      <c r="G30" s="30">
        <v>1.6826412780116557E-2</v>
      </c>
    </row>
    <row r="31" spans="1:7" x14ac:dyDescent="0.2">
      <c r="A31" s="11"/>
      <c r="B31" s="29" t="s">
        <v>68</v>
      </c>
      <c r="C31" s="19" t="s">
        <v>69</v>
      </c>
      <c r="D31" s="19" t="s">
        <v>70</v>
      </c>
      <c r="E31" s="21">
        <v>403789</v>
      </c>
      <c r="F31" s="22">
        <v>1065.1953820000001</v>
      </c>
      <c r="G31" s="30">
        <v>1.6674999961861291E-2</v>
      </c>
    </row>
    <row r="32" spans="1:7" x14ac:dyDescent="0.2">
      <c r="A32" s="11"/>
      <c r="B32" s="29" t="s">
        <v>332</v>
      </c>
      <c r="C32" s="19" t="s">
        <v>333</v>
      </c>
      <c r="D32" s="19" t="s">
        <v>334</v>
      </c>
      <c r="E32" s="21">
        <v>206400</v>
      </c>
      <c r="F32" s="22">
        <v>1059.1415999999999</v>
      </c>
      <c r="G32" s="30">
        <v>1.6580231606379333E-2</v>
      </c>
    </row>
    <row r="33" spans="1:7" x14ac:dyDescent="0.2">
      <c r="A33" s="11"/>
      <c r="B33" s="29" t="s">
        <v>59</v>
      </c>
      <c r="C33" s="19" t="s">
        <v>60</v>
      </c>
      <c r="D33" s="19" t="s">
        <v>61</v>
      </c>
      <c r="E33" s="21">
        <v>335809</v>
      </c>
      <c r="F33" s="22">
        <v>1042.351136</v>
      </c>
      <c r="G33" s="30">
        <v>1.6317386882030317E-2</v>
      </c>
    </row>
    <row r="34" spans="1:7" x14ac:dyDescent="0.2">
      <c r="A34" s="11"/>
      <c r="B34" s="29" t="s">
        <v>88</v>
      </c>
      <c r="C34" s="19" t="s">
        <v>89</v>
      </c>
      <c r="D34" s="19" t="s">
        <v>67</v>
      </c>
      <c r="E34" s="21">
        <v>1362602</v>
      </c>
      <c r="F34" s="22">
        <v>1028.76451</v>
      </c>
      <c r="G34" s="30">
        <v>1.6104696335431774E-2</v>
      </c>
    </row>
    <row r="35" spans="1:7" x14ac:dyDescent="0.2">
      <c r="A35" s="11"/>
      <c r="B35" s="29" t="s">
        <v>57</v>
      </c>
      <c r="C35" s="19" t="s">
        <v>58</v>
      </c>
      <c r="D35" s="19" t="s">
        <v>47</v>
      </c>
      <c r="E35" s="21">
        <v>810800</v>
      </c>
      <c r="F35" s="22">
        <v>979.04100000000005</v>
      </c>
      <c r="G35" s="30">
        <v>1.5326304369634077E-2</v>
      </c>
    </row>
    <row r="36" spans="1:7" x14ac:dyDescent="0.2">
      <c r="A36" s="11"/>
      <c r="B36" s="29" t="s">
        <v>110</v>
      </c>
      <c r="C36" s="19" t="s">
        <v>111</v>
      </c>
      <c r="D36" s="19" t="s">
        <v>64</v>
      </c>
      <c r="E36" s="21">
        <v>78205</v>
      </c>
      <c r="F36" s="22">
        <v>938.694615</v>
      </c>
      <c r="G36" s="30">
        <v>1.4694705716743708E-2</v>
      </c>
    </row>
    <row r="37" spans="1:7" x14ac:dyDescent="0.2">
      <c r="A37" s="11"/>
      <c r="B37" s="29" t="s">
        <v>62</v>
      </c>
      <c r="C37" s="19" t="s">
        <v>63</v>
      </c>
      <c r="D37" s="19" t="s">
        <v>64</v>
      </c>
      <c r="E37" s="21">
        <v>118300</v>
      </c>
      <c r="F37" s="22">
        <v>882.75459999999998</v>
      </c>
      <c r="G37" s="30">
        <v>1.381899806371192E-2</v>
      </c>
    </row>
    <row r="38" spans="1:7" x14ac:dyDescent="0.2">
      <c r="A38" s="11"/>
      <c r="B38" s="29" t="s">
        <v>118</v>
      </c>
      <c r="C38" s="19" t="s">
        <v>119</v>
      </c>
      <c r="D38" s="19" t="s">
        <v>53</v>
      </c>
      <c r="E38" s="21">
        <v>540500</v>
      </c>
      <c r="F38" s="22">
        <v>880.47450000000003</v>
      </c>
      <c r="G38" s="30">
        <v>1.378330445476888E-2</v>
      </c>
    </row>
    <row r="39" spans="1:7" x14ac:dyDescent="0.2">
      <c r="A39" s="11"/>
      <c r="B39" s="29" t="s">
        <v>73</v>
      </c>
      <c r="C39" s="19" t="s">
        <v>74</v>
      </c>
      <c r="D39" s="19" t="s">
        <v>75</v>
      </c>
      <c r="E39" s="21">
        <v>206368</v>
      </c>
      <c r="F39" s="22">
        <v>865.50739199999998</v>
      </c>
      <c r="G39" s="30">
        <v>1.3549003283785045E-2</v>
      </c>
    </row>
    <row r="40" spans="1:7" x14ac:dyDescent="0.2">
      <c r="A40" s="11"/>
      <c r="B40" s="29" t="s">
        <v>108</v>
      </c>
      <c r="C40" s="19" t="s">
        <v>109</v>
      </c>
      <c r="D40" s="19" t="s">
        <v>44</v>
      </c>
      <c r="E40" s="21">
        <v>101000</v>
      </c>
      <c r="F40" s="22">
        <v>764.51949999999999</v>
      </c>
      <c r="G40" s="30">
        <v>1.1968097917779193E-2</v>
      </c>
    </row>
    <row r="41" spans="1:7" x14ac:dyDescent="0.2">
      <c r="A41" s="11"/>
      <c r="B41" s="29" t="s">
        <v>92</v>
      </c>
      <c r="C41" s="19" t="s">
        <v>93</v>
      </c>
      <c r="D41" s="19" t="s">
        <v>75</v>
      </c>
      <c r="E41" s="21">
        <v>202000</v>
      </c>
      <c r="F41" s="22">
        <v>761.43899999999996</v>
      </c>
      <c r="G41" s="30">
        <v>1.1919874523038158E-2</v>
      </c>
    </row>
    <row r="42" spans="1:7" x14ac:dyDescent="0.2">
      <c r="A42" s="11"/>
      <c r="B42" s="29" t="s">
        <v>48</v>
      </c>
      <c r="C42" s="19" t="s">
        <v>49</v>
      </c>
      <c r="D42" s="19" t="s">
        <v>50</v>
      </c>
      <c r="E42" s="21">
        <v>73589</v>
      </c>
      <c r="F42" s="22">
        <v>687.68920500000002</v>
      </c>
      <c r="G42" s="30">
        <v>1.0765365360124535E-2</v>
      </c>
    </row>
    <row r="43" spans="1:7" x14ac:dyDescent="0.2">
      <c r="A43" s="11"/>
      <c r="B43" s="29" t="s">
        <v>99</v>
      </c>
      <c r="C43" s="19" t="s">
        <v>100</v>
      </c>
      <c r="D43" s="19" t="s">
        <v>87</v>
      </c>
      <c r="E43" s="21">
        <v>362858</v>
      </c>
      <c r="F43" s="22">
        <v>673.10158999999999</v>
      </c>
      <c r="G43" s="30">
        <v>1.0537004926274431E-2</v>
      </c>
    </row>
    <row r="44" spans="1:7" x14ac:dyDescent="0.2">
      <c r="A44" s="11"/>
      <c r="B44" s="29" t="s">
        <v>116</v>
      </c>
      <c r="C44" s="19" t="s">
        <v>117</v>
      </c>
      <c r="D44" s="19" t="s">
        <v>70</v>
      </c>
      <c r="E44" s="21">
        <v>326138</v>
      </c>
      <c r="F44" s="22">
        <v>667.11527899999999</v>
      </c>
      <c r="G44" s="30">
        <v>1.0443292789155262E-2</v>
      </c>
    </row>
    <row r="45" spans="1:7" x14ac:dyDescent="0.2">
      <c r="A45" s="11"/>
      <c r="B45" s="29" t="s">
        <v>134</v>
      </c>
      <c r="C45" s="19" t="s">
        <v>135</v>
      </c>
      <c r="D45" s="19" t="s">
        <v>136</v>
      </c>
      <c r="E45" s="21">
        <v>314000</v>
      </c>
      <c r="F45" s="22">
        <v>611.51499999999999</v>
      </c>
      <c r="G45" s="30">
        <v>9.5729035010758308E-3</v>
      </c>
    </row>
    <row r="46" spans="1:7" x14ac:dyDescent="0.2">
      <c r="A46" s="11"/>
      <c r="B46" s="29" t="s">
        <v>104</v>
      </c>
      <c r="C46" s="19" t="s">
        <v>105</v>
      </c>
      <c r="D46" s="19" t="s">
        <v>87</v>
      </c>
      <c r="E46" s="21">
        <v>77000</v>
      </c>
      <c r="F46" s="22">
        <v>609.60900000000004</v>
      </c>
      <c r="G46" s="30">
        <v>9.5430662050601158E-3</v>
      </c>
    </row>
    <row r="47" spans="1:7" x14ac:dyDescent="0.2">
      <c r="A47" s="11"/>
      <c r="B47" s="29" t="s">
        <v>123</v>
      </c>
      <c r="C47" s="19" t="s">
        <v>124</v>
      </c>
      <c r="D47" s="19" t="s">
        <v>70</v>
      </c>
      <c r="E47" s="21">
        <v>210500</v>
      </c>
      <c r="F47" s="22">
        <v>595.39925000000005</v>
      </c>
      <c r="G47" s="30">
        <v>9.3206210229723301E-3</v>
      </c>
    </row>
    <row r="48" spans="1:7" x14ac:dyDescent="0.2">
      <c r="A48" s="11"/>
      <c r="B48" s="29" t="s">
        <v>141</v>
      </c>
      <c r="C48" s="19" t="s">
        <v>142</v>
      </c>
      <c r="D48" s="19" t="s">
        <v>129</v>
      </c>
      <c r="E48" s="21">
        <v>38329</v>
      </c>
      <c r="F48" s="22">
        <v>588.77176899999995</v>
      </c>
      <c r="G48" s="30">
        <v>9.2168717509704748E-3</v>
      </c>
    </row>
    <row r="49" spans="1:7" x14ac:dyDescent="0.2">
      <c r="A49" s="11"/>
      <c r="B49" s="29" t="s">
        <v>137</v>
      </c>
      <c r="C49" s="19" t="s">
        <v>138</v>
      </c>
      <c r="D49" s="19" t="s">
        <v>61</v>
      </c>
      <c r="E49" s="21">
        <v>155700</v>
      </c>
      <c r="F49" s="22">
        <v>565.81380000000001</v>
      </c>
      <c r="G49" s="30">
        <v>8.8574784052345736E-3</v>
      </c>
    </row>
    <row r="50" spans="1:7" x14ac:dyDescent="0.2">
      <c r="A50" s="11"/>
      <c r="B50" s="29" t="s">
        <v>335</v>
      </c>
      <c r="C50" s="19" t="s">
        <v>336</v>
      </c>
      <c r="D50" s="19" t="s">
        <v>64</v>
      </c>
      <c r="E50" s="21">
        <v>42220</v>
      </c>
      <c r="F50" s="22">
        <v>542.69587999999999</v>
      </c>
      <c r="G50" s="30">
        <v>8.4955811217573216E-3</v>
      </c>
    </row>
    <row r="51" spans="1:7" x14ac:dyDescent="0.2">
      <c r="A51" s="11"/>
      <c r="B51" s="29" t="s">
        <v>155</v>
      </c>
      <c r="C51" s="19" t="s">
        <v>156</v>
      </c>
      <c r="D51" s="19" t="s">
        <v>157</v>
      </c>
      <c r="E51" s="21">
        <v>489559</v>
      </c>
      <c r="F51" s="22">
        <v>509.8756985</v>
      </c>
      <c r="G51" s="30">
        <v>7.9818007069068376E-3</v>
      </c>
    </row>
    <row r="52" spans="1:7" x14ac:dyDescent="0.2">
      <c r="A52" s="11"/>
      <c r="B52" s="29" t="s">
        <v>94</v>
      </c>
      <c r="C52" s="19" t="s">
        <v>95</v>
      </c>
      <c r="D52" s="19" t="s">
        <v>96</v>
      </c>
      <c r="E52" s="21">
        <v>32930</v>
      </c>
      <c r="F52" s="22">
        <v>466.700425</v>
      </c>
      <c r="G52" s="30">
        <v>7.3059174876104072E-3</v>
      </c>
    </row>
    <row r="53" spans="1:7" x14ac:dyDescent="0.2">
      <c r="A53" s="11"/>
      <c r="B53" s="29" t="s">
        <v>240</v>
      </c>
      <c r="C53" s="19" t="s">
        <v>241</v>
      </c>
      <c r="D53" s="19" t="s">
        <v>129</v>
      </c>
      <c r="E53" s="21">
        <v>18723</v>
      </c>
      <c r="F53" s="22">
        <v>448.98690149999999</v>
      </c>
      <c r="G53" s="30">
        <v>7.0286228159677838E-3</v>
      </c>
    </row>
    <row r="54" spans="1:7" x14ac:dyDescent="0.2">
      <c r="A54" s="11"/>
      <c r="B54" s="29" t="s">
        <v>162</v>
      </c>
      <c r="C54" s="19" t="s">
        <v>163</v>
      </c>
      <c r="D54" s="19" t="s">
        <v>50</v>
      </c>
      <c r="E54" s="21">
        <v>50000</v>
      </c>
      <c r="F54" s="22">
        <v>422.3</v>
      </c>
      <c r="G54" s="30">
        <v>6.6108552504915222E-3</v>
      </c>
    </row>
    <row r="55" spans="1:7" x14ac:dyDescent="0.2">
      <c r="A55" s="11"/>
      <c r="B55" s="29" t="s">
        <v>164</v>
      </c>
      <c r="C55" s="19" t="s">
        <v>165</v>
      </c>
      <c r="D55" s="19" t="s">
        <v>64</v>
      </c>
      <c r="E55" s="21">
        <v>48000</v>
      </c>
      <c r="F55" s="22">
        <v>392.42399999999998</v>
      </c>
      <c r="G55" s="30">
        <v>6.1431642453679495E-3</v>
      </c>
    </row>
    <row r="56" spans="1:7" x14ac:dyDescent="0.2">
      <c r="A56" s="11"/>
      <c r="B56" s="29" t="s">
        <v>145</v>
      </c>
      <c r="C56" s="19" t="s">
        <v>146</v>
      </c>
      <c r="D56" s="19" t="s">
        <v>129</v>
      </c>
      <c r="E56" s="21">
        <v>13534</v>
      </c>
      <c r="F56" s="22">
        <v>364.91724199999999</v>
      </c>
      <c r="G56" s="30">
        <v>5.7125623141619361E-3</v>
      </c>
    </row>
    <row r="57" spans="1:7" x14ac:dyDescent="0.2">
      <c r="A57" s="11"/>
      <c r="B57" s="29" t="s">
        <v>304</v>
      </c>
      <c r="C57" s="19" t="s">
        <v>305</v>
      </c>
      <c r="D57" s="19" t="s">
        <v>122</v>
      </c>
      <c r="E57" s="21">
        <v>90000</v>
      </c>
      <c r="F57" s="22">
        <v>293.625</v>
      </c>
      <c r="G57" s="30">
        <v>4.5965246813297967E-3</v>
      </c>
    </row>
    <row r="58" spans="1:7" x14ac:dyDescent="0.2">
      <c r="A58" s="11"/>
      <c r="B58" s="29" t="s">
        <v>147</v>
      </c>
      <c r="C58" s="19" t="s">
        <v>148</v>
      </c>
      <c r="D58" s="19" t="s">
        <v>56</v>
      </c>
      <c r="E58" s="21">
        <v>219083</v>
      </c>
      <c r="F58" s="22">
        <v>291.38038999999998</v>
      </c>
      <c r="G58" s="30">
        <v>4.5613866472218037E-3</v>
      </c>
    </row>
    <row r="59" spans="1:7" x14ac:dyDescent="0.2">
      <c r="A59" s="11"/>
      <c r="B59" s="29" t="s">
        <v>149</v>
      </c>
      <c r="C59" s="19" t="s">
        <v>150</v>
      </c>
      <c r="D59" s="19" t="s">
        <v>47</v>
      </c>
      <c r="E59" s="21">
        <v>191078</v>
      </c>
      <c r="F59" s="22">
        <v>260.63039199999997</v>
      </c>
      <c r="G59" s="30">
        <v>4.0800137233977353E-3</v>
      </c>
    </row>
    <row r="60" spans="1:7" x14ac:dyDescent="0.2">
      <c r="A60" s="11"/>
      <c r="B60" s="29" t="s">
        <v>275</v>
      </c>
      <c r="C60" s="19" t="s">
        <v>276</v>
      </c>
      <c r="D60" s="19" t="s">
        <v>168</v>
      </c>
      <c r="E60" s="21">
        <v>5000</v>
      </c>
      <c r="F60" s="22">
        <v>17.805</v>
      </c>
      <c r="G60" s="30">
        <v>2.7872668182571999E-4</v>
      </c>
    </row>
    <row r="61" spans="1:7" x14ac:dyDescent="0.2">
      <c r="A61" s="1"/>
      <c r="B61" s="27" t="s">
        <v>29</v>
      </c>
      <c r="C61" s="19" t="s">
        <v>1</v>
      </c>
      <c r="D61" s="19" t="s">
        <v>1</v>
      </c>
      <c r="E61" s="19" t="s">
        <v>1</v>
      </c>
      <c r="F61" s="23">
        <v>62385.476189000001</v>
      </c>
      <c r="G61" s="31">
        <v>0.97660751318603956</v>
      </c>
    </row>
    <row r="62" spans="1:7" x14ac:dyDescent="0.2">
      <c r="A62" s="1"/>
      <c r="B62" s="27"/>
      <c r="C62" s="19"/>
      <c r="D62" s="19"/>
      <c r="E62" s="19"/>
      <c r="F62" s="23"/>
      <c r="G62" s="31"/>
    </row>
    <row r="63" spans="1:7" x14ac:dyDescent="0.2">
      <c r="A63" s="1"/>
      <c r="B63" s="27" t="s">
        <v>184</v>
      </c>
      <c r="C63" s="19" t="s">
        <v>1</v>
      </c>
      <c r="D63" s="19" t="s">
        <v>1</v>
      </c>
      <c r="E63" s="23" t="s">
        <v>185</v>
      </c>
      <c r="F63" s="23" t="s">
        <v>185</v>
      </c>
      <c r="G63" s="31" t="s">
        <v>185</v>
      </c>
    </row>
    <row r="64" spans="1:7" x14ac:dyDescent="0.2">
      <c r="A64" s="1"/>
      <c r="B64" s="27" t="s">
        <v>29</v>
      </c>
      <c r="C64" s="19" t="s">
        <v>1</v>
      </c>
      <c r="D64" s="19" t="s">
        <v>1</v>
      </c>
      <c r="E64" s="23" t="s">
        <v>185</v>
      </c>
      <c r="F64" s="23" t="s">
        <v>185</v>
      </c>
      <c r="G64" s="31" t="s">
        <v>185</v>
      </c>
    </row>
    <row r="65" spans="1:7" x14ac:dyDescent="0.2">
      <c r="A65" s="1"/>
      <c r="B65" s="27" t="s">
        <v>30</v>
      </c>
      <c r="C65" s="19" t="s">
        <v>1</v>
      </c>
      <c r="D65" s="19" t="s">
        <v>1</v>
      </c>
      <c r="E65" s="19" t="s">
        <v>1</v>
      </c>
      <c r="F65" s="23">
        <v>62385.476189000001</v>
      </c>
      <c r="G65" s="31">
        <v>0.97660751318603956</v>
      </c>
    </row>
    <row r="66" spans="1:7" x14ac:dyDescent="0.2">
      <c r="A66" s="1"/>
      <c r="B66" s="27"/>
      <c r="C66" s="19"/>
      <c r="D66" s="19"/>
      <c r="E66" s="19"/>
      <c r="F66" s="23"/>
      <c r="G66" s="31"/>
    </row>
    <row r="67" spans="1:7" x14ac:dyDescent="0.2">
      <c r="A67" s="1"/>
      <c r="B67" s="12" t="s">
        <v>356</v>
      </c>
      <c r="C67" s="19"/>
      <c r="D67" s="19"/>
      <c r="E67" s="19"/>
      <c r="F67" s="23"/>
      <c r="G67" s="31"/>
    </row>
    <row r="68" spans="1:7" x14ac:dyDescent="0.2">
      <c r="A68" s="1"/>
      <c r="B68" s="13" t="s">
        <v>360</v>
      </c>
      <c r="C68" s="19"/>
      <c r="D68" s="19"/>
      <c r="E68" s="23" t="s">
        <v>185</v>
      </c>
      <c r="F68" s="23" t="s">
        <v>185</v>
      </c>
      <c r="G68" s="32" t="s">
        <v>185</v>
      </c>
    </row>
    <row r="69" spans="1:7" x14ac:dyDescent="0.2">
      <c r="A69" s="1"/>
      <c r="B69" s="13" t="s">
        <v>358</v>
      </c>
      <c r="C69" s="19"/>
      <c r="D69" s="19"/>
      <c r="E69" s="23" t="s">
        <v>185</v>
      </c>
      <c r="F69" s="23" t="s">
        <v>185</v>
      </c>
      <c r="G69" s="32" t="s">
        <v>185</v>
      </c>
    </row>
    <row r="70" spans="1:7" x14ac:dyDescent="0.2">
      <c r="A70" s="1"/>
      <c r="B70" s="13" t="s">
        <v>359</v>
      </c>
      <c r="C70" s="19"/>
      <c r="D70" s="19"/>
      <c r="E70" s="23" t="s">
        <v>185</v>
      </c>
      <c r="F70" s="23" t="s">
        <v>185</v>
      </c>
      <c r="G70" s="32" t="s">
        <v>185</v>
      </c>
    </row>
    <row r="71" spans="1:7" x14ac:dyDescent="0.2">
      <c r="A71" s="1"/>
      <c r="B71" s="27"/>
      <c r="C71" s="19"/>
      <c r="D71" s="19"/>
      <c r="E71" s="19"/>
      <c r="F71" s="23"/>
      <c r="G71" s="31"/>
    </row>
    <row r="72" spans="1:7" x14ac:dyDescent="0.2">
      <c r="A72" s="1"/>
      <c r="B72" s="14" t="s">
        <v>9</v>
      </c>
      <c r="C72" s="19"/>
      <c r="D72" s="19"/>
      <c r="E72" s="19"/>
      <c r="F72" s="23"/>
      <c r="G72" s="31"/>
    </row>
    <row r="73" spans="1:7" x14ac:dyDescent="0.2">
      <c r="A73" s="1"/>
      <c r="B73" s="27"/>
      <c r="C73" s="19"/>
      <c r="D73" s="19"/>
      <c r="E73" s="19"/>
      <c r="F73" s="23"/>
      <c r="G73" s="31"/>
    </row>
    <row r="74" spans="1:7" x14ac:dyDescent="0.2">
      <c r="A74" s="1"/>
      <c r="B74" s="27" t="s">
        <v>195</v>
      </c>
      <c r="C74" s="19" t="s">
        <v>1</v>
      </c>
      <c r="D74" s="19" t="s">
        <v>1</v>
      </c>
      <c r="E74" s="19" t="s">
        <v>1</v>
      </c>
      <c r="F74" s="20" t="s">
        <v>1</v>
      </c>
      <c r="G74" s="28" t="s">
        <v>1</v>
      </c>
    </row>
    <row r="75" spans="1:7" x14ac:dyDescent="0.2">
      <c r="A75" s="1"/>
      <c r="B75" s="27" t="s">
        <v>196</v>
      </c>
      <c r="C75" s="19" t="s">
        <v>1</v>
      </c>
      <c r="D75" s="19" t="s">
        <v>1</v>
      </c>
      <c r="E75" s="19" t="s">
        <v>1</v>
      </c>
      <c r="F75" s="20" t="s">
        <v>1</v>
      </c>
      <c r="G75" s="28" t="s">
        <v>1</v>
      </c>
    </row>
    <row r="76" spans="1:7" x14ac:dyDescent="0.2">
      <c r="A76" s="11"/>
      <c r="B76" s="29" t="s">
        <v>337</v>
      </c>
      <c r="C76" s="19" t="s">
        <v>338</v>
      </c>
      <c r="D76" s="19" t="s">
        <v>1</v>
      </c>
      <c r="E76" s="21">
        <v>2500440</v>
      </c>
      <c r="F76" s="22">
        <v>263.06879199999997</v>
      </c>
      <c r="G76" s="30">
        <v>4.1181854246593944E-3</v>
      </c>
    </row>
    <row r="77" spans="1:7" x14ac:dyDescent="0.2">
      <c r="A77" s="1"/>
      <c r="B77" s="27" t="s">
        <v>29</v>
      </c>
      <c r="C77" s="19" t="s">
        <v>1</v>
      </c>
      <c r="D77" s="19" t="s">
        <v>1</v>
      </c>
      <c r="E77" s="19" t="s">
        <v>1</v>
      </c>
      <c r="F77" s="23">
        <v>263.06879199999997</v>
      </c>
      <c r="G77" s="31">
        <v>4.1181854246593944E-3</v>
      </c>
    </row>
    <row r="78" spans="1:7" x14ac:dyDescent="0.2">
      <c r="A78" s="1"/>
      <c r="B78" s="27"/>
      <c r="C78" s="19"/>
      <c r="D78" s="19"/>
      <c r="E78" s="19"/>
      <c r="F78" s="23"/>
      <c r="G78" s="31"/>
    </row>
    <row r="79" spans="1:7" x14ac:dyDescent="0.2">
      <c r="A79" s="1"/>
      <c r="B79" s="27" t="s">
        <v>31</v>
      </c>
      <c r="C79" s="19" t="s">
        <v>1</v>
      </c>
      <c r="D79" s="19" t="s">
        <v>1</v>
      </c>
      <c r="E79" s="19" t="s">
        <v>1</v>
      </c>
      <c r="F79" s="20" t="s">
        <v>1</v>
      </c>
      <c r="G79" s="28" t="s">
        <v>1</v>
      </c>
    </row>
    <row r="80" spans="1:7" x14ac:dyDescent="0.2">
      <c r="A80" s="11"/>
      <c r="B80" s="29" t="s">
        <v>32</v>
      </c>
      <c r="C80" s="19" t="s">
        <v>1</v>
      </c>
      <c r="D80" s="19" t="s">
        <v>33</v>
      </c>
      <c r="E80" s="21"/>
      <c r="F80" s="22">
        <v>545.10170000000005</v>
      </c>
      <c r="G80" s="30">
        <v>8.5332428025026164E-3</v>
      </c>
    </row>
    <row r="81" spans="1:7" x14ac:dyDescent="0.2">
      <c r="A81" s="1"/>
      <c r="B81" s="27" t="s">
        <v>29</v>
      </c>
      <c r="C81" s="19" t="s">
        <v>1</v>
      </c>
      <c r="D81" s="19" t="s">
        <v>1</v>
      </c>
      <c r="E81" s="19" t="s">
        <v>1</v>
      </c>
      <c r="F81" s="23">
        <v>545.10170000000005</v>
      </c>
      <c r="G81" s="31">
        <v>8.5332428025026164E-3</v>
      </c>
    </row>
    <row r="82" spans="1:7" x14ac:dyDescent="0.2">
      <c r="A82" s="1"/>
      <c r="B82" s="27"/>
      <c r="C82" s="19"/>
      <c r="D82" s="19"/>
      <c r="E82" s="19"/>
      <c r="F82" s="23"/>
      <c r="G82" s="31"/>
    </row>
    <row r="83" spans="1:7" x14ac:dyDescent="0.2">
      <c r="A83" s="1"/>
      <c r="B83" s="27"/>
      <c r="C83" s="19"/>
      <c r="D83" s="19"/>
      <c r="E83" s="19"/>
      <c r="F83" s="23"/>
      <c r="G83" s="31"/>
    </row>
    <row r="84" spans="1:7" x14ac:dyDescent="0.2">
      <c r="A84" s="1"/>
      <c r="B84" s="27" t="s">
        <v>34</v>
      </c>
      <c r="C84" s="19" t="s">
        <v>1</v>
      </c>
      <c r="D84" s="19" t="s">
        <v>1</v>
      </c>
      <c r="E84" s="19" t="s">
        <v>1</v>
      </c>
      <c r="F84" s="48">
        <v>686.13649359030001</v>
      </c>
      <c r="G84" s="49">
        <v>1.0741058586798422E-2</v>
      </c>
    </row>
    <row r="85" spans="1:7" x14ac:dyDescent="0.2">
      <c r="A85" s="1"/>
      <c r="B85" s="27" t="s">
        <v>29</v>
      </c>
      <c r="C85" s="19"/>
      <c r="D85" s="19"/>
      <c r="E85" s="19"/>
      <c r="F85" s="23">
        <v>686.13649359030001</v>
      </c>
      <c r="G85" s="31">
        <v>1.0741058586798422E-2</v>
      </c>
    </row>
    <row r="86" spans="1:7" x14ac:dyDescent="0.2">
      <c r="A86" s="1"/>
      <c r="B86" s="27" t="s">
        <v>30</v>
      </c>
      <c r="C86" s="19"/>
      <c r="D86" s="19"/>
      <c r="E86" s="19"/>
      <c r="F86" s="23">
        <v>1494.3069855903</v>
      </c>
      <c r="G86" s="33">
        <v>2.3392486813960431E-2</v>
      </c>
    </row>
    <row r="87" spans="1:7" ht="13.5" thickBot="1" x14ac:dyDescent="0.25">
      <c r="A87" s="1"/>
      <c r="B87" s="82"/>
      <c r="C87" s="83"/>
      <c r="D87" s="83"/>
      <c r="E87" s="83"/>
      <c r="F87" s="84"/>
      <c r="G87" s="85"/>
    </row>
    <row r="88" spans="1:7" ht="14.25" thickTop="1" thickBot="1" x14ac:dyDescent="0.25">
      <c r="A88" s="1"/>
      <c r="B88" s="78" t="s">
        <v>35</v>
      </c>
      <c r="C88" s="79" t="s">
        <v>1</v>
      </c>
      <c r="D88" s="79" t="s">
        <v>1</v>
      </c>
      <c r="E88" s="79" t="s">
        <v>1</v>
      </c>
      <c r="F88" s="80">
        <v>63879.783174590302</v>
      </c>
      <c r="G88" s="81">
        <v>1</v>
      </c>
    </row>
    <row r="89" spans="1:7" x14ac:dyDescent="0.2">
      <c r="A89" s="1"/>
      <c r="B89" s="10" t="s">
        <v>1</v>
      </c>
      <c r="C89" s="1"/>
      <c r="D89" s="1"/>
      <c r="E89" s="1"/>
      <c r="F89" s="2"/>
      <c r="G89" s="3"/>
    </row>
    <row r="90" spans="1:7" x14ac:dyDescent="0.2">
      <c r="A90" s="1"/>
      <c r="B90" s="6" t="s">
        <v>364</v>
      </c>
      <c r="C90" s="1"/>
      <c r="D90" s="1"/>
      <c r="E90" s="1"/>
      <c r="F90" s="2"/>
      <c r="G90" s="3"/>
    </row>
    <row r="91" spans="1:7" ht="13.5" thickBot="1" x14ac:dyDescent="0.25">
      <c r="A91" s="1"/>
      <c r="B91" s="6" t="s">
        <v>1</v>
      </c>
      <c r="C91" s="1"/>
      <c r="D91" s="1"/>
      <c r="E91" s="1"/>
      <c r="F91" s="2"/>
      <c r="G91" s="3"/>
    </row>
    <row r="92" spans="1:7" ht="13.5" thickBot="1" x14ac:dyDescent="0.25">
      <c r="A92" s="1"/>
      <c r="B92" s="43" t="s">
        <v>370</v>
      </c>
      <c r="C92" s="44">
        <v>0.45779999999999998</v>
      </c>
      <c r="D92" s="1"/>
      <c r="E92" s="1"/>
      <c r="F92" s="2"/>
      <c r="G92" s="3"/>
    </row>
    <row r="93" spans="1:7" x14ac:dyDescent="0.2">
      <c r="B93" s="5" t="s">
        <v>371</v>
      </c>
      <c r="C93" s="5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showGridLines="0" zoomScaleNormal="100" workbookViewId="0">
      <selection activeCell="A44" sqref="A44"/>
    </sheetView>
  </sheetViews>
  <sheetFormatPr defaultRowHeight="12.75" x14ac:dyDescent="0.2"/>
  <cols>
    <col min="1" max="1" width="11.42578125" style="4" bestFit="1" customWidth="1"/>
    <col min="2" max="2" width="49.42578125" style="4" bestFit="1" customWidth="1"/>
    <col min="3" max="3" width="16.7109375" style="4" customWidth="1"/>
    <col min="4" max="4" width="21" style="4" bestFit="1" customWidth="1"/>
    <col min="5" max="5" width="18.7109375" style="4" customWidth="1"/>
    <col min="6" max="6" width="18.7109375" style="7" customWidth="1"/>
    <col min="7" max="7" width="18.7109375" style="8" customWidth="1"/>
    <col min="8" max="16384" width="9.140625" style="4"/>
  </cols>
  <sheetData>
    <row r="1" spans="1:7" ht="18.75" x14ac:dyDescent="0.2">
      <c r="A1" s="1"/>
      <c r="B1" s="123" t="s">
        <v>38</v>
      </c>
      <c r="C1" s="124"/>
      <c r="D1" s="124"/>
      <c r="E1" s="124"/>
      <c r="F1" s="124"/>
      <c r="G1" s="125"/>
    </row>
    <row r="2" spans="1:7" ht="13.5" thickBot="1" x14ac:dyDescent="0.25">
      <c r="A2" s="1"/>
      <c r="B2" s="126" t="s">
        <v>374</v>
      </c>
      <c r="C2" s="127"/>
      <c r="D2" s="127"/>
      <c r="E2" s="127"/>
      <c r="F2" s="127"/>
      <c r="G2" s="128"/>
    </row>
    <row r="3" spans="1:7" x14ac:dyDescent="0.2">
      <c r="A3" s="1"/>
      <c r="B3" s="9" t="s">
        <v>1</v>
      </c>
      <c r="C3" s="1"/>
      <c r="D3" s="1"/>
      <c r="E3" s="1"/>
      <c r="F3" s="2"/>
      <c r="G3" s="3"/>
    </row>
    <row r="4" spans="1:7" ht="13.5" thickBot="1" x14ac:dyDescent="0.25">
      <c r="A4" s="10"/>
      <c r="B4" s="6" t="s">
        <v>2</v>
      </c>
      <c r="C4" s="1"/>
      <c r="D4" s="1"/>
      <c r="E4" s="1"/>
      <c r="F4" s="2"/>
      <c r="G4" s="3"/>
    </row>
    <row r="5" spans="1:7" ht="26.25" thickBot="1" x14ac:dyDescent="0.25">
      <c r="A5" s="1"/>
      <c r="B5" s="38" t="s">
        <v>3</v>
      </c>
      <c r="C5" s="39" t="s">
        <v>4</v>
      </c>
      <c r="D5" s="40" t="s">
        <v>369</v>
      </c>
      <c r="E5" s="40" t="s">
        <v>6</v>
      </c>
      <c r="F5" s="41" t="s">
        <v>7</v>
      </c>
      <c r="G5" s="42" t="s">
        <v>8</v>
      </c>
    </row>
    <row r="6" spans="1:7" x14ac:dyDescent="0.2">
      <c r="A6" s="1"/>
      <c r="B6" s="34" t="s">
        <v>40</v>
      </c>
      <c r="C6" s="35" t="s">
        <v>1</v>
      </c>
      <c r="D6" s="35" t="s">
        <v>1</v>
      </c>
      <c r="E6" s="35" t="s">
        <v>1</v>
      </c>
      <c r="F6" s="36" t="s">
        <v>1</v>
      </c>
      <c r="G6" s="37" t="s">
        <v>1</v>
      </c>
    </row>
    <row r="7" spans="1:7" x14ac:dyDescent="0.2">
      <c r="A7" s="1"/>
      <c r="B7" s="27" t="s">
        <v>41</v>
      </c>
      <c r="C7" s="19" t="s">
        <v>1</v>
      </c>
      <c r="D7" s="19" t="s">
        <v>1</v>
      </c>
      <c r="E7" s="19" t="s">
        <v>1</v>
      </c>
      <c r="F7" s="20" t="s">
        <v>1</v>
      </c>
      <c r="G7" s="28" t="s">
        <v>1</v>
      </c>
    </row>
    <row r="8" spans="1:7" x14ac:dyDescent="0.2">
      <c r="A8" s="11"/>
      <c r="B8" s="29" t="s">
        <v>42</v>
      </c>
      <c r="C8" s="19" t="s">
        <v>43</v>
      </c>
      <c r="D8" s="19" t="s">
        <v>44</v>
      </c>
      <c r="E8" s="21">
        <v>75300</v>
      </c>
      <c r="F8" s="22">
        <v>1779.3389999999999</v>
      </c>
      <c r="G8" s="30">
        <v>3.8783071188404558E-2</v>
      </c>
    </row>
    <row r="9" spans="1:7" x14ac:dyDescent="0.2">
      <c r="A9" s="11"/>
      <c r="B9" s="29" t="s">
        <v>45</v>
      </c>
      <c r="C9" s="19" t="s">
        <v>46</v>
      </c>
      <c r="D9" s="19" t="s">
        <v>47</v>
      </c>
      <c r="E9" s="21">
        <v>101600</v>
      </c>
      <c r="F9" s="22">
        <v>1581.7088000000001</v>
      </c>
      <c r="G9" s="30">
        <v>3.4475456891422007E-2</v>
      </c>
    </row>
    <row r="10" spans="1:7" x14ac:dyDescent="0.2">
      <c r="A10" s="11"/>
      <c r="B10" s="29" t="s">
        <v>48</v>
      </c>
      <c r="C10" s="19" t="s">
        <v>49</v>
      </c>
      <c r="D10" s="19" t="s">
        <v>50</v>
      </c>
      <c r="E10" s="21">
        <v>147234</v>
      </c>
      <c r="F10" s="22">
        <v>1375.90173</v>
      </c>
      <c r="G10" s="30">
        <v>2.998961678625545E-2</v>
      </c>
    </row>
    <row r="11" spans="1:7" x14ac:dyDescent="0.2">
      <c r="A11" s="11"/>
      <c r="B11" s="29" t="s">
        <v>51</v>
      </c>
      <c r="C11" s="19" t="s">
        <v>52</v>
      </c>
      <c r="D11" s="19" t="s">
        <v>53</v>
      </c>
      <c r="E11" s="21">
        <v>335184</v>
      </c>
      <c r="F11" s="22">
        <v>1246.7168879999999</v>
      </c>
      <c r="G11" s="30">
        <v>2.7173860528595276E-2</v>
      </c>
    </row>
    <row r="12" spans="1:7" x14ac:dyDescent="0.2">
      <c r="A12" s="11"/>
      <c r="B12" s="29" t="s">
        <v>54</v>
      </c>
      <c r="C12" s="19" t="s">
        <v>55</v>
      </c>
      <c r="D12" s="19" t="s">
        <v>56</v>
      </c>
      <c r="E12" s="21">
        <v>271338</v>
      </c>
      <c r="F12" s="22">
        <v>1242.72804</v>
      </c>
      <c r="G12" s="30">
        <v>2.7086918256243733E-2</v>
      </c>
    </row>
    <row r="13" spans="1:7" x14ac:dyDescent="0.2">
      <c r="A13" s="11"/>
      <c r="B13" s="29" t="s">
        <v>57</v>
      </c>
      <c r="C13" s="19" t="s">
        <v>58</v>
      </c>
      <c r="D13" s="19" t="s">
        <v>47</v>
      </c>
      <c r="E13" s="21">
        <v>989595</v>
      </c>
      <c r="F13" s="22">
        <v>1194.9359625</v>
      </c>
      <c r="G13" s="30">
        <v>2.6045226063848553E-2</v>
      </c>
    </row>
    <row r="14" spans="1:7" x14ac:dyDescent="0.2">
      <c r="A14" s="11"/>
      <c r="B14" s="29" t="s">
        <v>59</v>
      </c>
      <c r="C14" s="19" t="s">
        <v>60</v>
      </c>
      <c r="D14" s="19" t="s">
        <v>61</v>
      </c>
      <c r="E14" s="21">
        <v>371426</v>
      </c>
      <c r="F14" s="22">
        <v>1152.9063040000001</v>
      </c>
      <c r="G14" s="30">
        <v>2.5129133493725694E-2</v>
      </c>
    </row>
    <row r="15" spans="1:7" x14ac:dyDescent="0.2">
      <c r="A15" s="11"/>
      <c r="B15" s="29" t="s">
        <v>62</v>
      </c>
      <c r="C15" s="19" t="s">
        <v>63</v>
      </c>
      <c r="D15" s="19" t="s">
        <v>64</v>
      </c>
      <c r="E15" s="21">
        <v>153749</v>
      </c>
      <c r="F15" s="22">
        <v>1147.275038</v>
      </c>
      <c r="G15" s="30">
        <v>2.500639252634464E-2</v>
      </c>
    </row>
    <row r="16" spans="1:7" x14ac:dyDescent="0.2">
      <c r="A16" s="11"/>
      <c r="B16" s="29" t="s">
        <v>65</v>
      </c>
      <c r="C16" s="19" t="s">
        <v>66</v>
      </c>
      <c r="D16" s="19" t="s">
        <v>67</v>
      </c>
      <c r="E16" s="21">
        <v>231688</v>
      </c>
      <c r="F16" s="22">
        <v>1088.8177559999999</v>
      </c>
      <c r="G16" s="30">
        <v>2.3732237950242704E-2</v>
      </c>
    </row>
    <row r="17" spans="1:7" x14ac:dyDescent="0.2">
      <c r="A17" s="11"/>
      <c r="B17" s="29" t="s">
        <v>68</v>
      </c>
      <c r="C17" s="19" t="s">
        <v>69</v>
      </c>
      <c r="D17" s="19" t="s">
        <v>70</v>
      </c>
      <c r="E17" s="21">
        <v>409809</v>
      </c>
      <c r="F17" s="22">
        <v>1081.0761419999999</v>
      </c>
      <c r="G17" s="30">
        <v>2.3563499128199716E-2</v>
      </c>
    </row>
    <row r="18" spans="1:7" x14ac:dyDescent="0.2">
      <c r="A18" s="11"/>
      <c r="B18" s="29" t="s">
        <v>71</v>
      </c>
      <c r="C18" s="19" t="s">
        <v>72</v>
      </c>
      <c r="D18" s="19" t="s">
        <v>47</v>
      </c>
      <c r="E18" s="21">
        <v>185000</v>
      </c>
      <c r="F18" s="22">
        <v>1058.2925</v>
      </c>
      <c r="G18" s="30">
        <v>2.3066899205634581E-2</v>
      </c>
    </row>
    <row r="19" spans="1:7" x14ac:dyDescent="0.2">
      <c r="A19" s="11"/>
      <c r="B19" s="29" t="s">
        <v>73</v>
      </c>
      <c r="C19" s="19" t="s">
        <v>74</v>
      </c>
      <c r="D19" s="19" t="s">
        <v>75</v>
      </c>
      <c r="E19" s="21">
        <v>244111</v>
      </c>
      <c r="F19" s="22">
        <v>1023.8015339999999</v>
      </c>
      <c r="G19" s="30">
        <v>2.2315122512303606E-2</v>
      </c>
    </row>
    <row r="20" spans="1:7" x14ac:dyDescent="0.2">
      <c r="A20" s="11"/>
      <c r="B20" s="29" t="s">
        <v>76</v>
      </c>
      <c r="C20" s="19" t="s">
        <v>77</v>
      </c>
      <c r="D20" s="19" t="s">
        <v>64</v>
      </c>
      <c r="E20" s="21">
        <v>64967</v>
      </c>
      <c r="F20" s="22">
        <v>1016.5711325</v>
      </c>
      <c r="G20" s="30">
        <v>2.2157526249817792E-2</v>
      </c>
    </row>
    <row r="21" spans="1:7" x14ac:dyDescent="0.2">
      <c r="A21" s="11"/>
      <c r="B21" s="29" t="s">
        <v>78</v>
      </c>
      <c r="C21" s="19" t="s">
        <v>79</v>
      </c>
      <c r="D21" s="19" t="s">
        <v>80</v>
      </c>
      <c r="E21" s="21">
        <v>143524</v>
      </c>
      <c r="F21" s="22">
        <v>998.20942000000002</v>
      </c>
      <c r="G21" s="30">
        <v>2.1757308189611999E-2</v>
      </c>
    </row>
    <row r="22" spans="1:7" x14ac:dyDescent="0.2">
      <c r="A22" s="11"/>
      <c r="B22" s="29" t="s">
        <v>81</v>
      </c>
      <c r="C22" s="19" t="s">
        <v>82</v>
      </c>
      <c r="D22" s="19" t="s">
        <v>53</v>
      </c>
      <c r="E22" s="21">
        <v>177178</v>
      </c>
      <c r="F22" s="22">
        <v>978.28832699999998</v>
      </c>
      <c r="G22" s="30">
        <v>2.1323101347649996E-2</v>
      </c>
    </row>
    <row r="23" spans="1:7" x14ac:dyDescent="0.2">
      <c r="A23" s="11"/>
      <c r="B23" s="29" t="s">
        <v>83</v>
      </c>
      <c r="C23" s="19" t="s">
        <v>84</v>
      </c>
      <c r="D23" s="19" t="s">
        <v>75</v>
      </c>
      <c r="E23" s="21">
        <v>70743</v>
      </c>
      <c r="F23" s="22">
        <v>959.69953799999996</v>
      </c>
      <c r="G23" s="30">
        <v>2.0917933851690412E-2</v>
      </c>
    </row>
    <row r="24" spans="1:7" x14ac:dyDescent="0.2">
      <c r="A24" s="11"/>
      <c r="B24" s="29" t="s">
        <v>85</v>
      </c>
      <c r="C24" s="19" t="s">
        <v>86</v>
      </c>
      <c r="D24" s="19" t="s">
        <v>87</v>
      </c>
      <c r="E24" s="21">
        <v>32467</v>
      </c>
      <c r="F24" s="22">
        <v>924.49782500000003</v>
      </c>
      <c r="G24" s="30">
        <v>2.0150665477742115E-2</v>
      </c>
    </row>
    <row r="25" spans="1:7" x14ac:dyDescent="0.2">
      <c r="A25" s="11"/>
      <c r="B25" s="29" t="s">
        <v>88</v>
      </c>
      <c r="C25" s="19" t="s">
        <v>89</v>
      </c>
      <c r="D25" s="19" t="s">
        <v>67</v>
      </c>
      <c r="E25" s="21">
        <v>1168110</v>
      </c>
      <c r="F25" s="22">
        <v>881.92304999999999</v>
      </c>
      <c r="G25" s="30">
        <v>1.9222691365077073E-2</v>
      </c>
    </row>
    <row r="26" spans="1:7" x14ac:dyDescent="0.2">
      <c r="A26" s="11"/>
      <c r="B26" s="29" t="s">
        <v>90</v>
      </c>
      <c r="C26" s="19" t="s">
        <v>91</v>
      </c>
      <c r="D26" s="19" t="s">
        <v>64</v>
      </c>
      <c r="E26" s="21">
        <v>105019</v>
      </c>
      <c r="F26" s="22">
        <v>874.54572250000001</v>
      </c>
      <c r="G26" s="30">
        <v>1.9061892654087947E-2</v>
      </c>
    </row>
    <row r="27" spans="1:7" x14ac:dyDescent="0.2">
      <c r="A27" s="11"/>
      <c r="B27" s="29" t="s">
        <v>92</v>
      </c>
      <c r="C27" s="19" t="s">
        <v>93</v>
      </c>
      <c r="D27" s="19" t="s">
        <v>75</v>
      </c>
      <c r="E27" s="21">
        <v>228000</v>
      </c>
      <c r="F27" s="22">
        <v>859.44600000000003</v>
      </c>
      <c r="G27" s="30">
        <v>1.8732774024842677E-2</v>
      </c>
    </row>
    <row r="28" spans="1:7" x14ac:dyDescent="0.2">
      <c r="A28" s="11"/>
      <c r="B28" s="29" t="s">
        <v>94</v>
      </c>
      <c r="C28" s="19" t="s">
        <v>95</v>
      </c>
      <c r="D28" s="19" t="s">
        <v>96</v>
      </c>
      <c r="E28" s="21">
        <v>56041</v>
      </c>
      <c r="F28" s="22">
        <v>794.24107249999997</v>
      </c>
      <c r="G28" s="30">
        <v>1.7311545498368937E-2</v>
      </c>
    </row>
    <row r="29" spans="1:7" x14ac:dyDescent="0.2">
      <c r="A29" s="11"/>
      <c r="B29" s="29" t="s">
        <v>97</v>
      </c>
      <c r="C29" s="19" t="s">
        <v>98</v>
      </c>
      <c r="D29" s="19" t="s">
        <v>47</v>
      </c>
      <c r="E29" s="21">
        <v>89800</v>
      </c>
      <c r="F29" s="22">
        <v>782.60699999999997</v>
      </c>
      <c r="G29" s="30">
        <v>1.7057965341929628E-2</v>
      </c>
    </row>
    <row r="30" spans="1:7" x14ac:dyDescent="0.2">
      <c r="A30" s="11"/>
      <c r="B30" s="29" t="s">
        <v>99</v>
      </c>
      <c r="C30" s="19" t="s">
        <v>100</v>
      </c>
      <c r="D30" s="19" t="s">
        <v>87</v>
      </c>
      <c r="E30" s="21">
        <v>412293</v>
      </c>
      <c r="F30" s="22">
        <v>764.80351499999995</v>
      </c>
      <c r="G30" s="30">
        <v>1.6669914596030903E-2</v>
      </c>
    </row>
    <row r="31" spans="1:7" x14ac:dyDescent="0.2">
      <c r="A31" s="11"/>
      <c r="B31" s="29" t="s">
        <v>101</v>
      </c>
      <c r="C31" s="19" t="s">
        <v>102</v>
      </c>
      <c r="D31" s="19" t="s">
        <v>103</v>
      </c>
      <c r="E31" s="21">
        <v>294000</v>
      </c>
      <c r="F31" s="22">
        <v>762.48900000000003</v>
      </c>
      <c r="G31" s="30">
        <v>1.6619466648781039E-2</v>
      </c>
    </row>
    <row r="32" spans="1:7" x14ac:dyDescent="0.2">
      <c r="A32" s="11"/>
      <c r="B32" s="29" t="s">
        <v>104</v>
      </c>
      <c r="C32" s="19" t="s">
        <v>105</v>
      </c>
      <c r="D32" s="19" t="s">
        <v>87</v>
      </c>
      <c r="E32" s="21">
        <v>95000</v>
      </c>
      <c r="F32" s="22">
        <v>752.11500000000001</v>
      </c>
      <c r="G32" s="30">
        <v>1.6393351456280614E-2</v>
      </c>
    </row>
    <row r="33" spans="1:7" x14ac:dyDescent="0.2">
      <c r="A33" s="11"/>
      <c r="B33" s="29" t="s">
        <v>106</v>
      </c>
      <c r="C33" s="19" t="s">
        <v>107</v>
      </c>
      <c r="D33" s="19" t="s">
        <v>50</v>
      </c>
      <c r="E33" s="21">
        <v>30220</v>
      </c>
      <c r="F33" s="22">
        <v>746.85708</v>
      </c>
      <c r="G33" s="30">
        <v>1.6278748063861894E-2</v>
      </c>
    </row>
    <row r="34" spans="1:7" x14ac:dyDescent="0.2">
      <c r="A34" s="11"/>
      <c r="B34" s="29" t="s">
        <v>108</v>
      </c>
      <c r="C34" s="19" t="s">
        <v>109</v>
      </c>
      <c r="D34" s="19" t="s">
        <v>44</v>
      </c>
      <c r="E34" s="21">
        <v>98177</v>
      </c>
      <c r="F34" s="22">
        <v>743.15080149999994</v>
      </c>
      <c r="G34" s="30">
        <v>1.6197964771352959E-2</v>
      </c>
    </row>
    <row r="35" spans="1:7" x14ac:dyDescent="0.2">
      <c r="A35" s="11"/>
      <c r="B35" s="29" t="s">
        <v>110</v>
      </c>
      <c r="C35" s="19" t="s">
        <v>111</v>
      </c>
      <c r="D35" s="19" t="s">
        <v>64</v>
      </c>
      <c r="E35" s="21">
        <v>60970</v>
      </c>
      <c r="F35" s="22">
        <v>731.82290999999998</v>
      </c>
      <c r="G35" s="30">
        <v>1.5951058238950183E-2</v>
      </c>
    </row>
    <row r="36" spans="1:7" x14ac:dyDescent="0.2">
      <c r="A36" s="11"/>
      <c r="B36" s="29" t="s">
        <v>112</v>
      </c>
      <c r="C36" s="19" t="s">
        <v>113</v>
      </c>
      <c r="D36" s="19" t="s">
        <v>56</v>
      </c>
      <c r="E36" s="21">
        <v>252075</v>
      </c>
      <c r="F36" s="22">
        <v>727.11033750000001</v>
      </c>
      <c r="G36" s="30">
        <v>1.5848341424027329E-2</v>
      </c>
    </row>
    <row r="37" spans="1:7" x14ac:dyDescent="0.2">
      <c r="A37" s="11"/>
      <c r="B37" s="29" t="s">
        <v>114</v>
      </c>
      <c r="C37" s="19" t="s">
        <v>115</v>
      </c>
      <c r="D37" s="19" t="s">
        <v>96</v>
      </c>
      <c r="E37" s="21">
        <v>7308</v>
      </c>
      <c r="F37" s="22">
        <v>712.96482600000002</v>
      </c>
      <c r="G37" s="30">
        <v>1.5540021098613849E-2</v>
      </c>
    </row>
    <row r="38" spans="1:7" x14ac:dyDescent="0.2">
      <c r="A38" s="11"/>
      <c r="B38" s="29" t="s">
        <v>116</v>
      </c>
      <c r="C38" s="19" t="s">
        <v>117</v>
      </c>
      <c r="D38" s="19" t="s">
        <v>70</v>
      </c>
      <c r="E38" s="21">
        <v>344637</v>
      </c>
      <c r="F38" s="22">
        <v>704.95498350000003</v>
      </c>
      <c r="G38" s="30">
        <v>1.5365435877986746E-2</v>
      </c>
    </row>
    <row r="39" spans="1:7" x14ac:dyDescent="0.2">
      <c r="A39" s="11"/>
      <c r="B39" s="29" t="s">
        <v>118</v>
      </c>
      <c r="C39" s="19" t="s">
        <v>119</v>
      </c>
      <c r="D39" s="19" t="s">
        <v>53</v>
      </c>
      <c r="E39" s="21">
        <v>426533</v>
      </c>
      <c r="F39" s="22">
        <v>694.82225700000004</v>
      </c>
      <c r="G39" s="30">
        <v>1.5144579563826189E-2</v>
      </c>
    </row>
    <row r="40" spans="1:7" x14ac:dyDescent="0.2">
      <c r="A40" s="11"/>
      <c r="B40" s="29" t="s">
        <v>120</v>
      </c>
      <c r="C40" s="19" t="s">
        <v>121</v>
      </c>
      <c r="D40" s="19" t="s">
        <v>122</v>
      </c>
      <c r="E40" s="21">
        <v>111500</v>
      </c>
      <c r="F40" s="22">
        <v>686.17100000000005</v>
      </c>
      <c r="G40" s="30">
        <v>1.4956013857066441E-2</v>
      </c>
    </row>
    <row r="41" spans="1:7" x14ac:dyDescent="0.2">
      <c r="A41" s="11"/>
      <c r="B41" s="29" t="s">
        <v>123</v>
      </c>
      <c r="C41" s="19" t="s">
        <v>124</v>
      </c>
      <c r="D41" s="19" t="s">
        <v>70</v>
      </c>
      <c r="E41" s="21">
        <v>232500</v>
      </c>
      <c r="F41" s="22">
        <v>657.62625000000003</v>
      </c>
      <c r="G41" s="30">
        <v>1.4333842887225836E-2</v>
      </c>
    </row>
    <row r="42" spans="1:7" x14ac:dyDescent="0.2">
      <c r="A42" s="11"/>
      <c r="B42" s="29" t="s">
        <v>125</v>
      </c>
      <c r="C42" s="19" t="s">
        <v>126</v>
      </c>
      <c r="D42" s="19" t="s">
        <v>75</v>
      </c>
      <c r="E42" s="21">
        <v>159341</v>
      </c>
      <c r="F42" s="22">
        <v>654.09480499999995</v>
      </c>
      <c r="G42" s="30">
        <v>1.4256870324474761E-2</v>
      </c>
    </row>
    <row r="43" spans="1:7" x14ac:dyDescent="0.2">
      <c r="A43" s="11"/>
      <c r="B43" s="29" t="s">
        <v>127</v>
      </c>
      <c r="C43" s="19" t="s">
        <v>128</v>
      </c>
      <c r="D43" s="19" t="s">
        <v>129</v>
      </c>
      <c r="E43" s="21">
        <v>57136</v>
      </c>
      <c r="F43" s="22">
        <v>651.63607999999999</v>
      </c>
      <c r="G43" s="30">
        <v>1.4203279127570904E-2</v>
      </c>
    </row>
    <row r="44" spans="1:7" x14ac:dyDescent="0.2">
      <c r="A44" s="11"/>
      <c r="B44" s="29" t="s">
        <v>130</v>
      </c>
      <c r="C44" s="19" t="s">
        <v>131</v>
      </c>
      <c r="D44" s="19" t="s">
        <v>64</v>
      </c>
      <c r="E44" s="21">
        <v>88475</v>
      </c>
      <c r="F44" s="22">
        <v>634.27727500000003</v>
      </c>
      <c r="G44" s="30">
        <v>1.3824920776486243E-2</v>
      </c>
    </row>
    <row r="45" spans="1:7" x14ac:dyDescent="0.2">
      <c r="A45" s="11"/>
      <c r="B45" s="29" t="s">
        <v>132</v>
      </c>
      <c r="C45" s="19" t="s">
        <v>133</v>
      </c>
      <c r="D45" s="19" t="s">
        <v>129</v>
      </c>
      <c r="E45" s="21">
        <v>50790</v>
      </c>
      <c r="F45" s="22">
        <v>631.26891000000001</v>
      </c>
      <c r="G45" s="30">
        <v>1.3759349441313067E-2</v>
      </c>
    </row>
    <row r="46" spans="1:7" x14ac:dyDescent="0.2">
      <c r="A46" s="11"/>
      <c r="B46" s="29" t="s">
        <v>134</v>
      </c>
      <c r="C46" s="19" t="s">
        <v>135</v>
      </c>
      <c r="D46" s="19" t="s">
        <v>136</v>
      </c>
      <c r="E46" s="21">
        <v>320027</v>
      </c>
      <c r="F46" s="22">
        <v>623.25258250000002</v>
      </c>
      <c r="G46" s="30">
        <v>1.358462287144523E-2</v>
      </c>
    </row>
    <row r="47" spans="1:7" x14ac:dyDescent="0.2">
      <c r="A47" s="11"/>
      <c r="B47" s="29" t="s">
        <v>137</v>
      </c>
      <c r="C47" s="19" t="s">
        <v>138</v>
      </c>
      <c r="D47" s="19" t="s">
        <v>61</v>
      </c>
      <c r="E47" s="21">
        <v>165565</v>
      </c>
      <c r="F47" s="22">
        <v>601.66321000000005</v>
      </c>
      <c r="G47" s="30">
        <v>1.311405364850318E-2</v>
      </c>
    </row>
    <row r="48" spans="1:7" x14ac:dyDescent="0.2">
      <c r="A48" s="11"/>
      <c r="B48" s="29" t="s">
        <v>139</v>
      </c>
      <c r="C48" s="19" t="s">
        <v>140</v>
      </c>
      <c r="D48" s="19" t="s">
        <v>50</v>
      </c>
      <c r="E48" s="21">
        <v>174803</v>
      </c>
      <c r="F48" s="22">
        <v>529.04127949999997</v>
      </c>
      <c r="G48" s="30">
        <v>1.1531161630500502E-2</v>
      </c>
    </row>
    <row r="49" spans="1:7" x14ac:dyDescent="0.2">
      <c r="A49" s="11"/>
      <c r="B49" s="29" t="s">
        <v>141</v>
      </c>
      <c r="C49" s="19" t="s">
        <v>142</v>
      </c>
      <c r="D49" s="19" t="s">
        <v>129</v>
      </c>
      <c r="E49" s="21">
        <v>33725</v>
      </c>
      <c r="F49" s="22">
        <v>518.04972499999997</v>
      </c>
      <c r="G49" s="30">
        <v>1.1291586012450918E-2</v>
      </c>
    </row>
    <row r="50" spans="1:7" x14ac:dyDescent="0.2">
      <c r="A50" s="11"/>
      <c r="B50" s="29" t="s">
        <v>143</v>
      </c>
      <c r="C50" s="19" t="s">
        <v>144</v>
      </c>
      <c r="D50" s="19" t="s">
        <v>64</v>
      </c>
      <c r="E50" s="21">
        <v>42995</v>
      </c>
      <c r="F50" s="22">
        <v>517.76728749999995</v>
      </c>
      <c r="G50" s="30">
        <v>1.1285429909724694E-2</v>
      </c>
    </row>
    <row r="51" spans="1:7" x14ac:dyDescent="0.2">
      <c r="A51" s="11"/>
      <c r="B51" s="29" t="s">
        <v>145</v>
      </c>
      <c r="C51" s="19" t="s">
        <v>146</v>
      </c>
      <c r="D51" s="19" t="s">
        <v>129</v>
      </c>
      <c r="E51" s="21">
        <v>19064</v>
      </c>
      <c r="F51" s="22">
        <v>514.02263200000004</v>
      </c>
      <c r="G51" s="30">
        <v>1.1203810139218597E-2</v>
      </c>
    </row>
    <row r="52" spans="1:7" x14ac:dyDescent="0.2">
      <c r="A52" s="11"/>
      <c r="B52" s="29" t="s">
        <v>147</v>
      </c>
      <c r="C52" s="19" t="s">
        <v>148</v>
      </c>
      <c r="D52" s="19" t="s">
        <v>56</v>
      </c>
      <c r="E52" s="21">
        <v>361804</v>
      </c>
      <c r="F52" s="22">
        <v>481.19932</v>
      </c>
      <c r="G52" s="30">
        <v>1.0488382193259331E-2</v>
      </c>
    </row>
    <row r="53" spans="1:7" x14ac:dyDescent="0.2">
      <c r="A53" s="11"/>
      <c r="B53" s="29" t="s">
        <v>149</v>
      </c>
      <c r="C53" s="19" t="s">
        <v>150</v>
      </c>
      <c r="D53" s="19" t="s">
        <v>47</v>
      </c>
      <c r="E53" s="21">
        <v>349077</v>
      </c>
      <c r="F53" s="22">
        <v>476.14102800000001</v>
      </c>
      <c r="G53" s="30">
        <v>1.0378129959858198E-2</v>
      </c>
    </row>
    <row r="54" spans="1:7" x14ac:dyDescent="0.2">
      <c r="A54" s="11"/>
      <c r="B54" s="29" t="s">
        <v>151</v>
      </c>
      <c r="C54" s="19" t="s">
        <v>152</v>
      </c>
      <c r="D54" s="19" t="s">
        <v>47</v>
      </c>
      <c r="E54" s="21">
        <v>99187</v>
      </c>
      <c r="F54" s="22">
        <v>466.22849350000001</v>
      </c>
      <c r="G54" s="30">
        <v>1.0162073024574357E-2</v>
      </c>
    </row>
    <row r="55" spans="1:7" x14ac:dyDescent="0.2">
      <c r="A55" s="11"/>
      <c r="B55" s="29" t="s">
        <v>153</v>
      </c>
      <c r="C55" s="19" t="s">
        <v>154</v>
      </c>
      <c r="D55" s="19" t="s">
        <v>47</v>
      </c>
      <c r="E55" s="21">
        <v>72877</v>
      </c>
      <c r="F55" s="22">
        <v>457.19385949999997</v>
      </c>
      <c r="G55" s="30">
        <v>9.9651511038031156E-3</v>
      </c>
    </row>
    <row r="56" spans="1:7" x14ac:dyDescent="0.2">
      <c r="A56" s="11"/>
      <c r="B56" s="29" t="s">
        <v>155</v>
      </c>
      <c r="C56" s="19" t="s">
        <v>156</v>
      </c>
      <c r="D56" s="19" t="s">
        <v>157</v>
      </c>
      <c r="E56" s="21">
        <v>431153</v>
      </c>
      <c r="F56" s="22">
        <v>449.04584949999997</v>
      </c>
      <c r="G56" s="30">
        <v>9.7875543378839556E-3</v>
      </c>
    </row>
    <row r="57" spans="1:7" x14ac:dyDescent="0.2">
      <c r="A57" s="11"/>
      <c r="B57" s="29" t="s">
        <v>158</v>
      </c>
      <c r="C57" s="19" t="s">
        <v>159</v>
      </c>
      <c r="D57" s="19" t="s">
        <v>75</v>
      </c>
      <c r="E57" s="21">
        <v>21536</v>
      </c>
      <c r="F57" s="22">
        <v>447.916496</v>
      </c>
      <c r="G57" s="30">
        <v>9.7629385692263957E-3</v>
      </c>
    </row>
    <row r="58" spans="1:7" x14ac:dyDescent="0.2">
      <c r="A58" s="11"/>
      <c r="B58" s="29" t="s">
        <v>160</v>
      </c>
      <c r="C58" s="19" t="s">
        <v>161</v>
      </c>
      <c r="D58" s="19" t="s">
        <v>44</v>
      </c>
      <c r="E58" s="21">
        <v>31999</v>
      </c>
      <c r="F58" s="22">
        <v>435.26639749999998</v>
      </c>
      <c r="G58" s="30">
        <v>9.4872127684285535E-3</v>
      </c>
    </row>
    <row r="59" spans="1:7" x14ac:dyDescent="0.2">
      <c r="A59" s="11"/>
      <c r="B59" s="29" t="s">
        <v>162</v>
      </c>
      <c r="C59" s="19" t="s">
        <v>163</v>
      </c>
      <c r="D59" s="19" t="s">
        <v>50</v>
      </c>
      <c r="E59" s="21">
        <v>50000</v>
      </c>
      <c r="F59" s="22">
        <v>422.3</v>
      </c>
      <c r="G59" s="30">
        <v>9.2045928082637677E-3</v>
      </c>
    </row>
    <row r="60" spans="1:7" x14ac:dyDescent="0.2">
      <c r="A60" s="11"/>
      <c r="B60" s="29" t="s">
        <v>164</v>
      </c>
      <c r="C60" s="19" t="s">
        <v>165</v>
      </c>
      <c r="D60" s="19" t="s">
        <v>64</v>
      </c>
      <c r="E60" s="21">
        <v>46000</v>
      </c>
      <c r="F60" s="22">
        <v>376.07299999999998</v>
      </c>
      <c r="G60" s="30">
        <v>8.1970135713525447E-3</v>
      </c>
    </row>
    <row r="61" spans="1:7" x14ac:dyDescent="0.2">
      <c r="A61" s="11"/>
      <c r="B61" s="29" t="s">
        <v>166</v>
      </c>
      <c r="C61" s="19" t="s">
        <v>167</v>
      </c>
      <c r="D61" s="19" t="s">
        <v>168</v>
      </c>
      <c r="E61" s="21">
        <v>216399</v>
      </c>
      <c r="F61" s="22">
        <v>314.75234549999999</v>
      </c>
      <c r="G61" s="30">
        <v>6.8604479653645578E-3</v>
      </c>
    </row>
    <row r="62" spans="1:7" x14ac:dyDescent="0.2">
      <c r="A62" s="11"/>
      <c r="B62" s="29" t="s">
        <v>169</v>
      </c>
      <c r="C62" s="19" t="s">
        <v>170</v>
      </c>
      <c r="D62" s="19" t="s">
        <v>171</v>
      </c>
      <c r="E62" s="21">
        <v>263305</v>
      </c>
      <c r="F62" s="22">
        <v>225.125775</v>
      </c>
      <c r="G62" s="30">
        <v>4.9069170957134903E-3</v>
      </c>
    </row>
    <row r="63" spans="1:7" x14ac:dyDescent="0.2">
      <c r="A63" s="11"/>
      <c r="B63" s="29" t="s">
        <v>172</v>
      </c>
      <c r="C63" s="19" t="s">
        <v>173</v>
      </c>
      <c r="D63" s="19" t="s">
        <v>174</v>
      </c>
      <c r="E63" s="21">
        <v>147620</v>
      </c>
      <c r="F63" s="22">
        <v>204.89655999999999</v>
      </c>
      <c r="G63" s="30">
        <v>4.4659943230262508E-3</v>
      </c>
    </row>
    <row r="64" spans="1:7" x14ac:dyDescent="0.2">
      <c r="A64" s="11"/>
      <c r="B64" s="29" t="s">
        <v>175</v>
      </c>
      <c r="C64" s="19" t="s">
        <v>176</v>
      </c>
      <c r="D64" s="19" t="s">
        <v>171</v>
      </c>
      <c r="E64" s="21">
        <v>100000</v>
      </c>
      <c r="F64" s="22">
        <v>184.1</v>
      </c>
      <c r="G64" s="30">
        <v>4.0127055079359686E-3</v>
      </c>
    </row>
    <row r="65" spans="1:7" x14ac:dyDescent="0.2">
      <c r="A65" s="11"/>
      <c r="B65" s="29" t="s">
        <v>177</v>
      </c>
      <c r="C65" s="19" t="s">
        <v>178</v>
      </c>
      <c r="D65" s="19" t="s">
        <v>44</v>
      </c>
      <c r="E65" s="21">
        <v>50000</v>
      </c>
      <c r="F65" s="22">
        <v>179.8</v>
      </c>
      <c r="G65" s="30">
        <v>3.9189812619602783E-3</v>
      </c>
    </row>
    <row r="66" spans="1:7" x14ac:dyDescent="0.2">
      <c r="A66" s="11"/>
      <c r="B66" s="29" t="s">
        <v>179</v>
      </c>
      <c r="C66" s="19" t="s">
        <v>180</v>
      </c>
      <c r="D66" s="19" t="s">
        <v>181</v>
      </c>
      <c r="E66" s="21">
        <v>84452</v>
      </c>
      <c r="F66" s="22">
        <v>136.81224</v>
      </c>
      <c r="G66" s="30">
        <v>2.9820055893593571E-3</v>
      </c>
    </row>
    <row r="67" spans="1:7" x14ac:dyDescent="0.2">
      <c r="A67" s="11"/>
      <c r="B67" s="29" t="s">
        <v>182</v>
      </c>
      <c r="C67" s="19" t="s">
        <v>183</v>
      </c>
      <c r="D67" s="19" t="s">
        <v>61</v>
      </c>
      <c r="E67" s="21">
        <v>31395</v>
      </c>
      <c r="F67" s="22">
        <v>30.751402500000001</v>
      </c>
      <c r="G67" s="30">
        <v>6.7026790976917937E-4</v>
      </c>
    </row>
    <row r="68" spans="1:7" x14ac:dyDescent="0.2">
      <c r="A68" s="1"/>
      <c r="B68" s="27" t="s">
        <v>29</v>
      </c>
      <c r="C68" s="19" t="s">
        <v>1</v>
      </c>
      <c r="D68" s="19" t="s">
        <v>1</v>
      </c>
      <c r="E68" s="19" t="s">
        <v>1</v>
      </c>
      <c r="F68" s="23">
        <v>43891.093295999999</v>
      </c>
      <c r="G68" s="31">
        <v>0.95666502888751048</v>
      </c>
    </row>
    <row r="69" spans="1:7" x14ac:dyDescent="0.2">
      <c r="A69" s="1"/>
      <c r="B69" s="27"/>
      <c r="C69" s="19"/>
      <c r="D69" s="19"/>
      <c r="E69" s="19"/>
      <c r="F69" s="23"/>
      <c r="G69" s="31"/>
    </row>
    <row r="70" spans="1:7" x14ac:dyDescent="0.2">
      <c r="A70" s="1"/>
      <c r="B70" s="27" t="s">
        <v>184</v>
      </c>
      <c r="C70" s="19" t="s">
        <v>1</v>
      </c>
      <c r="D70" s="19" t="s">
        <v>1</v>
      </c>
      <c r="E70" s="23" t="s">
        <v>185</v>
      </c>
      <c r="F70" s="23" t="s">
        <v>185</v>
      </c>
      <c r="G70" s="31" t="s">
        <v>185</v>
      </c>
    </row>
    <row r="71" spans="1:7" x14ac:dyDescent="0.2">
      <c r="A71" s="1"/>
      <c r="B71" s="27" t="s">
        <v>29</v>
      </c>
      <c r="C71" s="19" t="s">
        <v>1</v>
      </c>
      <c r="D71" s="19" t="s">
        <v>1</v>
      </c>
      <c r="E71" s="23" t="s">
        <v>185</v>
      </c>
      <c r="F71" s="23" t="s">
        <v>185</v>
      </c>
      <c r="G71" s="31" t="s">
        <v>185</v>
      </c>
    </row>
    <row r="72" spans="1:7" x14ac:dyDescent="0.2">
      <c r="A72" s="1"/>
      <c r="B72" s="27" t="s">
        <v>30</v>
      </c>
      <c r="C72" s="19" t="s">
        <v>1</v>
      </c>
      <c r="D72" s="19" t="s">
        <v>1</v>
      </c>
      <c r="E72" s="19" t="s">
        <v>1</v>
      </c>
      <c r="F72" s="23">
        <v>43891.093295999999</v>
      </c>
      <c r="G72" s="31">
        <v>0.95666502888751048</v>
      </c>
    </row>
    <row r="73" spans="1:7" x14ac:dyDescent="0.2">
      <c r="A73" s="1"/>
      <c r="B73" s="27"/>
      <c r="C73" s="19"/>
      <c r="D73" s="19"/>
      <c r="E73" s="19"/>
      <c r="F73" s="23"/>
      <c r="G73" s="31"/>
    </row>
    <row r="74" spans="1:7" x14ac:dyDescent="0.2">
      <c r="A74" s="1"/>
      <c r="B74" s="46" t="s">
        <v>356</v>
      </c>
      <c r="C74" s="18"/>
      <c r="D74" s="19"/>
      <c r="E74" s="19"/>
      <c r="F74" s="23"/>
      <c r="G74" s="31"/>
    </row>
    <row r="75" spans="1:7" x14ac:dyDescent="0.2">
      <c r="A75" s="11"/>
      <c r="B75" s="45" t="s">
        <v>360</v>
      </c>
      <c r="C75" s="18"/>
      <c r="D75" s="19"/>
      <c r="E75" s="23" t="s">
        <v>185</v>
      </c>
      <c r="F75" s="23" t="s">
        <v>185</v>
      </c>
      <c r="G75" s="32" t="s">
        <v>185</v>
      </c>
    </row>
    <row r="76" spans="1:7" x14ac:dyDescent="0.2">
      <c r="A76" s="1"/>
      <c r="B76" s="45" t="s">
        <v>358</v>
      </c>
      <c r="C76" s="18"/>
      <c r="D76" s="19"/>
      <c r="E76" s="23" t="s">
        <v>185</v>
      </c>
      <c r="F76" s="23" t="s">
        <v>185</v>
      </c>
      <c r="G76" s="32" t="s">
        <v>185</v>
      </c>
    </row>
    <row r="77" spans="1:7" x14ac:dyDescent="0.2">
      <c r="A77" s="1"/>
      <c r="B77" s="45" t="s">
        <v>359</v>
      </c>
      <c r="C77" s="18"/>
      <c r="D77" s="19"/>
      <c r="E77" s="23" t="s">
        <v>185</v>
      </c>
      <c r="F77" s="23" t="s">
        <v>185</v>
      </c>
      <c r="G77" s="32" t="s">
        <v>185</v>
      </c>
    </row>
    <row r="78" spans="1:7" x14ac:dyDescent="0.2">
      <c r="A78" s="1"/>
      <c r="B78" s="27"/>
      <c r="C78" s="18"/>
      <c r="D78" s="19"/>
      <c r="E78" s="19"/>
      <c r="F78" s="23"/>
      <c r="G78" s="31"/>
    </row>
    <row r="79" spans="1:7" x14ac:dyDescent="0.2">
      <c r="A79" s="1"/>
      <c r="B79" s="47" t="s">
        <v>9</v>
      </c>
      <c r="C79" s="18"/>
      <c r="D79" s="19"/>
      <c r="E79" s="23" t="s">
        <v>185</v>
      </c>
      <c r="F79" s="23" t="s">
        <v>185</v>
      </c>
      <c r="G79" s="32" t="s">
        <v>185</v>
      </c>
    </row>
    <row r="80" spans="1:7" x14ac:dyDescent="0.2">
      <c r="A80" s="1"/>
      <c r="B80" s="27"/>
      <c r="C80" s="18"/>
      <c r="D80" s="19"/>
      <c r="E80" s="19"/>
      <c r="F80" s="23"/>
      <c r="G80" s="31"/>
    </row>
    <row r="81" spans="1:7" x14ac:dyDescent="0.2">
      <c r="A81" s="1"/>
      <c r="B81" s="47" t="s">
        <v>373</v>
      </c>
      <c r="C81" s="18"/>
      <c r="D81" s="19"/>
      <c r="E81" s="19"/>
      <c r="F81" s="23"/>
      <c r="G81" s="31"/>
    </row>
    <row r="82" spans="1:7" x14ac:dyDescent="0.2">
      <c r="A82" s="1"/>
      <c r="B82" s="27" t="s">
        <v>31</v>
      </c>
      <c r="C82" s="19" t="s">
        <v>1</v>
      </c>
      <c r="D82" s="19" t="s">
        <v>1</v>
      </c>
      <c r="E82" s="19" t="s">
        <v>1</v>
      </c>
      <c r="F82" s="20" t="s">
        <v>1</v>
      </c>
      <c r="G82" s="28" t="s">
        <v>1</v>
      </c>
    </row>
    <row r="83" spans="1:7" x14ac:dyDescent="0.2">
      <c r="A83" s="11"/>
      <c r="B83" s="29" t="s">
        <v>32</v>
      </c>
      <c r="C83" s="19" t="s">
        <v>1</v>
      </c>
      <c r="D83" s="19" t="s">
        <v>33</v>
      </c>
      <c r="E83" s="21"/>
      <c r="F83" s="22">
        <v>1334.0736999999999</v>
      </c>
      <c r="G83" s="30">
        <v>2.9077918978720897E-2</v>
      </c>
    </row>
    <row r="84" spans="1:7" x14ac:dyDescent="0.2">
      <c r="A84" s="1"/>
      <c r="B84" s="27" t="s">
        <v>29</v>
      </c>
      <c r="C84" s="19" t="s">
        <v>1</v>
      </c>
      <c r="D84" s="19" t="s">
        <v>1</v>
      </c>
      <c r="E84" s="19" t="s">
        <v>1</v>
      </c>
      <c r="F84" s="23">
        <v>1334.0736999999999</v>
      </c>
      <c r="G84" s="31">
        <v>2.9077918978720897E-2</v>
      </c>
    </row>
    <row r="85" spans="1:7" x14ac:dyDescent="0.2">
      <c r="A85" s="1"/>
      <c r="B85" s="27"/>
      <c r="C85" s="19"/>
      <c r="D85" s="19"/>
      <c r="E85" s="19"/>
      <c r="F85" s="23"/>
      <c r="G85" s="31"/>
    </row>
    <row r="86" spans="1:7" x14ac:dyDescent="0.2">
      <c r="A86" s="1"/>
      <c r="B86" s="27" t="s">
        <v>34</v>
      </c>
      <c r="C86" s="19" t="s">
        <v>1</v>
      </c>
      <c r="D86" s="19" t="s">
        <v>1</v>
      </c>
      <c r="E86" s="19" t="s">
        <v>1</v>
      </c>
      <c r="F86" s="48">
        <v>654.10314627770003</v>
      </c>
      <c r="G86" s="49">
        <v>1.4257052133768634E-2</v>
      </c>
    </row>
    <row r="87" spans="1:7" x14ac:dyDescent="0.2">
      <c r="A87" s="1"/>
      <c r="B87" s="47" t="s">
        <v>29</v>
      </c>
      <c r="C87" s="19"/>
      <c r="D87" s="19"/>
      <c r="E87" s="19"/>
      <c r="F87" s="23">
        <v>654.10314627770003</v>
      </c>
      <c r="G87" s="31">
        <v>1.4257052133768634E-2</v>
      </c>
    </row>
    <row r="88" spans="1:7" x14ac:dyDescent="0.2">
      <c r="A88" s="1"/>
      <c r="B88" s="47" t="s">
        <v>30</v>
      </c>
      <c r="C88" s="19"/>
      <c r="D88" s="19"/>
      <c r="E88" s="19"/>
      <c r="F88" s="23">
        <v>1988.1768462777</v>
      </c>
      <c r="G88" s="33">
        <v>4.3334971112489531E-2</v>
      </c>
    </row>
    <row r="89" spans="1:7" ht="13.5" thickBot="1" x14ac:dyDescent="0.25">
      <c r="A89" s="1"/>
      <c r="B89" s="82"/>
      <c r="C89" s="83"/>
      <c r="D89" s="83"/>
      <c r="E89" s="83"/>
      <c r="F89" s="84"/>
      <c r="G89" s="85"/>
    </row>
    <row r="90" spans="1:7" ht="14.25" thickTop="1" thickBot="1" x14ac:dyDescent="0.25">
      <c r="A90" s="1"/>
      <c r="B90" s="78" t="s">
        <v>35</v>
      </c>
      <c r="C90" s="79" t="s">
        <v>1</v>
      </c>
      <c r="D90" s="79" t="s">
        <v>1</v>
      </c>
      <c r="E90" s="79" t="s">
        <v>1</v>
      </c>
      <c r="F90" s="80">
        <v>45879.270142277703</v>
      </c>
      <c r="G90" s="81">
        <v>1</v>
      </c>
    </row>
    <row r="91" spans="1:7" x14ac:dyDescent="0.2">
      <c r="A91" s="1"/>
      <c r="B91" s="10" t="s">
        <v>1</v>
      </c>
      <c r="C91" s="1"/>
      <c r="D91" s="1"/>
      <c r="E91" s="1"/>
      <c r="F91" s="2"/>
      <c r="G91" s="3"/>
    </row>
    <row r="92" spans="1:7" x14ac:dyDescent="0.2">
      <c r="A92" s="1"/>
      <c r="B92" s="6" t="s">
        <v>364</v>
      </c>
      <c r="C92" s="1"/>
      <c r="D92" s="1"/>
      <c r="E92" s="1"/>
      <c r="F92" s="2"/>
      <c r="G92" s="3"/>
    </row>
    <row r="93" spans="1:7" ht="13.5" thickBot="1" x14ac:dyDescent="0.25">
      <c r="A93" s="1"/>
      <c r="B93" s="6" t="s">
        <v>1</v>
      </c>
      <c r="C93" s="1"/>
      <c r="D93" s="1"/>
      <c r="E93" s="1"/>
      <c r="F93" s="2"/>
      <c r="G93" s="3"/>
    </row>
    <row r="94" spans="1:7" ht="13.5" thickBot="1" x14ac:dyDescent="0.25">
      <c r="A94" s="1"/>
      <c r="B94" s="52" t="s">
        <v>370</v>
      </c>
      <c r="C94" s="53">
        <v>0.77569999999999995</v>
      </c>
      <c r="D94" s="1"/>
      <c r="E94" s="1"/>
      <c r="F94" s="2"/>
      <c r="G94" s="3"/>
    </row>
    <row r="95" spans="1:7" x14ac:dyDescent="0.2">
      <c r="B95" s="54" t="s">
        <v>371</v>
      </c>
      <c r="C95" s="54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showGridLines="0" zoomScaleNormal="100" workbookViewId="0">
      <selection activeCell="B4" sqref="B4"/>
    </sheetView>
  </sheetViews>
  <sheetFormatPr defaultRowHeight="12.75" x14ac:dyDescent="0.2"/>
  <cols>
    <col min="1" max="1" width="12.7109375" style="4" bestFit="1" customWidth="1"/>
    <col min="2" max="2" width="50.42578125" style="4" customWidth="1"/>
    <col min="3" max="3" width="14.140625" style="4" bestFit="1" customWidth="1"/>
    <col min="4" max="4" width="32.85546875" style="4" bestFit="1" customWidth="1"/>
    <col min="5" max="5" width="15.28515625" style="4" customWidth="1"/>
    <col min="6" max="6" width="18.42578125" style="7" customWidth="1"/>
    <col min="7" max="7" width="15.28515625" style="8" customWidth="1"/>
    <col min="8" max="16384" width="9.140625" style="4"/>
  </cols>
  <sheetData>
    <row r="1" spans="1:7" ht="18.75" x14ac:dyDescent="0.2">
      <c r="A1" s="1"/>
      <c r="B1" s="123" t="s">
        <v>199</v>
      </c>
      <c r="C1" s="124"/>
      <c r="D1" s="124"/>
      <c r="E1" s="124"/>
      <c r="F1" s="124"/>
      <c r="G1" s="125"/>
    </row>
    <row r="2" spans="1:7" ht="13.5" thickBot="1" x14ac:dyDescent="0.25">
      <c r="A2" s="1"/>
      <c r="B2" s="126" t="s">
        <v>372</v>
      </c>
      <c r="C2" s="127"/>
      <c r="D2" s="127"/>
      <c r="E2" s="127"/>
      <c r="F2" s="127"/>
      <c r="G2" s="128"/>
    </row>
    <row r="3" spans="1:7" x14ac:dyDescent="0.2">
      <c r="A3" s="1"/>
      <c r="B3" s="9" t="s">
        <v>1</v>
      </c>
      <c r="C3" s="1"/>
      <c r="D3" s="1"/>
      <c r="E3" s="1"/>
      <c r="F3" s="2"/>
      <c r="G3" s="3"/>
    </row>
    <row r="4" spans="1:7" ht="13.5" thickBot="1" x14ac:dyDescent="0.25">
      <c r="A4" s="10"/>
      <c r="B4" s="6" t="s">
        <v>2</v>
      </c>
      <c r="C4" s="1"/>
      <c r="D4" s="1"/>
      <c r="E4" s="1"/>
      <c r="F4" s="2"/>
      <c r="G4" s="3"/>
    </row>
    <row r="5" spans="1:7" ht="26.25" thickBot="1" x14ac:dyDescent="0.25">
      <c r="A5" s="1"/>
      <c r="B5" s="38" t="s">
        <v>3</v>
      </c>
      <c r="C5" s="39" t="s">
        <v>4</v>
      </c>
      <c r="D5" s="40" t="s">
        <v>39</v>
      </c>
      <c r="E5" s="40" t="s">
        <v>6</v>
      </c>
      <c r="F5" s="41" t="s">
        <v>7</v>
      </c>
      <c r="G5" s="42" t="s">
        <v>8</v>
      </c>
    </row>
    <row r="6" spans="1:7" x14ac:dyDescent="0.2">
      <c r="A6" s="1"/>
      <c r="B6" s="65" t="s">
        <v>40</v>
      </c>
      <c r="C6" s="66"/>
      <c r="D6" s="67"/>
      <c r="E6" s="67"/>
      <c r="F6" s="68"/>
      <c r="G6" s="69"/>
    </row>
    <row r="7" spans="1:7" x14ac:dyDescent="0.2">
      <c r="A7" s="1"/>
      <c r="B7" s="61" t="s">
        <v>41</v>
      </c>
      <c r="C7" s="15"/>
      <c r="D7" s="16"/>
      <c r="E7" s="16"/>
      <c r="F7" s="17"/>
      <c r="G7" s="62"/>
    </row>
    <row r="8" spans="1:7" x14ac:dyDescent="0.2">
      <c r="A8" s="1"/>
      <c r="B8" s="61" t="s">
        <v>361</v>
      </c>
      <c r="C8" s="15"/>
      <c r="D8" s="16"/>
      <c r="E8" s="16"/>
      <c r="F8" s="17"/>
      <c r="G8" s="62"/>
    </row>
    <row r="9" spans="1:7" x14ac:dyDescent="0.2">
      <c r="A9" s="11"/>
      <c r="B9" s="29" t="s">
        <v>45</v>
      </c>
      <c r="C9" s="19" t="s">
        <v>46</v>
      </c>
      <c r="D9" s="19" t="s">
        <v>47</v>
      </c>
      <c r="E9" s="21">
        <v>13950</v>
      </c>
      <c r="F9" s="22">
        <v>217.17359999999999</v>
      </c>
      <c r="G9" s="30">
        <v>9.7927377362455451E-2</v>
      </c>
    </row>
    <row r="10" spans="1:7" x14ac:dyDescent="0.2">
      <c r="A10" s="11"/>
      <c r="B10" s="29" t="s">
        <v>367</v>
      </c>
      <c r="C10" s="19" t="s">
        <v>200</v>
      </c>
      <c r="D10" s="19" t="s">
        <v>96</v>
      </c>
      <c r="E10" s="21">
        <v>26550</v>
      </c>
      <c r="F10" s="22">
        <v>100.159875</v>
      </c>
      <c r="G10" s="30">
        <v>4.516384070486177E-2</v>
      </c>
    </row>
    <row r="11" spans="1:7" x14ac:dyDescent="0.2">
      <c r="A11" s="11"/>
      <c r="B11" s="29" t="s">
        <v>204</v>
      </c>
      <c r="C11" s="19" t="s">
        <v>205</v>
      </c>
      <c r="D11" s="19" t="s">
        <v>47</v>
      </c>
      <c r="E11" s="21">
        <v>11000</v>
      </c>
      <c r="F11" s="22">
        <v>92.790499999999994</v>
      </c>
      <c r="G11" s="30">
        <v>4.1840860533466875E-2</v>
      </c>
    </row>
    <row r="12" spans="1:7" x14ac:dyDescent="0.2">
      <c r="A12" s="11"/>
      <c r="B12" s="29" t="s">
        <v>59</v>
      </c>
      <c r="C12" s="19" t="s">
        <v>60</v>
      </c>
      <c r="D12" s="19" t="s">
        <v>61</v>
      </c>
      <c r="E12" s="21">
        <v>28400</v>
      </c>
      <c r="F12" s="22">
        <v>88.153599999999997</v>
      </c>
      <c r="G12" s="30">
        <v>3.9750001165238101E-2</v>
      </c>
    </row>
    <row r="13" spans="1:7" x14ac:dyDescent="0.2">
      <c r="A13" s="11"/>
      <c r="B13" s="29" t="s">
        <v>206</v>
      </c>
      <c r="C13" s="19" t="s">
        <v>207</v>
      </c>
      <c r="D13" s="19" t="s">
        <v>129</v>
      </c>
      <c r="E13" s="21">
        <v>24000</v>
      </c>
      <c r="F13" s="22">
        <v>85.272000000000006</v>
      </c>
      <c r="G13" s="30">
        <v>3.8450637289483162E-2</v>
      </c>
    </row>
    <row r="14" spans="1:7" x14ac:dyDescent="0.2">
      <c r="A14" s="11"/>
      <c r="B14" s="29" t="s">
        <v>57</v>
      </c>
      <c r="C14" s="19" t="s">
        <v>58</v>
      </c>
      <c r="D14" s="19" t="s">
        <v>47</v>
      </c>
      <c r="E14" s="21">
        <v>63000</v>
      </c>
      <c r="F14" s="22">
        <v>76.072500000000005</v>
      </c>
      <c r="G14" s="30">
        <v>3.4302421723475564E-2</v>
      </c>
    </row>
    <row r="15" spans="1:7" x14ac:dyDescent="0.2">
      <c r="A15" s="11"/>
      <c r="B15" s="29" t="s">
        <v>214</v>
      </c>
      <c r="C15" s="19" t="s">
        <v>215</v>
      </c>
      <c r="D15" s="19" t="s">
        <v>50</v>
      </c>
      <c r="E15" s="21">
        <v>6000</v>
      </c>
      <c r="F15" s="22">
        <v>64.47</v>
      </c>
      <c r="G15" s="30">
        <v>2.9070651398501027E-2</v>
      </c>
    </row>
    <row r="16" spans="1:7" x14ac:dyDescent="0.2">
      <c r="A16" s="11"/>
      <c r="B16" s="29" t="s">
        <v>222</v>
      </c>
      <c r="C16" s="19" t="s">
        <v>223</v>
      </c>
      <c r="D16" s="19" t="s">
        <v>96</v>
      </c>
      <c r="E16" s="21">
        <v>2250</v>
      </c>
      <c r="F16" s="22">
        <v>62.651249999999997</v>
      </c>
      <c r="G16" s="30">
        <v>2.8250545190481428E-2</v>
      </c>
    </row>
    <row r="17" spans="1:7" x14ac:dyDescent="0.2">
      <c r="A17" s="11"/>
      <c r="B17" s="29" t="s">
        <v>132</v>
      </c>
      <c r="C17" s="19" t="s">
        <v>133</v>
      </c>
      <c r="D17" s="19" t="s">
        <v>129</v>
      </c>
      <c r="E17" s="21">
        <v>4796</v>
      </c>
      <c r="F17" s="22">
        <v>59.609484000000002</v>
      </c>
      <c r="G17" s="30">
        <v>2.6878959661990456E-2</v>
      </c>
    </row>
    <row r="18" spans="1:7" x14ac:dyDescent="0.2">
      <c r="A18" s="11"/>
      <c r="B18" s="29" t="s">
        <v>68</v>
      </c>
      <c r="C18" s="19" t="s">
        <v>69</v>
      </c>
      <c r="D18" s="19" t="s">
        <v>70</v>
      </c>
      <c r="E18" s="21">
        <v>22479</v>
      </c>
      <c r="F18" s="22">
        <v>59.299602</v>
      </c>
      <c r="G18" s="30">
        <v>2.6739228444421503E-2</v>
      </c>
    </row>
    <row r="19" spans="1:7" x14ac:dyDescent="0.2">
      <c r="A19" s="11"/>
      <c r="B19" s="29" t="s">
        <v>81</v>
      </c>
      <c r="C19" s="19" t="s">
        <v>82</v>
      </c>
      <c r="D19" s="19" t="s">
        <v>53</v>
      </c>
      <c r="E19" s="21">
        <v>10185</v>
      </c>
      <c r="F19" s="22">
        <v>56.236477499999999</v>
      </c>
      <c r="G19" s="30">
        <v>2.5358011994449304E-2</v>
      </c>
    </row>
    <row r="20" spans="1:7" x14ac:dyDescent="0.2">
      <c r="A20" s="11"/>
      <c r="B20" s="29" t="s">
        <v>224</v>
      </c>
      <c r="C20" s="19" t="s">
        <v>225</v>
      </c>
      <c r="D20" s="19" t="s">
        <v>226</v>
      </c>
      <c r="E20" s="21">
        <v>15078</v>
      </c>
      <c r="F20" s="22">
        <v>55.758443999999997</v>
      </c>
      <c r="G20" s="30">
        <v>2.5142458322426574E-2</v>
      </c>
    </row>
    <row r="21" spans="1:7" x14ac:dyDescent="0.2">
      <c r="A21" s="11"/>
      <c r="B21" s="29" t="s">
        <v>141</v>
      </c>
      <c r="C21" s="19" t="s">
        <v>142</v>
      </c>
      <c r="D21" s="19" t="s">
        <v>129</v>
      </c>
      <c r="E21" s="21">
        <v>3500</v>
      </c>
      <c r="F21" s="22">
        <v>53.763500000000001</v>
      </c>
      <c r="G21" s="30">
        <v>2.4242903155937801E-2</v>
      </c>
    </row>
    <row r="22" spans="1:7" x14ac:dyDescent="0.2">
      <c r="A22" s="11"/>
      <c r="B22" s="29" t="s">
        <v>108</v>
      </c>
      <c r="C22" s="19" t="s">
        <v>109</v>
      </c>
      <c r="D22" s="19" t="s">
        <v>44</v>
      </c>
      <c r="E22" s="21">
        <v>7051</v>
      </c>
      <c r="F22" s="22">
        <v>53.372544499999997</v>
      </c>
      <c r="G22" s="30">
        <v>2.4066614478214416E-2</v>
      </c>
    </row>
    <row r="23" spans="1:7" x14ac:dyDescent="0.2">
      <c r="A23" s="11"/>
      <c r="B23" s="29" t="s">
        <v>65</v>
      </c>
      <c r="C23" s="19" t="s">
        <v>66</v>
      </c>
      <c r="D23" s="19" t="s">
        <v>67</v>
      </c>
      <c r="E23" s="21">
        <v>10850</v>
      </c>
      <c r="F23" s="22">
        <v>50.989575000000002</v>
      </c>
      <c r="G23" s="30">
        <v>2.2992091822285142E-2</v>
      </c>
    </row>
    <row r="24" spans="1:7" x14ac:dyDescent="0.2">
      <c r="A24" s="11"/>
      <c r="B24" s="29" t="s">
        <v>227</v>
      </c>
      <c r="C24" s="19" t="s">
        <v>228</v>
      </c>
      <c r="D24" s="19" t="s">
        <v>47</v>
      </c>
      <c r="E24" s="21">
        <v>1995</v>
      </c>
      <c r="F24" s="22">
        <v>49.090964999999997</v>
      </c>
      <c r="G24" s="30">
        <v>2.213597534250062E-2</v>
      </c>
    </row>
    <row r="25" spans="1:7" x14ac:dyDescent="0.2">
      <c r="A25" s="11"/>
      <c r="B25" s="29" t="s">
        <v>112</v>
      </c>
      <c r="C25" s="19" t="s">
        <v>113</v>
      </c>
      <c r="D25" s="19" t="s">
        <v>56</v>
      </c>
      <c r="E25" s="21">
        <v>16500</v>
      </c>
      <c r="F25" s="22">
        <v>47.594250000000002</v>
      </c>
      <c r="G25" s="30">
        <v>2.1461080352460176E-2</v>
      </c>
    </row>
    <row r="26" spans="1:7" x14ac:dyDescent="0.2">
      <c r="A26" s="11"/>
      <c r="B26" s="29" t="s">
        <v>54</v>
      </c>
      <c r="C26" s="19" t="s">
        <v>55</v>
      </c>
      <c r="D26" s="19" t="s">
        <v>56</v>
      </c>
      <c r="E26" s="21">
        <v>10100</v>
      </c>
      <c r="F26" s="22">
        <v>46.258000000000003</v>
      </c>
      <c r="G26" s="30">
        <v>2.0858541839489073E-2</v>
      </c>
    </row>
    <row r="27" spans="1:7" x14ac:dyDescent="0.2">
      <c r="A27" s="11"/>
      <c r="B27" s="29" t="s">
        <v>137</v>
      </c>
      <c r="C27" s="19" t="s">
        <v>138</v>
      </c>
      <c r="D27" s="19" t="s">
        <v>61</v>
      </c>
      <c r="E27" s="21">
        <v>11850</v>
      </c>
      <c r="F27" s="22">
        <v>43.062899999999999</v>
      </c>
      <c r="G27" s="30">
        <v>1.9417815326640452E-2</v>
      </c>
    </row>
    <row r="28" spans="1:7" x14ac:dyDescent="0.2">
      <c r="A28" s="11"/>
      <c r="B28" s="29" t="s">
        <v>88</v>
      </c>
      <c r="C28" s="19" t="s">
        <v>89</v>
      </c>
      <c r="D28" s="19" t="s">
        <v>67</v>
      </c>
      <c r="E28" s="21">
        <v>50624</v>
      </c>
      <c r="F28" s="22">
        <v>38.221119999999999</v>
      </c>
      <c r="G28" s="30">
        <v>1.72345719804603E-2</v>
      </c>
    </row>
    <row r="29" spans="1:7" x14ac:dyDescent="0.2">
      <c r="A29" s="11"/>
      <c r="B29" s="29" t="s">
        <v>127</v>
      </c>
      <c r="C29" s="19" t="s">
        <v>128</v>
      </c>
      <c r="D29" s="19" t="s">
        <v>129</v>
      </c>
      <c r="E29" s="21">
        <v>3101</v>
      </c>
      <c r="F29" s="22">
        <v>35.366905000000003</v>
      </c>
      <c r="G29" s="30">
        <v>1.5947556480516566E-2</v>
      </c>
    </row>
    <row r="30" spans="1:7" x14ac:dyDescent="0.2">
      <c r="A30" s="11"/>
      <c r="B30" s="29" t="s">
        <v>236</v>
      </c>
      <c r="C30" s="19" t="s">
        <v>237</v>
      </c>
      <c r="D30" s="19" t="s">
        <v>129</v>
      </c>
      <c r="E30" s="21">
        <v>525</v>
      </c>
      <c r="F30" s="22">
        <v>31.649887499999998</v>
      </c>
      <c r="G30" s="30">
        <v>1.4271488231957116E-2</v>
      </c>
    </row>
    <row r="31" spans="1:7" x14ac:dyDescent="0.2">
      <c r="A31" s="11"/>
      <c r="B31" s="29" t="s">
        <v>145</v>
      </c>
      <c r="C31" s="19" t="s">
        <v>146</v>
      </c>
      <c r="D31" s="19" t="s">
        <v>129</v>
      </c>
      <c r="E31" s="21">
        <v>1139</v>
      </c>
      <c r="F31" s="22">
        <v>30.710857000000001</v>
      </c>
      <c r="G31" s="30">
        <v>1.3848062943946256E-2</v>
      </c>
    </row>
    <row r="32" spans="1:7" x14ac:dyDescent="0.2">
      <c r="A32" s="11"/>
      <c r="B32" s="29" t="s">
        <v>125</v>
      </c>
      <c r="C32" s="19" t="s">
        <v>126</v>
      </c>
      <c r="D32" s="19" t="s">
        <v>75</v>
      </c>
      <c r="E32" s="21">
        <v>7000</v>
      </c>
      <c r="F32" s="22">
        <v>28.734999999999999</v>
      </c>
      <c r="G32" s="30">
        <v>1.2957114439831349E-2</v>
      </c>
    </row>
    <row r="33" spans="1:7" x14ac:dyDescent="0.2">
      <c r="A33" s="11"/>
      <c r="B33" s="29" t="s">
        <v>62</v>
      </c>
      <c r="C33" s="19" t="s">
        <v>63</v>
      </c>
      <c r="D33" s="19" t="s">
        <v>64</v>
      </c>
      <c r="E33" s="21">
        <v>3850</v>
      </c>
      <c r="F33" s="22">
        <v>28.7287</v>
      </c>
      <c r="G33" s="30">
        <v>1.2954273659564395E-2</v>
      </c>
    </row>
    <row r="34" spans="1:7" x14ac:dyDescent="0.2">
      <c r="A34" s="11"/>
      <c r="B34" s="29" t="s">
        <v>238</v>
      </c>
      <c r="C34" s="19" t="s">
        <v>239</v>
      </c>
      <c r="D34" s="19" t="s">
        <v>129</v>
      </c>
      <c r="E34" s="21">
        <v>500</v>
      </c>
      <c r="F34" s="22">
        <v>26.51925</v>
      </c>
      <c r="G34" s="30">
        <v>1.1957993983243344E-2</v>
      </c>
    </row>
    <row r="35" spans="1:7" x14ac:dyDescent="0.2">
      <c r="A35" s="11"/>
      <c r="B35" s="29" t="s">
        <v>147</v>
      </c>
      <c r="C35" s="19" t="s">
        <v>148</v>
      </c>
      <c r="D35" s="19" t="s">
        <v>56</v>
      </c>
      <c r="E35" s="21">
        <v>19500</v>
      </c>
      <c r="F35" s="22">
        <v>25.934999999999999</v>
      </c>
      <c r="G35" s="30">
        <v>1.1694545432296016E-2</v>
      </c>
    </row>
    <row r="36" spans="1:7" x14ac:dyDescent="0.2">
      <c r="A36" s="11"/>
      <c r="B36" s="29" t="s">
        <v>240</v>
      </c>
      <c r="C36" s="19" t="s">
        <v>241</v>
      </c>
      <c r="D36" s="19" t="s">
        <v>129</v>
      </c>
      <c r="E36" s="21">
        <v>1053</v>
      </c>
      <c r="F36" s="22">
        <v>25.251466499999999</v>
      </c>
      <c r="G36" s="30">
        <v>1.1386328213470248E-2</v>
      </c>
    </row>
    <row r="37" spans="1:7" x14ac:dyDescent="0.2">
      <c r="A37" s="11"/>
      <c r="B37" s="29" t="s">
        <v>182</v>
      </c>
      <c r="C37" s="19" t="s">
        <v>183</v>
      </c>
      <c r="D37" s="19" t="s">
        <v>61</v>
      </c>
      <c r="E37" s="21">
        <v>6542</v>
      </c>
      <c r="F37" s="22">
        <v>6.4078889999999999</v>
      </c>
      <c r="G37" s="30">
        <v>2.8894293054023477E-3</v>
      </c>
    </row>
    <row r="38" spans="1:7" x14ac:dyDescent="0.2">
      <c r="A38" s="11"/>
      <c r="B38" s="56" t="s">
        <v>29</v>
      </c>
      <c r="C38" s="19"/>
      <c r="D38" s="19"/>
      <c r="E38" s="21"/>
      <c r="F38" s="58">
        <f>SUM(F9:F37)</f>
        <v>1639.3051420000002</v>
      </c>
      <c r="G38" s="63">
        <f>SUM(G9:G37)</f>
        <v>0.739191380779467</v>
      </c>
    </row>
    <row r="39" spans="1:7" x14ac:dyDescent="0.2">
      <c r="A39" s="11"/>
      <c r="B39" s="29"/>
      <c r="C39" s="19"/>
      <c r="D39" s="19"/>
      <c r="E39" s="21"/>
      <c r="F39" s="22"/>
      <c r="G39" s="30"/>
    </row>
    <row r="40" spans="1:7" x14ac:dyDescent="0.2">
      <c r="A40" s="11"/>
      <c r="B40" s="64" t="s">
        <v>362</v>
      </c>
      <c r="C40" s="19"/>
      <c r="D40" s="19"/>
      <c r="E40" s="21"/>
      <c r="F40" s="22"/>
      <c r="G40" s="30"/>
    </row>
    <row r="41" spans="1:7" x14ac:dyDescent="0.2">
      <c r="A41" s="11"/>
      <c r="B41" s="64" t="s">
        <v>366</v>
      </c>
      <c r="C41" s="19"/>
      <c r="D41" s="19"/>
      <c r="E41" s="21"/>
      <c r="F41" s="22"/>
      <c r="G41" s="30"/>
    </row>
    <row r="42" spans="1:7" x14ac:dyDescent="0.2">
      <c r="A42" s="11"/>
      <c r="B42" s="29" t="s">
        <v>211</v>
      </c>
      <c r="C42" s="19" t="s">
        <v>212</v>
      </c>
      <c r="D42" s="19" t="s">
        <v>213</v>
      </c>
      <c r="E42" s="21">
        <v>500</v>
      </c>
      <c r="F42" s="22">
        <v>64.740976000000003</v>
      </c>
      <c r="G42" s="30">
        <v>2.9192839219710276E-2</v>
      </c>
    </row>
    <row r="43" spans="1:7" x14ac:dyDescent="0.2">
      <c r="A43" s="11"/>
      <c r="B43" s="56" t="s">
        <v>29</v>
      </c>
      <c r="C43" s="19"/>
      <c r="D43" s="19"/>
      <c r="E43" s="21"/>
      <c r="F43" s="58">
        <f>SUM(F42)</f>
        <v>64.740976000000003</v>
      </c>
      <c r="G43" s="63">
        <f>SUM(G42)</f>
        <v>2.9192839219710276E-2</v>
      </c>
    </row>
    <row r="44" spans="1:7" x14ac:dyDescent="0.2">
      <c r="A44" s="11"/>
      <c r="B44" s="29"/>
      <c r="C44" s="19"/>
      <c r="D44" s="19"/>
      <c r="E44" s="21"/>
      <c r="F44" s="22"/>
      <c r="G44" s="30"/>
    </row>
    <row r="45" spans="1:7" x14ac:dyDescent="0.2">
      <c r="A45" s="11"/>
      <c r="B45" s="64" t="s">
        <v>363</v>
      </c>
      <c r="C45" s="19"/>
      <c r="D45" s="19"/>
      <c r="E45" s="21"/>
      <c r="F45" s="22"/>
      <c r="G45" s="30"/>
    </row>
    <row r="46" spans="1:7" x14ac:dyDescent="0.2">
      <c r="A46" s="11"/>
      <c r="B46" s="29" t="s">
        <v>201</v>
      </c>
      <c r="C46" s="19" t="s">
        <v>202</v>
      </c>
      <c r="D46" s="19" t="s">
        <v>203</v>
      </c>
      <c r="E46" s="21">
        <v>10000</v>
      </c>
      <c r="F46" s="22">
        <v>99.774737999999999</v>
      </c>
      <c r="G46" s="30">
        <v>4.4990175690627791E-2</v>
      </c>
    </row>
    <row r="47" spans="1:7" x14ac:dyDescent="0.2">
      <c r="A47" s="11"/>
      <c r="B47" s="29" t="s">
        <v>208</v>
      </c>
      <c r="C47" s="19" t="s">
        <v>209</v>
      </c>
      <c r="D47" s="19" t="s">
        <v>210</v>
      </c>
      <c r="E47" s="21">
        <v>72000</v>
      </c>
      <c r="F47" s="22">
        <v>65.2048992</v>
      </c>
      <c r="G47" s="30">
        <v>2.9402030310494782E-2</v>
      </c>
    </row>
    <row r="48" spans="1:7" x14ac:dyDescent="0.2">
      <c r="A48" s="11"/>
      <c r="B48" s="29" t="s">
        <v>216</v>
      </c>
      <c r="C48" s="19" t="s">
        <v>217</v>
      </c>
      <c r="D48" s="19" t="s">
        <v>218</v>
      </c>
      <c r="E48" s="21">
        <v>16000</v>
      </c>
      <c r="F48" s="22">
        <v>64.143133599999999</v>
      </c>
      <c r="G48" s="30">
        <v>2.892326161769937E-2</v>
      </c>
    </row>
    <row r="49" spans="1:7" x14ac:dyDescent="0.2">
      <c r="A49" s="11"/>
      <c r="B49" s="29" t="s">
        <v>219</v>
      </c>
      <c r="C49" s="19" t="s">
        <v>220</v>
      </c>
      <c r="D49" s="19" t="s">
        <v>221</v>
      </c>
      <c r="E49" s="21">
        <v>19000</v>
      </c>
      <c r="F49" s="22">
        <v>63.116500000000002</v>
      </c>
      <c r="G49" s="30">
        <v>2.8460334558608504E-2</v>
      </c>
    </row>
    <row r="50" spans="1:7" x14ac:dyDescent="0.2">
      <c r="A50" s="11"/>
      <c r="B50" s="29" t="s">
        <v>229</v>
      </c>
      <c r="C50" s="19" t="s">
        <v>230</v>
      </c>
      <c r="D50" s="19" t="s">
        <v>231</v>
      </c>
      <c r="E50" s="21">
        <v>42000</v>
      </c>
      <c r="F50" s="22">
        <v>45.971327600000002</v>
      </c>
      <c r="G50" s="30">
        <v>2.0729276236790585E-2</v>
      </c>
    </row>
    <row r="51" spans="1:7" x14ac:dyDescent="0.2">
      <c r="A51" s="11"/>
      <c r="B51" s="29" t="s">
        <v>232</v>
      </c>
      <c r="C51" s="19" t="s">
        <v>233</v>
      </c>
      <c r="D51" s="19" t="s">
        <v>64</v>
      </c>
      <c r="E51" s="21">
        <v>110000</v>
      </c>
      <c r="F51" s="22">
        <v>43.797831000000002</v>
      </c>
      <c r="G51" s="30">
        <v>1.974920857781079E-2</v>
      </c>
    </row>
    <row r="52" spans="1:7" x14ac:dyDescent="0.2">
      <c r="A52" s="11"/>
      <c r="B52" s="29" t="s">
        <v>234</v>
      </c>
      <c r="C52" s="19" t="s">
        <v>235</v>
      </c>
      <c r="D52" s="19" t="s">
        <v>218</v>
      </c>
      <c r="E52" s="21">
        <v>20000</v>
      </c>
      <c r="F52" s="22">
        <v>32.555607000000002</v>
      </c>
      <c r="G52" s="30">
        <v>1.4679893007035828E-2</v>
      </c>
    </row>
    <row r="53" spans="1:7" ht="15" customHeight="1" x14ac:dyDescent="0.2">
      <c r="A53" s="11"/>
      <c r="B53" s="29" t="s">
        <v>242</v>
      </c>
      <c r="C53" s="19" t="s">
        <v>243</v>
      </c>
      <c r="D53" s="19" t="s">
        <v>244</v>
      </c>
      <c r="E53" s="21">
        <v>10500</v>
      </c>
      <c r="F53" s="22">
        <v>20.780548400000001</v>
      </c>
      <c r="G53" s="30">
        <v>9.3703129890814075E-3</v>
      </c>
    </row>
    <row r="54" spans="1:7" x14ac:dyDescent="0.2">
      <c r="A54" s="1"/>
      <c r="B54" s="27" t="s">
        <v>29</v>
      </c>
      <c r="C54" s="19" t="s">
        <v>1</v>
      </c>
      <c r="D54" s="19" t="s">
        <v>1</v>
      </c>
      <c r="E54" s="19" t="s">
        <v>1</v>
      </c>
      <c r="F54" s="58">
        <f>SUM(F46:F53)</f>
        <v>435.34458479999995</v>
      </c>
      <c r="G54" s="63">
        <f>SUM(G46:G53)</f>
        <v>0.19630449298814906</v>
      </c>
    </row>
    <row r="55" spans="1:7" x14ac:dyDescent="0.2">
      <c r="A55" s="1"/>
      <c r="B55" s="27"/>
      <c r="C55" s="19"/>
      <c r="D55" s="19"/>
      <c r="E55" s="19"/>
      <c r="F55" s="58"/>
      <c r="G55" s="63"/>
    </row>
    <row r="56" spans="1:7" x14ac:dyDescent="0.2">
      <c r="A56" s="1"/>
      <c r="B56" s="27" t="s">
        <v>184</v>
      </c>
      <c r="C56" s="19" t="s">
        <v>1</v>
      </c>
      <c r="D56" s="19" t="s">
        <v>1</v>
      </c>
      <c r="E56" s="115" t="s">
        <v>185</v>
      </c>
      <c r="F56" s="22" t="s">
        <v>185</v>
      </c>
      <c r="G56" s="30" t="s">
        <v>185</v>
      </c>
    </row>
    <row r="57" spans="1:7" x14ac:dyDescent="0.2">
      <c r="A57" s="1"/>
      <c r="B57" s="27" t="s">
        <v>29</v>
      </c>
      <c r="C57" s="19" t="s">
        <v>1</v>
      </c>
      <c r="D57" s="19" t="s">
        <v>1</v>
      </c>
      <c r="E57" s="115" t="s">
        <v>185</v>
      </c>
      <c r="F57" s="22" t="s">
        <v>185</v>
      </c>
      <c r="G57" s="30" t="s">
        <v>185</v>
      </c>
    </row>
    <row r="58" spans="1:7" x14ac:dyDescent="0.2">
      <c r="A58" s="1"/>
      <c r="B58" s="27" t="s">
        <v>30</v>
      </c>
      <c r="C58" s="19" t="s">
        <v>1</v>
      </c>
      <c r="D58" s="19" t="s">
        <v>1</v>
      </c>
      <c r="E58" s="19" t="s">
        <v>1</v>
      </c>
      <c r="F58" s="23">
        <v>2139.3907027999999</v>
      </c>
      <c r="G58" s="31">
        <v>0.96468871298732595</v>
      </c>
    </row>
    <row r="59" spans="1:7" x14ac:dyDescent="0.2">
      <c r="A59" s="1"/>
      <c r="B59" s="27"/>
      <c r="C59" s="19"/>
      <c r="D59" s="19"/>
      <c r="E59" s="19"/>
      <c r="F59" s="23"/>
      <c r="G59" s="31"/>
    </row>
    <row r="60" spans="1:7" x14ac:dyDescent="0.2">
      <c r="A60" s="1"/>
      <c r="B60" s="46" t="s">
        <v>356</v>
      </c>
      <c r="C60" s="19"/>
      <c r="D60" s="19"/>
      <c r="E60" s="19"/>
      <c r="F60" s="59"/>
      <c r="G60" s="31"/>
    </row>
    <row r="61" spans="1:7" x14ac:dyDescent="0.2">
      <c r="A61" s="11"/>
      <c r="B61" s="45" t="s">
        <v>360</v>
      </c>
      <c r="C61" s="19"/>
      <c r="D61" s="19"/>
      <c r="E61" s="115" t="s">
        <v>185</v>
      </c>
      <c r="F61" s="115" t="s">
        <v>185</v>
      </c>
      <c r="G61" s="116" t="s">
        <v>185</v>
      </c>
    </row>
    <row r="62" spans="1:7" x14ac:dyDescent="0.2">
      <c r="A62" s="1"/>
      <c r="B62" s="45" t="s">
        <v>358</v>
      </c>
      <c r="C62" s="19"/>
      <c r="D62" s="19"/>
      <c r="E62" s="115" t="s">
        <v>185</v>
      </c>
      <c r="F62" s="115" t="s">
        <v>185</v>
      </c>
      <c r="G62" s="116" t="s">
        <v>185</v>
      </c>
    </row>
    <row r="63" spans="1:7" x14ac:dyDescent="0.2">
      <c r="A63" s="1"/>
      <c r="B63" s="45" t="s">
        <v>359</v>
      </c>
      <c r="C63" s="19"/>
      <c r="D63" s="19"/>
      <c r="E63" s="115" t="s">
        <v>185</v>
      </c>
      <c r="F63" s="115" t="s">
        <v>185</v>
      </c>
      <c r="G63" s="116" t="s">
        <v>185</v>
      </c>
    </row>
    <row r="64" spans="1:7" x14ac:dyDescent="0.2">
      <c r="A64" s="1"/>
      <c r="B64" s="45"/>
      <c r="C64" s="19"/>
      <c r="D64" s="19"/>
      <c r="E64" s="19"/>
      <c r="F64" s="60"/>
      <c r="G64" s="49"/>
    </row>
    <row r="65" spans="1:7" x14ac:dyDescent="0.2">
      <c r="A65" s="1"/>
      <c r="B65" s="57" t="s">
        <v>9</v>
      </c>
      <c r="C65" s="19"/>
      <c r="D65" s="19"/>
      <c r="E65" s="70" t="s">
        <v>185</v>
      </c>
      <c r="F65" s="70" t="s">
        <v>185</v>
      </c>
      <c r="G65" s="70" t="s">
        <v>185</v>
      </c>
    </row>
    <row r="66" spans="1:7" x14ac:dyDescent="0.2">
      <c r="A66" s="1"/>
      <c r="B66" s="45"/>
      <c r="C66" s="19"/>
      <c r="D66" s="19"/>
      <c r="E66" s="19"/>
      <c r="F66" s="60"/>
      <c r="G66" s="49"/>
    </row>
    <row r="67" spans="1:7" x14ac:dyDescent="0.2">
      <c r="A67" s="1"/>
      <c r="B67" s="27" t="s">
        <v>31</v>
      </c>
      <c r="C67" s="19" t="s">
        <v>1</v>
      </c>
      <c r="D67" s="19" t="s">
        <v>1</v>
      </c>
      <c r="E67" s="19" t="s">
        <v>1</v>
      </c>
      <c r="F67" s="20" t="s">
        <v>1</v>
      </c>
      <c r="G67" s="28" t="s">
        <v>1</v>
      </c>
    </row>
    <row r="68" spans="1:7" x14ac:dyDescent="0.2">
      <c r="A68" s="11"/>
      <c r="B68" s="29" t="s">
        <v>32</v>
      </c>
      <c r="C68" s="19" t="s">
        <v>1</v>
      </c>
      <c r="D68" s="19" t="s">
        <v>33</v>
      </c>
      <c r="E68" s="21"/>
      <c r="F68" s="22">
        <v>139.75835000000001</v>
      </c>
      <c r="G68" s="30">
        <v>6.3019486162241289E-2</v>
      </c>
    </row>
    <row r="69" spans="1:7" x14ac:dyDescent="0.2">
      <c r="A69" s="1"/>
      <c r="B69" s="27" t="s">
        <v>29</v>
      </c>
      <c r="C69" s="19" t="s">
        <v>1</v>
      </c>
      <c r="D69" s="19" t="s">
        <v>1</v>
      </c>
      <c r="E69" s="19" t="s">
        <v>1</v>
      </c>
      <c r="F69" s="23">
        <v>139.75835000000001</v>
      </c>
      <c r="G69" s="31">
        <v>6.3019486162241289E-2</v>
      </c>
    </row>
    <row r="70" spans="1:7" x14ac:dyDescent="0.2">
      <c r="A70" s="1"/>
      <c r="B70" s="27"/>
      <c r="C70" s="19"/>
      <c r="D70" s="19"/>
      <c r="E70" s="19"/>
      <c r="F70" s="23"/>
      <c r="G70" s="31"/>
    </row>
    <row r="71" spans="1:7" x14ac:dyDescent="0.2">
      <c r="A71" s="1"/>
      <c r="B71" s="27" t="s">
        <v>34</v>
      </c>
      <c r="C71" s="19" t="s">
        <v>1</v>
      </c>
      <c r="D71" s="19" t="s">
        <v>1</v>
      </c>
      <c r="E71" s="19" t="s">
        <v>1</v>
      </c>
      <c r="F71" s="48">
        <v>-61.448488879199999</v>
      </c>
      <c r="G71" s="49">
        <v>-2.7708199149567462E-2</v>
      </c>
    </row>
    <row r="72" spans="1:7" x14ac:dyDescent="0.2">
      <c r="A72" s="1"/>
      <c r="B72" s="27" t="s">
        <v>29</v>
      </c>
      <c r="C72" s="19"/>
      <c r="D72" s="19"/>
      <c r="E72" s="19"/>
      <c r="F72" s="58">
        <v>-61.448488879199999</v>
      </c>
      <c r="G72" s="63">
        <v>-2.7708199149567462E-2</v>
      </c>
    </row>
    <row r="73" spans="1:7" x14ac:dyDescent="0.2">
      <c r="A73" s="1"/>
      <c r="B73" s="27" t="s">
        <v>30</v>
      </c>
      <c r="C73" s="19"/>
      <c r="D73" s="19"/>
      <c r="E73" s="19"/>
      <c r="F73" s="23">
        <v>78.309861120800008</v>
      </c>
      <c r="G73" s="63">
        <v>3.5311287012673831E-2</v>
      </c>
    </row>
    <row r="74" spans="1:7" ht="13.5" thickBot="1" x14ac:dyDescent="0.25">
      <c r="A74" s="1"/>
      <c r="B74" s="82"/>
      <c r="C74" s="83"/>
      <c r="D74" s="83"/>
      <c r="E74" s="83"/>
      <c r="F74" s="84"/>
      <c r="G74" s="85"/>
    </row>
    <row r="75" spans="1:7" ht="14.25" thickTop="1" thickBot="1" x14ac:dyDescent="0.25">
      <c r="A75" s="1"/>
      <c r="B75" s="78" t="s">
        <v>35</v>
      </c>
      <c r="C75" s="79" t="s">
        <v>1</v>
      </c>
      <c r="D75" s="79" t="s">
        <v>1</v>
      </c>
      <c r="E75" s="79" t="s">
        <v>1</v>
      </c>
      <c r="F75" s="80">
        <v>2217.7005639208001</v>
      </c>
      <c r="G75" s="81">
        <v>1</v>
      </c>
    </row>
    <row r="76" spans="1:7" x14ac:dyDescent="0.2">
      <c r="A76" s="1"/>
      <c r="B76" s="10" t="s">
        <v>1</v>
      </c>
      <c r="C76" s="1"/>
      <c r="D76" s="1"/>
      <c r="E76" s="1"/>
      <c r="F76" s="2"/>
      <c r="G76" s="3"/>
    </row>
    <row r="77" spans="1:7" x14ac:dyDescent="0.2">
      <c r="A77" s="1"/>
      <c r="B77" s="6" t="s">
        <v>364</v>
      </c>
      <c r="C77" s="1"/>
      <c r="D77" s="1"/>
      <c r="E77" s="1"/>
      <c r="F77" s="2"/>
      <c r="G77" s="3"/>
    </row>
    <row r="78" spans="1:7" x14ac:dyDescent="0.2">
      <c r="A78" s="1"/>
      <c r="B78" s="55" t="s">
        <v>365</v>
      </c>
      <c r="C78" s="1"/>
      <c r="D78" s="1"/>
      <c r="E78" s="1"/>
      <c r="F78" s="2"/>
      <c r="G78" s="3"/>
    </row>
    <row r="79" spans="1:7" ht="13.5" thickBot="1" x14ac:dyDescent="0.25">
      <c r="A79" s="1"/>
      <c r="B79" s="6" t="s">
        <v>1</v>
      </c>
      <c r="C79" s="1"/>
      <c r="D79" s="1"/>
      <c r="E79" s="1"/>
      <c r="F79" s="2"/>
      <c r="G79" s="3"/>
    </row>
    <row r="80" spans="1:7" ht="13.5" thickBot="1" x14ac:dyDescent="0.25">
      <c r="B80" s="43" t="s">
        <v>370</v>
      </c>
      <c r="C80" s="44">
        <v>0.73340000000000005</v>
      </c>
    </row>
    <row r="81" spans="2:3" x14ac:dyDescent="0.2">
      <c r="B81" s="5" t="s">
        <v>371</v>
      </c>
      <c r="C81" s="5"/>
    </row>
  </sheetData>
  <mergeCells count="2">
    <mergeCell ref="B1:G1"/>
    <mergeCell ref="B2:G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showGridLines="0" zoomScaleNormal="100" workbookViewId="0">
      <selection activeCell="B4" sqref="B4"/>
    </sheetView>
  </sheetViews>
  <sheetFormatPr defaultRowHeight="12.75" x14ac:dyDescent="0.2"/>
  <cols>
    <col min="1" max="1" width="11.42578125" style="4" bestFit="1" customWidth="1"/>
    <col min="2" max="2" width="50.42578125" style="4" customWidth="1"/>
    <col min="3" max="5" width="17.28515625" style="4" customWidth="1"/>
    <col min="6" max="6" width="19.140625" style="7" customWidth="1"/>
    <col min="7" max="7" width="17.28515625" style="8" customWidth="1"/>
    <col min="8" max="16384" width="9.140625" style="4"/>
  </cols>
  <sheetData>
    <row r="1" spans="1:7" ht="18.75" x14ac:dyDescent="0.2">
      <c r="A1" s="1"/>
      <c r="B1" s="123" t="s">
        <v>245</v>
      </c>
      <c r="C1" s="124"/>
      <c r="D1" s="124"/>
      <c r="E1" s="124"/>
      <c r="F1" s="124"/>
      <c r="G1" s="125"/>
    </row>
    <row r="2" spans="1:7" ht="13.5" thickBot="1" x14ac:dyDescent="0.25">
      <c r="A2" s="1"/>
      <c r="B2" s="126" t="s">
        <v>375</v>
      </c>
      <c r="C2" s="127"/>
      <c r="D2" s="127"/>
      <c r="E2" s="127"/>
      <c r="F2" s="127"/>
      <c r="G2" s="128"/>
    </row>
    <row r="3" spans="1:7" x14ac:dyDescent="0.2">
      <c r="A3" s="1"/>
      <c r="B3" s="9" t="s">
        <v>1</v>
      </c>
      <c r="C3" s="1"/>
      <c r="D3" s="1"/>
      <c r="E3" s="1"/>
      <c r="F3" s="2"/>
      <c r="G3" s="3"/>
    </row>
    <row r="4" spans="1:7" ht="13.5" thickBot="1" x14ac:dyDescent="0.25">
      <c r="A4" s="10"/>
      <c r="B4" s="6" t="s">
        <v>2</v>
      </c>
      <c r="C4" s="1"/>
      <c r="D4" s="1"/>
      <c r="E4" s="1"/>
      <c r="F4" s="2"/>
      <c r="G4" s="3"/>
    </row>
    <row r="5" spans="1:7" ht="26.25" thickBot="1" x14ac:dyDescent="0.25">
      <c r="A5" s="1"/>
      <c r="B5" s="38" t="s">
        <v>3</v>
      </c>
      <c r="C5" s="39" t="s">
        <v>4</v>
      </c>
      <c r="D5" s="40" t="s">
        <v>246</v>
      </c>
      <c r="E5" s="40" t="s">
        <v>6</v>
      </c>
      <c r="F5" s="41" t="s">
        <v>7</v>
      </c>
      <c r="G5" s="42" t="s">
        <v>8</v>
      </c>
    </row>
    <row r="6" spans="1:7" x14ac:dyDescent="0.2">
      <c r="A6" s="1"/>
      <c r="B6" s="73" t="s">
        <v>354</v>
      </c>
      <c r="C6" s="66"/>
      <c r="D6" s="67"/>
      <c r="E6" s="67"/>
      <c r="F6" s="68"/>
      <c r="G6" s="69"/>
    </row>
    <row r="7" spans="1:7" x14ac:dyDescent="0.2">
      <c r="A7" s="1"/>
      <c r="B7" s="45" t="s">
        <v>355</v>
      </c>
      <c r="C7" s="15"/>
      <c r="D7" s="16"/>
      <c r="E7" s="117" t="s">
        <v>185</v>
      </c>
      <c r="F7" s="117" t="s">
        <v>185</v>
      </c>
      <c r="G7" s="118" t="s">
        <v>185</v>
      </c>
    </row>
    <row r="8" spans="1:7" x14ac:dyDescent="0.2">
      <c r="A8" s="1"/>
      <c r="B8" s="45" t="s">
        <v>184</v>
      </c>
      <c r="C8" s="15"/>
      <c r="D8" s="16"/>
      <c r="E8" s="117" t="s">
        <v>185</v>
      </c>
      <c r="F8" s="117" t="s">
        <v>185</v>
      </c>
      <c r="G8" s="118" t="s">
        <v>185</v>
      </c>
    </row>
    <row r="9" spans="1:7" x14ac:dyDescent="0.2">
      <c r="A9" s="1"/>
      <c r="B9" s="61"/>
      <c r="C9" s="15"/>
      <c r="D9" s="16"/>
      <c r="E9" s="119"/>
      <c r="F9" s="120"/>
      <c r="G9" s="121"/>
    </row>
    <row r="10" spans="1:7" x14ac:dyDescent="0.2">
      <c r="A10" s="1"/>
      <c r="B10" s="46" t="s">
        <v>356</v>
      </c>
      <c r="C10" s="19"/>
      <c r="D10" s="19"/>
      <c r="E10" s="19"/>
      <c r="F10" s="22"/>
      <c r="G10" s="30"/>
    </row>
    <row r="11" spans="1:7" x14ac:dyDescent="0.2">
      <c r="A11" s="1"/>
      <c r="B11" s="71" t="s">
        <v>360</v>
      </c>
      <c r="C11" s="19"/>
      <c r="D11" s="19"/>
      <c r="E11" s="117" t="s">
        <v>185</v>
      </c>
      <c r="F11" s="117" t="s">
        <v>185</v>
      </c>
      <c r="G11" s="118" t="s">
        <v>185</v>
      </c>
    </row>
    <row r="12" spans="1:7" x14ac:dyDescent="0.2">
      <c r="A12" s="1"/>
      <c r="B12" s="71" t="s">
        <v>358</v>
      </c>
      <c r="C12" s="19"/>
      <c r="D12" s="19"/>
      <c r="E12" s="117" t="s">
        <v>185</v>
      </c>
      <c r="F12" s="117" t="s">
        <v>185</v>
      </c>
      <c r="G12" s="118" t="s">
        <v>185</v>
      </c>
    </row>
    <row r="13" spans="1:7" x14ac:dyDescent="0.2">
      <c r="A13" s="1"/>
      <c r="B13" s="71" t="s">
        <v>359</v>
      </c>
      <c r="C13" s="19"/>
      <c r="D13" s="19"/>
      <c r="E13" s="117" t="s">
        <v>185</v>
      </c>
      <c r="F13" s="117" t="s">
        <v>185</v>
      </c>
      <c r="G13" s="118" t="s">
        <v>185</v>
      </c>
    </row>
    <row r="14" spans="1:7" x14ac:dyDescent="0.2">
      <c r="A14" s="1"/>
      <c r="B14" s="61"/>
      <c r="C14" s="15"/>
      <c r="D14" s="16"/>
      <c r="E14" s="119"/>
      <c r="F14" s="120"/>
      <c r="G14" s="121"/>
    </row>
    <row r="15" spans="1:7" x14ac:dyDescent="0.2">
      <c r="A15" s="1"/>
      <c r="B15" s="27" t="s">
        <v>9</v>
      </c>
      <c r="C15" s="18"/>
      <c r="D15" s="19"/>
      <c r="E15" s="22" t="s">
        <v>185</v>
      </c>
      <c r="F15" s="22" t="s">
        <v>185</v>
      </c>
      <c r="G15" s="122" t="s">
        <v>185</v>
      </c>
    </row>
    <row r="16" spans="1:7" x14ac:dyDescent="0.2">
      <c r="A16" s="1"/>
      <c r="B16" s="61"/>
      <c r="C16" s="15"/>
      <c r="D16" s="16"/>
      <c r="E16" s="16"/>
      <c r="F16" s="17"/>
      <c r="G16" s="62"/>
    </row>
    <row r="17" spans="1:7" x14ac:dyDescent="0.2">
      <c r="A17" s="1"/>
      <c r="B17" s="27" t="s">
        <v>195</v>
      </c>
      <c r="C17" s="19" t="s">
        <v>1</v>
      </c>
      <c r="D17" s="19" t="s">
        <v>1</v>
      </c>
      <c r="E17" s="19" t="s">
        <v>1</v>
      </c>
      <c r="F17" s="20" t="s">
        <v>1</v>
      </c>
      <c r="G17" s="28" t="s">
        <v>1</v>
      </c>
    </row>
    <row r="18" spans="1:7" x14ac:dyDescent="0.2">
      <c r="A18" s="1"/>
      <c r="B18" s="27" t="s">
        <v>247</v>
      </c>
      <c r="C18" s="19" t="s">
        <v>1</v>
      </c>
      <c r="D18" s="19" t="s">
        <v>1</v>
      </c>
      <c r="E18" s="19" t="s">
        <v>1</v>
      </c>
      <c r="F18" s="20" t="s">
        <v>1</v>
      </c>
      <c r="G18" s="28" t="s">
        <v>1</v>
      </c>
    </row>
    <row r="19" spans="1:7" x14ac:dyDescent="0.2">
      <c r="A19" s="11"/>
      <c r="B19" s="29" t="s">
        <v>248</v>
      </c>
      <c r="C19" s="19" t="s">
        <v>249</v>
      </c>
      <c r="D19" s="19" t="s">
        <v>1</v>
      </c>
      <c r="E19" s="21">
        <v>383863.49157930003</v>
      </c>
      <c r="F19" s="22">
        <v>2393.3585266999999</v>
      </c>
      <c r="G19" s="30">
        <v>0.98749681883732243</v>
      </c>
    </row>
    <row r="20" spans="1:7" x14ac:dyDescent="0.2">
      <c r="A20" s="1"/>
      <c r="B20" s="27" t="s">
        <v>29</v>
      </c>
      <c r="C20" s="19" t="s">
        <v>1</v>
      </c>
      <c r="D20" s="19" t="s">
        <v>1</v>
      </c>
      <c r="E20" s="19" t="s">
        <v>1</v>
      </c>
      <c r="F20" s="23">
        <v>2393.3585266999999</v>
      </c>
      <c r="G20" s="31">
        <v>0.98749681883732243</v>
      </c>
    </row>
    <row r="21" spans="1:7" x14ac:dyDescent="0.2">
      <c r="A21" s="1"/>
      <c r="B21" s="27"/>
      <c r="C21" s="19"/>
      <c r="D21" s="19"/>
      <c r="E21" s="19"/>
      <c r="F21" s="23"/>
      <c r="G21" s="31"/>
    </row>
    <row r="22" spans="1:7" x14ac:dyDescent="0.2">
      <c r="A22" s="1"/>
      <c r="B22" s="27" t="s">
        <v>31</v>
      </c>
      <c r="C22" s="19" t="s">
        <v>1</v>
      </c>
      <c r="D22" s="19" t="s">
        <v>1</v>
      </c>
      <c r="E22" s="19" t="s">
        <v>1</v>
      </c>
      <c r="F22" s="20" t="s">
        <v>1</v>
      </c>
      <c r="G22" s="28" t="s">
        <v>1</v>
      </c>
    </row>
    <row r="23" spans="1:7" x14ac:dyDescent="0.2">
      <c r="A23" s="11"/>
      <c r="B23" s="29" t="s">
        <v>32</v>
      </c>
      <c r="C23" s="19" t="s">
        <v>1</v>
      </c>
      <c r="D23" s="19" t="s">
        <v>33</v>
      </c>
      <c r="E23" s="21"/>
      <c r="F23" s="22">
        <v>36.830500000000001</v>
      </c>
      <c r="G23" s="30">
        <v>1.5196219530191128E-2</v>
      </c>
    </row>
    <row r="24" spans="1:7" x14ac:dyDescent="0.2">
      <c r="A24" s="1"/>
      <c r="B24" s="27" t="s">
        <v>29</v>
      </c>
      <c r="C24" s="19" t="s">
        <v>1</v>
      </c>
      <c r="D24" s="19" t="s">
        <v>1</v>
      </c>
      <c r="E24" s="19" t="s">
        <v>1</v>
      </c>
      <c r="F24" s="23">
        <v>36.830500000000001</v>
      </c>
      <c r="G24" s="31">
        <v>1.5196219530191128E-2</v>
      </c>
    </row>
    <row r="25" spans="1:7" x14ac:dyDescent="0.2">
      <c r="A25" s="1"/>
      <c r="B25" s="27"/>
      <c r="C25" s="19"/>
      <c r="D25" s="19"/>
      <c r="E25" s="19"/>
      <c r="F25" s="23"/>
      <c r="G25" s="31"/>
    </row>
    <row r="26" spans="1:7" x14ac:dyDescent="0.2">
      <c r="A26" s="1"/>
      <c r="B26" s="27" t="s">
        <v>34</v>
      </c>
      <c r="C26" s="19" t="s">
        <v>1</v>
      </c>
      <c r="D26" s="19" t="s">
        <v>1</v>
      </c>
      <c r="E26" s="19" t="s">
        <v>1</v>
      </c>
      <c r="F26" s="48">
        <v>-6.5270147879999998</v>
      </c>
      <c r="G26" s="49">
        <v>-2.6930383675135105E-3</v>
      </c>
    </row>
    <row r="27" spans="1:7" x14ac:dyDescent="0.2">
      <c r="A27" s="1"/>
      <c r="B27" s="72" t="s">
        <v>29</v>
      </c>
      <c r="C27" s="19"/>
      <c r="D27" s="19"/>
      <c r="E27" s="19"/>
      <c r="F27" s="23">
        <v>-6.5270147879999998</v>
      </c>
      <c r="G27" s="31">
        <v>-2.6930383675135105E-3</v>
      </c>
    </row>
    <row r="28" spans="1:7" ht="13.5" thickBot="1" x14ac:dyDescent="0.25">
      <c r="A28" s="1"/>
      <c r="B28" s="82" t="s">
        <v>30</v>
      </c>
      <c r="C28" s="83"/>
      <c r="D28" s="83"/>
      <c r="E28" s="83"/>
      <c r="F28" s="84">
        <f>F20+F24+F27</f>
        <v>2423.6620119119998</v>
      </c>
      <c r="G28" s="31">
        <f>G20+G24+G27</f>
        <v>1.0000000000000002</v>
      </c>
    </row>
    <row r="29" spans="1:7" ht="14.25" thickTop="1" thickBot="1" x14ac:dyDescent="0.25">
      <c r="A29" s="1"/>
      <c r="B29" s="78" t="s">
        <v>35</v>
      </c>
      <c r="C29" s="79" t="s">
        <v>1</v>
      </c>
      <c r="D29" s="79" t="s">
        <v>1</v>
      </c>
      <c r="E29" s="79" t="s">
        <v>1</v>
      </c>
      <c r="F29" s="80">
        <v>2423.6620119119998</v>
      </c>
      <c r="G29" s="81">
        <v>1</v>
      </c>
    </row>
    <row r="30" spans="1:7" x14ac:dyDescent="0.2">
      <c r="A30" s="1"/>
      <c r="B30" s="10" t="s">
        <v>1</v>
      </c>
      <c r="C30" s="1"/>
      <c r="D30" s="1"/>
      <c r="E30" s="1"/>
      <c r="F30" s="2"/>
      <c r="G30" s="3"/>
    </row>
    <row r="31" spans="1:7" x14ac:dyDescent="0.2">
      <c r="A31" s="1"/>
      <c r="B31" s="6" t="s">
        <v>33</v>
      </c>
      <c r="C31" s="1"/>
      <c r="D31" s="1"/>
      <c r="E31" s="1"/>
      <c r="F31" s="2"/>
      <c r="G31" s="3"/>
    </row>
    <row r="32" spans="1:7" x14ac:dyDescent="0.2">
      <c r="A32" s="1"/>
      <c r="B32" s="6" t="s">
        <v>1</v>
      </c>
      <c r="C32" s="1"/>
      <c r="D32" s="1"/>
      <c r="E32" s="1"/>
      <c r="F32" s="2"/>
      <c r="G32" s="3"/>
    </row>
    <row r="33" spans="1:7" x14ac:dyDescent="0.2">
      <c r="A33" s="1"/>
      <c r="B33" s="6" t="s">
        <v>1</v>
      </c>
      <c r="C33" s="1"/>
      <c r="D33" s="1"/>
      <c r="E33" s="1"/>
      <c r="F33" s="2"/>
      <c r="G33" s="3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showGridLines="0" zoomScaleNormal="100" workbookViewId="0">
      <selection activeCell="B44" sqref="B44"/>
    </sheetView>
  </sheetViews>
  <sheetFormatPr defaultRowHeight="12.75" x14ac:dyDescent="0.2"/>
  <cols>
    <col min="1" max="1" width="12.5703125" style="4" bestFit="1" customWidth="1"/>
    <col min="2" max="2" width="49.5703125" style="4" customWidth="1"/>
    <col min="3" max="3" width="14.42578125" style="4" bestFit="1" customWidth="1"/>
    <col min="4" max="4" width="33.140625" style="4" customWidth="1"/>
    <col min="5" max="5" width="15.28515625" style="4" customWidth="1"/>
    <col min="6" max="6" width="19" style="7" customWidth="1"/>
    <col min="7" max="7" width="15.28515625" style="8" customWidth="1"/>
    <col min="8" max="16384" width="9.140625" style="4"/>
  </cols>
  <sheetData>
    <row r="1" spans="1:7" ht="18.75" x14ac:dyDescent="0.2">
      <c r="A1" s="1"/>
      <c r="B1" s="123" t="s">
        <v>250</v>
      </c>
      <c r="C1" s="124"/>
      <c r="D1" s="124"/>
      <c r="E1" s="124"/>
      <c r="F1" s="124"/>
      <c r="G1" s="125"/>
    </row>
    <row r="2" spans="1:7" ht="13.5" thickBot="1" x14ac:dyDescent="0.25">
      <c r="A2" s="1"/>
      <c r="B2" s="126" t="s">
        <v>372</v>
      </c>
      <c r="C2" s="127"/>
      <c r="D2" s="127"/>
      <c r="E2" s="127"/>
      <c r="F2" s="127"/>
      <c r="G2" s="128"/>
    </row>
    <row r="3" spans="1:7" x14ac:dyDescent="0.2">
      <c r="A3" s="1"/>
      <c r="B3" s="9" t="s">
        <v>1</v>
      </c>
      <c r="C3" s="1"/>
      <c r="D3" s="1"/>
      <c r="E3" s="1"/>
      <c r="F3" s="2"/>
      <c r="G3" s="3"/>
    </row>
    <row r="4" spans="1:7" ht="13.5" thickBot="1" x14ac:dyDescent="0.25">
      <c r="A4" s="10"/>
      <c r="B4" s="6" t="s">
        <v>2</v>
      </c>
      <c r="C4" s="1"/>
      <c r="D4" s="1"/>
      <c r="E4" s="1"/>
      <c r="F4" s="2"/>
      <c r="G4" s="3"/>
    </row>
    <row r="5" spans="1:7" ht="26.25" thickBot="1" x14ac:dyDescent="0.25">
      <c r="A5" s="1"/>
      <c r="B5" s="38" t="s">
        <v>3</v>
      </c>
      <c r="C5" s="39" t="s">
        <v>4</v>
      </c>
      <c r="D5" s="40" t="s">
        <v>39</v>
      </c>
      <c r="E5" s="40" t="s">
        <v>6</v>
      </c>
      <c r="F5" s="41" t="s">
        <v>7</v>
      </c>
      <c r="G5" s="42" t="s">
        <v>8</v>
      </c>
    </row>
    <row r="6" spans="1:7" x14ac:dyDescent="0.2">
      <c r="A6" s="1"/>
      <c r="B6" s="65" t="s">
        <v>40</v>
      </c>
      <c r="C6" s="66"/>
      <c r="D6" s="67"/>
      <c r="E6" s="67"/>
      <c r="F6" s="68"/>
      <c r="G6" s="69"/>
    </row>
    <row r="7" spans="1:7" x14ac:dyDescent="0.2">
      <c r="A7" s="1"/>
      <c r="B7" s="61" t="s">
        <v>41</v>
      </c>
      <c r="C7" s="15"/>
      <c r="D7" s="16"/>
      <c r="E7" s="16"/>
      <c r="F7" s="17"/>
      <c r="G7" s="62"/>
    </row>
    <row r="8" spans="1:7" x14ac:dyDescent="0.2">
      <c r="A8" s="1"/>
      <c r="B8" s="61" t="s">
        <v>361</v>
      </c>
      <c r="C8" s="15"/>
      <c r="D8" s="16"/>
      <c r="E8" s="16"/>
      <c r="F8" s="17"/>
      <c r="G8" s="62"/>
    </row>
    <row r="9" spans="1:7" x14ac:dyDescent="0.2">
      <c r="A9" s="11"/>
      <c r="B9" s="29" t="s">
        <v>251</v>
      </c>
      <c r="C9" s="19" t="s">
        <v>252</v>
      </c>
      <c r="D9" s="19" t="s">
        <v>122</v>
      </c>
      <c r="E9" s="21">
        <v>30000</v>
      </c>
      <c r="F9" s="22">
        <v>130.5</v>
      </c>
      <c r="G9" s="30">
        <v>0.10130221129748677</v>
      </c>
    </row>
    <row r="10" spans="1:7" x14ac:dyDescent="0.2">
      <c r="A10" s="11"/>
      <c r="B10" s="29" t="s">
        <v>256</v>
      </c>
      <c r="C10" s="19" t="s">
        <v>257</v>
      </c>
      <c r="D10" s="19" t="s">
        <v>56</v>
      </c>
      <c r="E10" s="21">
        <v>11800</v>
      </c>
      <c r="F10" s="22">
        <v>117.8466</v>
      </c>
      <c r="G10" s="30">
        <v>9.1479855738623786E-2</v>
      </c>
    </row>
    <row r="11" spans="1:7" x14ac:dyDescent="0.2">
      <c r="A11" s="11"/>
      <c r="B11" s="29" t="s">
        <v>267</v>
      </c>
      <c r="C11" s="19" t="s">
        <v>268</v>
      </c>
      <c r="D11" s="19" t="s">
        <v>168</v>
      </c>
      <c r="E11" s="21">
        <v>20000</v>
      </c>
      <c r="F11" s="22">
        <v>55.43</v>
      </c>
      <c r="G11" s="30">
        <v>4.3028211281376946E-2</v>
      </c>
    </row>
    <row r="12" spans="1:7" x14ac:dyDescent="0.2">
      <c r="A12" s="11"/>
      <c r="B12" s="29" t="s">
        <v>275</v>
      </c>
      <c r="C12" s="19" t="s">
        <v>276</v>
      </c>
      <c r="D12" s="19" t="s">
        <v>168</v>
      </c>
      <c r="E12" s="21">
        <v>10500</v>
      </c>
      <c r="F12" s="22">
        <v>37.390500000000003</v>
      </c>
      <c r="G12" s="30">
        <v>2.9024830126579915E-2</v>
      </c>
    </row>
    <row r="13" spans="1:7" x14ac:dyDescent="0.2">
      <c r="A13" s="11"/>
      <c r="B13" s="29" t="s">
        <v>290</v>
      </c>
      <c r="C13" s="19" t="s">
        <v>291</v>
      </c>
      <c r="D13" s="19" t="s">
        <v>56</v>
      </c>
      <c r="E13" s="21">
        <v>3400</v>
      </c>
      <c r="F13" s="22">
        <v>23.606200000000001</v>
      </c>
      <c r="G13" s="30">
        <v>1.8324599696020936E-2</v>
      </c>
    </row>
    <row r="14" spans="1:7" x14ac:dyDescent="0.2">
      <c r="A14" s="11"/>
      <c r="B14" s="29" t="s">
        <v>295</v>
      </c>
      <c r="C14" s="19" t="s">
        <v>296</v>
      </c>
      <c r="D14" s="19" t="s">
        <v>297</v>
      </c>
      <c r="E14" s="21">
        <v>13000</v>
      </c>
      <c r="F14" s="22">
        <v>22.113</v>
      </c>
      <c r="G14" s="30">
        <v>1.7165485045374136E-2</v>
      </c>
    </row>
    <row r="15" spans="1:7" x14ac:dyDescent="0.2">
      <c r="A15" s="11"/>
      <c r="B15" s="29" t="s">
        <v>304</v>
      </c>
      <c r="C15" s="19" t="s">
        <v>305</v>
      </c>
      <c r="D15" s="19" t="s">
        <v>122</v>
      </c>
      <c r="E15" s="21">
        <v>6000</v>
      </c>
      <c r="F15" s="22">
        <v>19.574999999999999</v>
      </c>
      <c r="G15" s="30">
        <v>1.5195331694623015E-2</v>
      </c>
    </row>
    <row r="16" spans="1:7" x14ac:dyDescent="0.2">
      <c r="A16" s="11"/>
      <c r="B16" s="29" t="s">
        <v>120</v>
      </c>
      <c r="C16" s="19" t="s">
        <v>121</v>
      </c>
      <c r="D16" s="19" t="s">
        <v>122</v>
      </c>
      <c r="E16" s="21">
        <v>2500</v>
      </c>
      <c r="F16" s="22">
        <v>15.385</v>
      </c>
      <c r="G16" s="30">
        <v>1.1942793262925931E-2</v>
      </c>
    </row>
    <row r="17" spans="1:7" x14ac:dyDescent="0.2">
      <c r="A17" s="11"/>
      <c r="B17" s="29" t="s">
        <v>312</v>
      </c>
      <c r="C17" s="19" t="s">
        <v>313</v>
      </c>
      <c r="D17" s="19" t="s">
        <v>297</v>
      </c>
      <c r="E17" s="21">
        <v>9000</v>
      </c>
      <c r="F17" s="22">
        <v>14.9175</v>
      </c>
      <c r="G17" s="30">
        <v>1.1579890705212712E-2</v>
      </c>
    </row>
    <row r="18" spans="1:7" x14ac:dyDescent="0.2">
      <c r="A18" s="11"/>
      <c r="B18" s="27" t="s">
        <v>29</v>
      </c>
      <c r="C18" s="19"/>
      <c r="D18" s="19"/>
      <c r="E18" s="21"/>
      <c r="F18" s="58">
        <f>SUM(F9:F17)</f>
        <v>436.7638</v>
      </c>
      <c r="G18" s="63">
        <f>SUM(G9:G17)</f>
        <v>0.33904320884822414</v>
      </c>
    </row>
    <row r="19" spans="1:7" x14ac:dyDescent="0.2">
      <c r="A19" s="11"/>
      <c r="B19" s="29"/>
      <c r="C19" s="19"/>
      <c r="D19" s="19"/>
      <c r="E19" s="21"/>
      <c r="F19" s="22"/>
      <c r="G19" s="30"/>
    </row>
    <row r="20" spans="1:7" x14ac:dyDescent="0.2">
      <c r="A20" s="11"/>
      <c r="B20" s="64" t="s">
        <v>362</v>
      </c>
      <c r="C20" s="19"/>
      <c r="D20" s="19"/>
      <c r="E20" s="21"/>
      <c r="F20" s="22"/>
      <c r="G20" s="30"/>
    </row>
    <row r="21" spans="1:7" x14ac:dyDescent="0.2">
      <c r="A21" s="11"/>
      <c r="B21" s="64" t="s">
        <v>363</v>
      </c>
      <c r="C21" s="19"/>
      <c r="D21" s="19"/>
      <c r="E21" s="21"/>
      <c r="F21" s="22"/>
      <c r="G21" s="30"/>
    </row>
    <row r="22" spans="1:7" x14ac:dyDescent="0.2">
      <c r="A22" s="11"/>
      <c r="B22" s="29" t="s">
        <v>253</v>
      </c>
      <c r="C22" s="19" t="s">
        <v>254</v>
      </c>
      <c r="D22" s="19" t="s">
        <v>255</v>
      </c>
      <c r="E22" s="21">
        <v>6000</v>
      </c>
      <c r="F22" s="22">
        <v>125.3130768</v>
      </c>
      <c r="G22" s="30">
        <v>9.7275799113653541E-2</v>
      </c>
    </row>
    <row r="23" spans="1:7" x14ac:dyDescent="0.2">
      <c r="A23" s="11"/>
      <c r="B23" s="29" t="s">
        <v>258</v>
      </c>
      <c r="C23" s="19" t="s">
        <v>259</v>
      </c>
      <c r="D23" s="19" t="s">
        <v>260</v>
      </c>
      <c r="E23" s="21">
        <v>102000</v>
      </c>
      <c r="F23" s="22">
        <v>87.277132300000005</v>
      </c>
      <c r="G23" s="30">
        <v>6.7749934848224572E-2</v>
      </c>
    </row>
    <row r="24" spans="1:7" x14ac:dyDescent="0.2">
      <c r="A24" s="11"/>
      <c r="B24" s="29" t="s">
        <v>261</v>
      </c>
      <c r="C24" s="19" t="s">
        <v>262</v>
      </c>
      <c r="D24" s="19" t="s">
        <v>213</v>
      </c>
      <c r="E24" s="21">
        <v>63000</v>
      </c>
      <c r="F24" s="22">
        <v>74.465681200000006</v>
      </c>
      <c r="G24" s="30">
        <v>5.7804890201790714E-2</v>
      </c>
    </row>
    <row r="25" spans="1:7" x14ac:dyDescent="0.2">
      <c r="A25" s="11"/>
      <c r="B25" s="29" t="s">
        <v>263</v>
      </c>
      <c r="C25" s="19" t="s">
        <v>264</v>
      </c>
      <c r="D25" s="19" t="s">
        <v>260</v>
      </c>
      <c r="E25" s="21">
        <v>116000</v>
      </c>
      <c r="F25" s="22">
        <v>70.548078399999994</v>
      </c>
      <c r="G25" s="30">
        <v>5.4763803407727678E-2</v>
      </c>
    </row>
    <row r="26" spans="1:7" x14ac:dyDescent="0.2">
      <c r="A26" s="11"/>
      <c r="B26" s="29" t="s">
        <v>265</v>
      </c>
      <c r="C26" s="19" t="s">
        <v>266</v>
      </c>
      <c r="D26" s="19" t="s">
        <v>255</v>
      </c>
      <c r="E26" s="21">
        <v>1750</v>
      </c>
      <c r="F26" s="22">
        <v>62.4951401</v>
      </c>
      <c r="G26" s="30">
        <v>4.8512612164568876E-2</v>
      </c>
    </row>
    <row r="27" spans="1:7" x14ac:dyDescent="0.2">
      <c r="A27" s="11"/>
      <c r="B27" s="29" t="s">
        <v>269</v>
      </c>
      <c r="C27" s="19" t="s">
        <v>270</v>
      </c>
      <c r="D27" s="19" t="s">
        <v>213</v>
      </c>
      <c r="E27" s="21">
        <v>2300</v>
      </c>
      <c r="F27" s="22">
        <v>55.3437774</v>
      </c>
      <c r="G27" s="30">
        <v>4.2961279940045005E-2</v>
      </c>
    </row>
    <row r="28" spans="1:7" x14ac:dyDescent="0.2">
      <c r="A28" s="11"/>
      <c r="B28" s="29" t="s">
        <v>271</v>
      </c>
      <c r="C28" s="19" t="s">
        <v>272</v>
      </c>
      <c r="D28" s="19" t="s">
        <v>260</v>
      </c>
      <c r="E28" s="21">
        <v>5085</v>
      </c>
      <c r="F28" s="22">
        <v>44.030404300000001</v>
      </c>
      <c r="G28" s="30">
        <v>3.4179136551052647E-2</v>
      </c>
    </row>
    <row r="29" spans="1:7" x14ac:dyDescent="0.2">
      <c r="A29" s="11"/>
      <c r="B29" s="29" t="s">
        <v>273</v>
      </c>
      <c r="C29" s="19" t="s">
        <v>274</v>
      </c>
      <c r="D29" s="19" t="s">
        <v>213</v>
      </c>
      <c r="E29" s="21">
        <v>5167</v>
      </c>
      <c r="F29" s="22">
        <v>43.189586800000001</v>
      </c>
      <c r="G29" s="30">
        <v>3.3526441746090006E-2</v>
      </c>
    </row>
    <row r="30" spans="1:7" x14ac:dyDescent="0.2">
      <c r="A30" s="11"/>
      <c r="B30" s="29" t="s">
        <v>277</v>
      </c>
      <c r="C30" s="19" t="s">
        <v>278</v>
      </c>
      <c r="D30" s="19" t="s">
        <v>279</v>
      </c>
      <c r="E30" s="21">
        <v>4664</v>
      </c>
      <c r="F30" s="22">
        <v>30.1633016</v>
      </c>
      <c r="G30" s="30">
        <v>2.3414629518107438E-2</v>
      </c>
    </row>
    <row r="31" spans="1:7" x14ac:dyDescent="0.2">
      <c r="A31" s="11"/>
      <c r="B31" s="29" t="s">
        <v>280</v>
      </c>
      <c r="C31" s="19" t="s">
        <v>281</v>
      </c>
      <c r="D31" s="19" t="s">
        <v>282</v>
      </c>
      <c r="E31" s="21">
        <v>16000</v>
      </c>
      <c r="F31" s="22">
        <v>27.980646400000001</v>
      </c>
      <c r="G31" s="30">
        <v>2.1720316887762933E-2</v>
      </c>
    </row>
    <row r="32" spans="1:7" x14ac:dyDescent="0.2">
      <c r="A32" s="11"/>
      <c r="B32" s="29" t="s">
        <v>283</v>
      </c>
      <c r="C32" s="19" t="s">
        <v>284</v>
      </c>
      <c r="D32" s="19" t="s">
        <v>213</v>
      </c>
      <c r="E32" s="21">
        <v>5043</v>
      </c>
      <c r="F32" s="22">
        <v>27.5308888</v>
      </c>
      <c r="G32" s="30">
        <v>2.1371187083718098E-2</v>
      </c>
    </row>
    <row r="33" spans="1:7" x14ac:dyDescent="0.2">
      <c r="A33" s="11"/>
      <c r="B33" s="29" t="s">
        <v>285</v>
      </c>
      <c r="C33" s="19" t="s">
        <v>286</v>
      </c>
      <c r="D33" s="19" t="s">
        <v>287</v>
      </c>
      <c r="E33" s="21">
        <v>475</v>
      </c>
      <c r="F33" s="22">
        <v>26.922809999999998</v>
      </c>
      <c r="G33" s="30">
        <v>2.0899158523694176E-2</v>
      </c>
    </row>
    <row r="34" spans="1:7" x14ac:dyDescent="0.2">
      <c r="A34" s="11"/>
      <c r="B34" s="29" t="s">
        <v>288</v>
      </c>
      <c r="C34" s="19" t="s">
        <v>289</v>
      </c>
      <c r="D34" s="19" t="s">
        <v>213</v>
      </c>
      <c r="E34" s="21">
        <v>26000</v>
      </c>
      <c r="F34" s="22">
        <v>26.2256103</v>
      </c>
      <c r="G34" s="30">
        <v>2.0357948781732915E-2</v>
      </c>
    </row>
    <row r="35" spans="1:7" x14ac:dyDescent="0.2">
      <c r="A35" s="11"/>
      <c r="B35" s="29" t="s">
        <v>292</v>
      </c>
      <c r="C35" s="19" t="s">
        <v>293</v>
      </c>
      <c r="D35" s="19" t="s">
        <v>294</v>
      </c>
      <c r="E35" s="21">
        <v>1985</v>
      </c>
      <c r="F35" s="22">
        <v>23.190705999999999</v>
      </c>
      <c r="G35" s="30">
        <v>1.8002067427968539E-2</v>
      </c>
    </row>
    <row r="36" spans="1:7" x14ac:dyDescent="0.2">
      <c r="A36" s="11"/>
      <c r="B36" s="29" t="s">
        <v>298</v>
      </c>
      <c r="C36" s="19" t="s">
        <v>299</v>
      </c>
      <c r="D36" s="19" t="s">
        <v>300</v>
      </c>
      <c r="E36" s="21">
        <v>100</v>
      </c>
      <c r="F36" s="22">
        <v>20.025600000000001</v>
      </c>
      <c r="G36" s="30">
        <v>1.554511542190767E-2</v>
      </c>
    </row>
    <row r="37" spans="1:7" x14ac:dyDescent="0.2">
      <c r="A37" s="11"/>
      <c r="B37" s="29" t="s">
        <v>301</v>
      </c>
      <c r="C37" s="19" t="s">
        <v>302</v>
      </c>
      <c r="D37" s="19" t="s">
        <v>303</v>
      </c>
      <c r="E37" s="21">
        <v>9000</v>
      </c>
      <c r="F37" s="22">
        <v>19.709023999999999</v>
      </c>
      <c r="G37" s="30">
        <v>1.5299369453756612E-2</v>
      </c>
    </row>
    <row r="38" spans="1:7" x14ac:dyDescent="0.2">
      <c r="A38" s="11"/>
      <c r="B38" s="29" t="s">
        <v>306</v>
      </c>
      <c r="C38" s="19" t="s">
        <v>307</v>
      </c>
      <c r="D38" s="19" t="s">
        <v>255</v>
      </c>
      <c r="E38" s="21">
        <v>16000</v>
      </c>
      <c r="F38" s="22">
        <v>17.3879731</v>
      </c>
      <c r="G38" s="30">
        <v>1.349762547901315E-2</v>
      </c>
    </row>
    <row r="39" spans="1:7" x14ac:dyDescent="0.2">
      <c r="A39" s="11"/>
      <c r="B39" s="29" t="s">
        <v>308</v>
      </c>
      <c r="C39" s="19" t="s">
        <v>309</v>
      </c>
      <c r="D39" s="19" t="s">
        <v>303</v>
      </c>
      <c r="E39" s="21">
        <v>20000</v>
      </c>
      <c r="F39" s="22">
        <v>16.957599999999999</v>
      </c>
      <c r="G39" s="30">
        <v>1.3163543128722312E-2</v>
      </c>
    </row>
    <row r="40" spans="1:7" x14ac:dyDescent="0.2">
      <c r="A40" s="11"/>
      <c r="B40" s="29" t="s">
        <v>310</v>
      </c>
      <c r="C40" s="19" t="s">
        <v>311</v>
      </c>
      <c r="D40" s="19" t="s">
        <v>294</v>
      </c>
      <c r="E40" s="21">
        <v>100</v>
      </c>
      <c r="F40" s="22">
        <v>16.330400000000001</v>
      </c>
      <c r="G40" s="30">
        <v>1.2676671504769945E-2</v>
      </c>
    </row>
    <row r="41" spans="1:7" x14ac:dyDescent="0.2">
      <c r="A41" s="11"/>
      <c r="B41" s="29" t="s">
        <v>314</v>
      </c>
      <c r="C41" s="19" t="s">
        <v>315</v>
      </c>
      <c r="D41" s="19" t="s">
        <v>300</v>
      </c>
      <c r="E41" s="21">
        <v>2700</v>
      </c>
      <c r="F41" s="22">
        <v>11.90808</v>
      </c>
      <c r="G41" s="30">
        <v>9.2437918490986693E-3</v>
      </c>
    </row>
    <row r="42" spans="1:7" x14ac:dyDescent="0.2">
      <c r="A42" s="11"/>
      <c r="B42" s="29" t="s">
        <v>316</v>
      </c>
      <c r="C42" s="19" t="s">
        <v>317</v>
      </c>
      <c r="D42" s="19" t="s">
        <v>303</v>
      </c>
      <c r="E42" s="21">
        <v>16000</v>
      </c>
      <c r="F42" s="22">
        <v>8.9313224000000009</v>
      </c>
      <c r="G42" s="30">
        <v>6.9330475780136139E-3</v>
      </c>
    </row>
    <row r="43" spans="1:7" x14ac:dyDescent="0.2">
      <c r="A43" s="11"/>
      <c r="B43" s="29" t="s">
        <v>318</v>
      </c>
      <c r="C43" s="19" t="s">
        <v>319</v>
      </c>
      <c r="D43" s="19" t="s">
        <v>279</v>
      </c>
      <c r="E43" s="21">
        <v>4578</v>
      </c>
      <c r="F43" s="22">
        <v>4.3295871999999997</v>
      </c>
      <c r="G43" s="30">
        <v>3.3608946924543609E-3</v>
      </c>
    </row>
    <row r="44" spans="1:7" x14ac:dyDescent="0.2">
      <c r="A44" s="1"/>
      <c r="B44" s="27" t="s">
        <v>29</v>
      </c>
      <c r="C44" s="19" t="s">
        <v>1</v>
      </c>
      <c r="D44" s="19" t="s">
        <v>1</v>
      </c>
      <c r="E44" s="19" t="s">
        <v>1</v>
      </c>
      <c r="F44" s="23">
        <f>SUM(F22:F43)</f>
        <v>840.2564271</v>
      </c>
      <c r="G44" s="31">
        <f>SUM(G22:G43)</f>
        <v>0.65225926530387335</v>
      </c>
    </row>
    <row r="45" spans="1:7" x14ac:dyDescent="0.2">
      <c r="A45" s="1"/>
      <c r="B45" s="27"/>
      <c r="C45" s="19"/>
      <c r="D45" s="19"/>
      <c r="E45" s="19"/>
      <c r="F45" s="23"/>
      <c r="G45" s="31"/>
    </row>
    <row r="46" spans="1:7" x14ac:dyDescent="0.2">
      <c r="A46" s="1"/>
      <c r="B46" s="27" t="s">
        <v>184</v>
      </c>
      <c r="C46" s="19" t="s">
        <v>1</v>
      </c>
      <c r="D46" s="19" t="s">
        <v>1</v>
      </c>
      <c r="E46" s="74" t="s">
        <v>185</v>
      </c>
      <c r="F46" s="74" t="s">
        <v>185</v>
      </c>
      <c r="G46" s="76" t="s">
        <v>185</v>
      </c>
    </row>
    <row r="47" spans="1:7" x14ac:dyDescent="0.2">
      <c r="A47" s="1"/>
      <c r="B47" s="27" t="s">
        <v>29</v>
      </c>
      <c r="C47" s="19" t="s">
        <v>1</v>
      </c>
      <c r="D47" s="19" t="s">
        <v>1</v>
      </c>
      <c r="E47" s="74" t="s">
        <v>185</v>
      </c>
      <c r="F47" s="74" t="s">
        <v>185</v>
      </c>
      <c r="G47" s="76" t="s">
        <v>185</v>
      </c>
    </row>
    <row r="48" spans="1:7" x14ac:dyDescent="0.2">
      <c r="A48" s="1"/>
      <c r="B48" s="27" t="s">
        <v>30</v>
      </c>
      <c r="C48" s="19" t="s">
        <v>1</v>
      </c>
      <c r="D48" s="19" t="s">
        <v>1</v>
      </c>
      <c r="E48" s="19" t="s">
        <v>1</v>
      </c>
      <c r="F48" s="23">
        <v>1277.0202271000001</v>
      </c>
      <c r="G48" s="31">
        <v>0.9913024741520976</v>
      </c>
    </row>
    <row r="49" spans="1:7" x14ac:dyDescent="0.2">
      <c r="A49" s="1"/>
      <c r="B49" s="27"/>
      <c r="C49" s="19"/>
      <c r="D49" s="19"/>
      <c r="E49" s="19"/>
      <c r="F49" s="23"/>
      <c r="G49" s="31"/>
    </row>
    <row r="50" spans="1:7" x14ac:dyDescent="0.2">
      <c r="A50" s="1"/>
      <c r="B50" s="46" t="s">
        <v>356</v>
      </c>
      <c r="C50" s="18"/>
      <c r="D50" s="19"/>
      <c r="E50" s="19"/>
      <c r="F50" s="59"/>
      <c r="G50" s="31"/>
    </row>
    <row r="51" spans="1:7" x14ac:dyDescent="0.2">
      <c r="A51" s="11"/>
      <c r="B51" s="45" t="s">
        <v>360</v>
      </c>
      <c r="C51" s="18"/>
      <c r="D51" s="19"/>
      <c r="E51" s="74" t="s">
        <v>185</v>
      </c>
      <c r="F51" s="74" t="s">
        <v>185</v>
      </c>
      <c r="G51" s="76" t="s">
        <v>185</v>
      </c>
    </row>
    <row r="52" spans="1:7" x14ac:dyDescent="0.2">
      <c r="A52" s="1"/>
      <c r="B52" s="45" t="s">
        <v>358</v>
      </c>
      <c r="C52" s="18"/>
      <c r="D52" s="19"/>
      <c r="E52" s="74" t="s">
        <v>185</v>
      </c>
      <c r="F52" s="74" t="s">
        <v>185</v>
      </c>
      <c r="G52" s="76" t="s">
        <v>185</v>
      </c>
    </row>
    <row r="53" spans="1:7" x14ac:dyDescent="0.2">
      <c r="A53" s="1"/>
      <c r="B53" s="45" t="s">
        <v>359</v>
      </c>
      <c r="C53" s="18"/>
      <c r="D53" s="19"/>
      <c r="E53" s="74" t="s">
        <v>185</v>
      </c>
      <c r="F53" s="74" t="s">
        <v>185</v>
      </c>
      <c r="G53" s="76" t="s">
        <v>185</v>
      </c>
    </row>
    <row r="54" spans="1:7" x14ac:dyDescent="0.2">
      <c r="A54" s="1"/>
      <c r="B54" s="45"/>
      <c r="C54" s="18"/>
      <c r="D54" s="19"/>
      <c r="E54" s="75"/>
      <c r="F54" s="75"/>
      <c r="G54" s="77"/>
    </row>
    <row r="55" spans="1:7" x14ac:dyDescent="0.2">
      <c r="A55" s="1"/>
      <c r="B55" s="27" t="s">
        <v>9</v>
      </c>
      <c r="C55" s="18"/>
      <c r="D55" s="19"/>
      <c r="E55" s="74" t="s">
        <v>185</v>
      </c>
      <c r="F55" s="74" t="s">
        <v>185</v>
      </c>
      <c r="G55" s="76" t="s">
        <v>185</v>
      </c>
    </row>
    <row r="56" spans="1:7" x14ac:dyDescent="0.2">
      <c r="A56" s="1"/>
      <c r="B56" s="45"/>
      <c r="C56" s="18"/>
      <c r="D56" s="19"/>
      <c r="E56" s="75"/>
      <c r="F56" s="75"/>
      <c r="G56" s="77"/>
    </row>
    <row r="57" spans="1:7" x14ac:dyDescent="0.2">
      <c r="A57" s="1"/>
      <c r="B57" s="72" t="s">
        <v>373</v>
      </c>
      <c r="C57" s="18"/>
      <c r="D57" s="19"/>
      <c r="E57" s="75"/>
      <c r="F57" s="75"/>
      <c r="G57" s="77"/>
    </row>
    <row r="58" spans="1:7" x14ac:dyDescent="0.2">
      <c r="A58" s="1"/>
      <c r="B58" s="27" t="s">
        <v>31</v>
      </c>
      <c r="C58" s="19" t="s">
        <v>1</v>
      </c>
      <c r="D58" s="19" t="s">
        <v>1</v>
      </c>
      <c r="E58" s="19" t="s">
        <v>1</v>
      </c>
      <c r="F58" s="20" t="s">
        <v>1</v>
      </c>
      <c r="G58" s="28" t="s">
        <v>1</v>
      </c>
    </row>
    <row r="59" spans="1:7" x14ac:dyDescent="0.2">
      <c r="A59" s="11"/>
      <c r="B59" s="29" t="s">
        <v>32</v>
      </c>
      <c r="C59" s="19" t="s">
        <v>1</v>
      </c>
      <c r="D59" s="19" t="s">
        <v>33</v>
      </c>
      <c r="E59" s="21"/>
      <c r="F59" s="22">
        <v>5.6814999999999998</v>
      </c>
      <c r="G59" s="30">
        <v>4.4103334366794719E-3</v>
      </c>
    </row>
    <row r="60" spans="1:7" x14ac:dyDescent="0.2">
      <c r="A60" s="1"/>
      <c r="B60" s="27" t="s">
        <v>29</v>
      </c>
      <c r="C60" s="19" t="s">
        <v>1</v>
      </c>
      <c r="D60" s="19" t="s">
        <v>1</v>
      </c>
      <c r="E60" s="19" t="s">
        <v>1</v>
      </c>
      <c r="F60" s="23">
        <v>5.6814999999999998</v>
      </c>
      <c r="G60" s="31">
        <v>4.4103334366794719E-3</v>
      </c>
    </row>
    <row r="61" spans="1:7" x14ac:dyDescent="0.2">
      <c r="A61" s="1"/>
      <c r="B61" s="27"/>
      <c r="C61" s="19"/>
      <c r="D61" s="19"/>
      <c r="E61" s="19"/>
      <c r="F61" s="23"/>
      <c r="G61" s="31"/>
    </row>
    <row r="62" spans="1:7" x14ac:dyDescent="0.2">
      <c r="A62" s="1"/>
      <c r="B62" s="27" t="s">
        <v>34</v>
      </c>
      <c r="C62" s="19" t="s">
        <v>1</v>
      </c>
      <c r="D62" s="19" t="s">
        <v>1</v>
      </c>
      <c r="E62" s="19" t="s">
        <v>1</v>
      </c>
      <c r="F62" s="48">
        <v>5.5228667025</v>
      </c>
      <c r="G62" s="49">
        <v>4.2871924112229121E-3</v>
      </c>
    </row>
    <row r="63" spans="1:7" x14ac:dyDescent="0.2">
      <c r="A63" s="1"/>
      <c r="B63" s="47" t="s">
        <v>29</v>
      </c>
      <c r="C63" s="19"/>
      <c r="D63" s="19"/>
      <c r="E63" s="19"/>
      <c r="F63" s="23">
        <v>5.5228667025</v>
      </c>
      <c r="G63" s="31">
        <v>4.2871924112229121E-3</v>
      </c>
    </row>
    <row r="64" spans="1:7" x14ac:dyDescent="0.2">
      <c r="A64" s="1"/>
      <c r="B64" s="47" t="s">
        <v>30</v>
      </c>
      <c r="C64" s="19"/>
      <c r="D64" s="19"/>
      <c r="E64" s="19"/>
      <c r="F64" s="23">
        <v>11.2043667025</v>
      </c>
      <c r="G64" s="31">
        <v>8.6975258479023848E-3</v>
      </c>
    </row>
    <row r="65" spans="1:7" ht="13.5" thickBot="1" x14ac:dyDescent="0.25">
      <c r="A65" s="1"/>
      <c r="B65" s="82"/>
      <c r="C65" s="83"/>
      <c r="D65" s="83"/>
      <c r="E65" s="83"/>
      <c r="F65" s="84"/>
      <c r="G65" s="85"/>
    </row>
    <row r="66" spans="1:7" ht="14.25" thickTop="1" thickBot="1" x14ac:dyDescent="0.25">
      <c r="A66" s="1"/>
      <c r="B66" s="78" t="s">
        <v>35</v>
      </c>
      <c r="C66" s="79" t="s">
        <v>1</v>
      </c>
      <c r="D66" s="79" t="s">
        <v>1</v>
      </c>
      <c r="E66" s="79" t="s">
        <v>1</v>
      </c>
      <c r="F66" s="80">
        <v>1288.2245938025001</v>
      </c>
      <c r="G66" s="81">
        <v>1</v>
      </c>
    </row>
    <row r="67" spans="1:7" x14ac:dyDescent="0.2">
      <c r="A67" s="1"/>
      <c r="B67" s="10" t="s">
        <v>1</v>
      </c>
      <c r="C67" s="1"/>
      <c r="D67" s="1"/>
      <c r="E67" s="1"/>
      <c r="F67" s="2"/>
      <c r="G67" s="3"/>
    </row>
    <row r="68" spans="1:7" x14ac:dyDescent="0.2">
      <c r="A68" s="1"/>
      <c r="B68" s="6" t="s">
        <v>364</v>
      </c>
      <c r="C68" s="1"/>
      <c r="D68" s="1"/>
      <c r="E68" s="1"/>
      <c r="F68" s="2"/>
      <c r="G68" s="3"/>
    </row>
    <row r="69" spans="1:7" x14ac:dyDescent="0.2">
      <c r="A69" s="1"/>
      <c r="B69" s="55" t="s">
        <v>365</v>
      </c>
      <c r="C69" s="1"/>
      <c r="D69" s="1"/>
      <c r="E69" s="1"/>
      <c r="F69" s="2"/>
      <c r="G69" s="3"/>
    </row>
    <row r="70" spans="1:7" ht="13.5" thickBot="1" x14ac:dyDescent="0.25">
      <c r="A70" s="1"/>
      <c r="B70" s="6" t="s">
        <v>1</v>
      </c>
      <c r="C70" s="1"/>
      <c r="D70" s="1"/>
      <c r="E70" s="1"/>
      <c r="F70" s="2"/>
      <c r="G70" s="3"/>
    </row>
    <row r="71" spans="1:7" ht="13.5" thickBot="1" x14ac:dyDescent="0.25">
      <c r="B71" s="52" t="s">
        <v>370</v>
      </c>
      <c r="C71" s="53">
        <v>0.13159999999999999</v>
      </c>
    </row>
    <row r="72" spans="1:7" x14ac:dyDescent="0.2">
      <c r="B72" s="54" t="s">
        <v>371</v>
      </c>
      <c r="C72" s="54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showGridLines="0" zoomScaleNormal="100" workbookViewId="0">
      <selection activeCell="B4" sqref="B4"/>
    </sheetView>
  </sheetViews>
  <sheetFormatPr defaultRowHeight="12.75" x14ac:dyDescent="0.2"/>
  <cols>
    <col min="1" max="1" width="11.42578125" style="4" bestFit="1" customWidth="1"/>
    <col min="2" max="2" width="51.7109375" style="4" customWidth="1"/>
    <col min="3" max="3" width="16" style="4" customWidth="1"/>
    <col min="4" max="4" width="12.5703125" style="4" customWidth="1"/>
    <col min="5" max="5" width="13.85546875" style="4" customWidth="1"/>
    <col min="6" max="6" width="21.42578125" style="7" customWidth="1"/>
    <col min="7" max="7" width="21.42578125" style="8" customWidth="1"/>
    <col min="8" max="16384" width="9.140625" style="4"/>
  </cols>
  <sheetData>
    <row r="1" spans="1:7" ht="18.75" x14ac:dyDescent="0.2">
      <c r="A1" s="1"/>
      <c r="B1" s="129" t="s">
        <v>0</v>
      </c>
      <c r="C1" s="130"/>
      <c r="D1" s="130"/>
      <c r="E1" s="130"/>
      <c r="F1" s="130"/>
      <c r="G1" s="131"/>
    </row>
    <row r="2" spans="1:7" ht="13.5" thickBot="1" x14ac:dyDescent="0.25">
      <c r="A2" s="1"/>
      <c r="B2" s="132" t="s">
        <v>376</v>
      </c>
      <c r="C2" s="133"/>
      <c r="D2" s="133"/>
      <c r="E2" s="133"/>
      <c r="F2" s="133"/>
      <c r="G2" s="134"/>
    </row>
    <row r="3" spans="1:7" x14ac:dyDescent="0.2">
      <c r="A3" s="1"/>
      <c r="B3" s="9" t="s">
        <v>1</v>
      </c>
      <c r="C3" s="1"/>
      <c r="D3" s="1"/>
      <c r="E3" s="1"/>
      <c r="F3" s="2"/>
      <c r="G3" s="3"/>
    </row>
    <row r="4" spans="1:7" ht="13.5" thickBot="1" x14ac:dyDescent="0.25">
      <c r="A4" s="10"/>
      <c r="B4" s="6" t="s">
        <v>2</v>
      </c>
      <c r="C4" s="1"/>
      <c r="D4" s="1"/>
      <c r="E4" s="1"/>
      <c r="F4" s="2"/>
      <c r="G4" s="3"/>
    </row>
    <row r="5" spans="1:7" ht="26.25" thickBot="1" x14ac:dyDescent="0.25">
      <c r="A5" s="1"/>
      <c r="B5" s="91" t="s">
        <v>3</v>
      </c>
      <c r="C5" s="92" t="s">
        <v>4</v>
      </c>
      <c r="D5" s="93" t="s">
        <v>5</v>
      </c>
      <c r="E5" s="93" t="s">
        <v>6</v>
      </c>
      <c r="F5" s="94" t="s">
        <v>7</v>
      </c>
      <c r="G5" s="95" t="s">
        <v>8</v>
      </c>
    </row>
    <row r="6" spans="1:7" x14ac:dyDescent="0.2">
      <c r="A6" s="1"/>
      <c r="B6" s="96" t="s">
        <v>354</v>
      </c>
      <c r="C6" s="97"/>
      <c r="D6" s="24"/>
      <c r="E6" s="24"/>
      <c r="F6" s="25"/>
      <c r="G6" s="26"/>
    </row>
    <row r="7" spans="1:7" x14ac:dyDescent="0.2">
      <c r="A7" s="1"/>
      <c r="B7" s="45" t="s">
        <v>355</v>
      </c>
      <c r="C7" s="15"/>
      <c r="D7" s="16"/>
      <c r="E7" s="99" t="s">
        <v>185</v>
      </c>
      <c r="F7" s="99" t="s">
        <v>185</v>
      </c>
      <c r="G7" s="100" t="s">
        <v>185</v>
      </c>
    </row>
    <row r="8" spans="1:7" x14ac:dyDescent="0.2">
      <c r="A8" s="11"/>
      <c r="B8" s="45" t="s">
        <v>184</v>
      </c>
      <c r="C8" s="15"/>
      <c r="D8" s="16"/>
      <c r="E8" s="99" t="s">
        <v>185</v>
      </c>
      <c r="F8" s="99" t="s">
        <v>185</v>
      </c>
      <c r="G8" s="100" t="s">
        <v>185</v>
      </c>
    </row>
    <row r="9" spans="1:7" x14ac:dyDescent="0.2">
      <c r="A9" s="1"/>
      <c r="B9" s="45"/>
      <c r="C9" s="15"/>
      <c r="D9" s="16"/>
      <c r="E9" s="101"/>
      <c r="F9" s="102"/>
      <c r="G9" s="103"/>
    </row>
    <row r="10" spans="1:7" x14ac:dyDescent="0.2">
      <c r="A10" s="1"/>
      <c r="B10" s="46" t="s">
        <v>356</v>
      </c>
      <c r="C10" s="15"/>
      <c r="D10" s="16"/>
      <c r="E10" s="101"/>
      <c r="F10" s="102"/>
      <c r="G10" s="103"/>
    </row>
    <row r="11" spans="1:7" x14ac:dyDescent="0.2">
      <c r="A11" s="1"/>
      <c r="B11" s="45" t="s">
        <v>357</v>
      </c>
      <c r="C11" s="15"/>
      <c r="D11" s="16"/>
      <c r="E11" s="99" t="s">
        <v>185</v>
      </c>
      <c r="F11" s="99" t="s">
        <v>185</v>
      </c>
      <c r="G11" s="100" t="s">
        <v>185</v>
      </c>
    </row>
    <row r="12" spans="1:7" x14ac:dyDescent="0.2">
      <c r="A12" s="11"/>
      <c r="B12" s="45" t="s">
        <v>358</v>
      </c>
      <c r="C12" s="15"/>
      <c r="D12" s="16"/>
      <c r="E12" s="99" t="s">
        <v>185</v>
      </c>
      <c r="F12" s="99" t="s">
        <v>185</v>
      </c>
      <c r="G12" s="100" t="s">
        <v>185</v>
      </c>
    </row>
    <row r="13" spans="1:7" x14ac:dyDescent="0.2">
      <c r="A13" s="1"/>
      <c r="B13" s="45" t="s">
        <v>359</v>
      </c>
      <c r="C13" s="15"/>
      <c r="D13" s="16"/>
      <c r="E13" s="99" t="s">
        <v>185</v>
      </c>
      <c r="F13" s="99" t="s">
        <v>185</v>
      </c>
      <c r="G13" s="100" t="s">
        <v>185</v>
      </c>
    </row>
    <row r="14" spans="1:7" x14ac:dyDescent="0.2">
      <c r="A14" s="1"/>
      <c r="B14" s="45"/>
      <c r="C14" s="15"/>
      <c r="D14" s="16"/>
      <c r="E14" s="86"/>
      <c r="F14" s="86"/>
      <c r="G14" s="88"/>
    </row>
    <row r="15" spans="1:7" x14ac:dyDescent="0.2">
      <c r="A15" s="1"/>
      <c r="B15" s="27" t="s">
        <v>9</v>
      </c>
      <c r="C15" s="19" t="s">
        <v>1</v>
      </c>
      <c r="D15" s="19" t="s">
        <v>1</v>
      </c>
      <c r="E15" s="19" t="s">
        <v>1</v>
      </c>
      <c r="F15" s="20" t="s">
        <v>1</v>
      </c>
      <c r="G15" s="28" t="s">
        <v>1</v>
      </c>
    </row>
    <row r="16" spans="1:7" x14ac:dyDescent="0.2">
      <c r="A16" s="1"/>
      <c r="B16" s="27" t="s">
        <v>10</v>
      </c>
      <c r="C16" s="19" t="s">
        <v>1</v>
      </c>
      <c r="D16" s="19" t="s">
        <v>1</v>
      </c>
      <c r="E16" s="19" t="s">
        <v>1</v>
      </c>
      <c r="F16" s="20" t="s">
        <v>1</v>
      </c>
      <c r="G16" s="28" t="s">
        <v>1</v>
      </c>
    </row>
    <row r="17" spans="1:7" x14ac:dyDescent="0.2">
      <c r="A17" s="11"/>
      <c r="B17" s="29" t="s">
        <v>11</v>
      </c>
      <c r="C17" s="19" t="s">
        <v>12</v>
      </c>
      <c r="D17" s="19" t="s">
        <v>13</v>
      </c>
      <c r="E17" s="21">
        <v>500000</v>
      </c>
      <c r="F17" s="22">
        <v>499.53882499999997</v>
      </c>
      <c r="G17" s="30">
        <v>0.10293222153485125</v>
      </c>
    </row>
    <row r="18" spans="1:7" x14ac:dyDescent="0.2">
      <c r="A18" s="11"/>
      <c r="B18" s="29" t="s">
        <v>14</v>
      </c>
      <c r="C18" s="19" t="s">
        <v>15</v>
      </c>
      <c r="D18" s="19" t="s">
        <v>13</v>
      </c>
      <c r="E18" s="21">
        <v>500000</v>
      </c>
      <c r="F18" s="22">
        <v>497.155145</v>
      </c>
      <c r="G18" s="30">
        <v>0.10244105355040441</v>
      </c>
    </row>
    <row r="19" spans="1:7" x14ac:dyDescent="0.2">
      <c r="A19" s="11"/>
      <c r="B19" s="29" t="s">
        <v>16</v>
      </c>
      <c r="C19" s="19" t="s">
        <v>17</v>
      </c>
      <c r="D19" s="19" t="s">
        <v>13</v>
      </c>
      <c r="E19" s="21">
        <v>500000</v>
      </c>
      <c r="F19" s="22">
        <v>495.75020000000001</v>
      </c>
      <c r="G19" s="30">
        <v>0.10215155831450502</v>
      </c>
    </row>
    <row r="20" spans="1:7" x14ac:dyDescent="0.2">
      <c r="A20" s="11"/>
      <c r="B20" s="29" t="s">
        <v>18</v>
      </c>
      <c r="C20" s="19" t="s">
        <v>19</v>
      </c>
      <c r="D20" s="19" t="s">
        <v>13</v>
      </c>
      <c r="E20" s="21">
        <v>500000</v>
      </c>
      <c r="F20" s="22">
        <v>495.60471000000001</v>
      </c>
      <c r="G20" s="30">
        <v>0.10212157944567314</v>
      </c>
    </row>
    <row r="21" spans="1:7" x14ac:dyDescent="0.2">
      <c r="A21" s="11"/>
      <c r="B21" s="29" t="s">
        <v>20</v>
      </c>
      <c r="C21" s="19" t="s">
        <v>21</v>
      </c>
      <c r="D21" s="19" t="s">
        <v>13</v>
      </c>
      <c r="E21" s="21">
        <v>500000</v>
      </c>
      <c r="F21" s="22">
        <v>495.39578499999999</v>
      </c>
      <c r="G21" s="30">
        <v>0.10207852950979644</v>
      </c>
    </row>
    <row r="22" spans="1:7" x14ac:dyDescent="0.2">
      <c r="A22" s="11"/>
      <c r="B22" s="29" t="s">
        <v>22</v>
      </c>
      <c r="C22" s="19" t="s">
        <v>23</v>
      </c>
      <c r="D22" s="19" t="s">
        <v>24</v>
      </c>
      <c r="E22" s="21">
        <v>500000</v>
      </c>
      <c r="F22" s="22">
        <v>494.10081000000002</v>
      </c>
      <c r="G22" s="30">
        <v>0.10181169408698003</v>
      </c>
    </row>
    <row r="23" spans="1:7" x14ac:dyDescent="0.2">
      <c r="A23" s="11"/>
      <c r="B23" s="29" t="s">
        <v>25</v>
      </c>
      <c r="C23" s="19" t="s">
        <v>26</v>
      </c>
      <c r="D23" s="19" t="s">
        <v>13</v>
      </c>
      <c r="E23" s="21">
        <v>490000</v>
      </c>
      <c r="F23" s="22">
        <v>488.4316129</v>
      </c>
      <c r="G23" s="30">
        <v>0.10064353052767723</v>
      </c>
    </row>
    <row r="24" spans="1:7" x14ac:dyDescent="0.2">
      <c r="A24" s="11"/>
      <c r="B24" s="29" t="s">
        <v>27</v>
      </c>
      <c r="C24" s="19" t="s">
        <v>28</v>
      </c>
      <c r="D24" s="19" t="s">
        <v>24</v>
      </c>
      <c r="E24" s="21">
        <v>400000</v>
      </c>
      <c r="F24" s="22">
        <v>395.31139999999999</v>
      </c>
      <c r="G24" s="30">
        <v>8.1455691857489146E-2</v>
      </c>
    </row>
    <row r="25" spans="1:7" x14ac:dyDescent="0.2">
      <c r="A25" s="1"/>
      <c r="B25" s="27" t="s">
        <v>29</v>
      </c>
      <c r="C25" s="19" t="s">
        <v>1</v>
      </c>
      <c r="D25" s="19" t="s">
        <v>1</v>
      </c>
      <c r="E25" s="19" t="s">
        <v>1</v>
      </c>
      <c r="F25" s="23">
        <v>3861.2884878999998</v>
      </c>
      <c r="G25" s="31">
        <v>0.79563585882737664</v>
      </c>
    </row>
    <row r="26" spans="1:7" x14ac:dyDescent="0.2">
      <c r="A26" s="1"/>
      <c r="B26" s="27"/>
      <c r="C26" s="19"/>
      <c r="D26" s="19"/>
      <c r="E26" s="19"/>
      <c r="F26" s="23"/>
      <c r="G26" s="31"/>
    </row>
    <row r="27" spans="1:7" x14ac:dyDescent="0.2">
      <c r="A27" s="1"/>
      <c r="B27" s="47" t="s">
        <v>373</v>
      </c>
      <c r="C27" s="19"/>
      <c r="D27" s="19"/>
      <c r="E27" s="19"/>
      <c r="F27" s="23"/>
      <c r="G27" s="31"/>
    </row>
    <row r="28" spans="1:7" x14ac:dyDescent="0.2">
      <c r="A28" s="1"/>
      <c r="B28" s="27" t="s">
        <v>31</v>
      </c>
      <c r="C28" s="19" t="s">
        <v>1</v>
      </c>
      <c r="D28" s="19" t="s">
        <v>1</v>
      </c>
      <c r="E28" s="19" t="s">
        <v>1</v>
      </c>
      <c r="F28" s="20" t="s">
        <v>1</v>
      </c>
      <c r="G28" s="28" t="s">
        <v>1</v>
      </c>
    </row>
    <row r="29" spans="1:7" x14ac:dyDescent="0.2">
      <c r="A29" s="11"/>
      <c r="B29" s="29" t="s">
        <v>32</v>
      </c>
      <c r="C29" s="19" t="s">
        <v>1</v>
      </c>
      <c r="D29" s="19" t="s">
        <v>33</v>
      </c>
      <c r="E29" s="21"/>
      <c r="F29" s="22">
        <v>988.25329999999997</v>
      </c>
      <c r="G29" s="30">
        <v>0.20363403707038752</v>
      </c>
    </row>
    <row r="30" spans="1:7" x14ac:dyDescent="0.2">
      <c r="A30" s="1"/>
      <c r="B30" s="27" t="s">
        <v>29</v>
      </c>
      <c r="C30" s="19" t="s">
        <v>1</v>
      </c>
      <c r="D30" s="19" t="s">
        <v>1</v>
      </c>
      <c r="E30" s="19" t="s">
        <v>1</v>
      </c>
      <c r="F30" s="23">
        <v>988.25329999999997</v>
      </c>
      <c r="G30" s="31">
        <v>0.20363403707038752</v>
      </c>
    </row>
    <row r="31" spans="1:7" x14ac:dyDescent="0.2">
      <c r="A31" s="1"/>
      <c r="B31" s="27"/>
      <c r="C31" s="19"/>
      <c r="D31" s="19"/>
      <c r="E31" s="19"/>
      <c r="F31" s="23"/>
      <c r="G31" s="31"/>
    </row>
    <row r="32" spans="1:7" x14ac:dyDescent="0.2">
      <c r="A32" s="1"/>
      <c r="B32" s="27" t="s">
        <v>34</v>
      </c>
      <c r="C32" s="19" t="s">
        <v>1</v>
      </c>
      <c r="D32" s="19" t="s">
        <v>1</v>
      </c>
      <c r="E32" s="19" t="s">
        <v>1</v>
      </c>
      <c r="F32" s="48">
        <v>3.5432573000000001</v>
      </c>
      <c r="G32" s="49">
        <v>7.3010410223581386E-4</v>
      </c>
    </row>
    <row r="33" spans="1:7" x14ac:dyDescent="0.2">
      <c r="A33" s="1"/>
      <c r="B33" s="47" t="s">
        <v>29</v>
      </c>
      <c r="C33" s="19"/>
      <c r="D33" s="19"/>
      <c r="E33" s="19"/>
      <c r="F33" s="23">
        <v>3.5432573000000001</v>
      </c>
      <c r="G33" s="31">
        <v>7.3010410223581386E-4</v>
      </c>
    </row>
    <row r="34" spans="1:7" ht="13.5" thickBot="1" x14ac:dyDescent="0.25">
      <c r="A34" s="1"/>
      <c r="B34" s="82" t="s">
        <v>30</v>
      </c>
      <c r="C34" s="83"/>
      <c r="D34" s="83"/>
      <c r="E34" s="83"/>
      <c r="F34" s="84">
        <f>F30+F33</f>
        <v>991.79655730000002</v>
      </c>
      <c r="G34" s="31">
        <f>G30+G33</f>
        <v>0.20436414117262333</v>
      </c>
    </row>
    <row r="35" spans="1:7" ht="14.25" thickTop="1" thickBot="1" x14ac:dyDescent="0.25">
      <c r="A35" s="1"/>
      <c r="B35" s="78" t="s">
        <v>35</v>
      </c>
      <c r="C35" s="79" t="s">
        <v>1</v>
      </c>
      <c r="D35" s="79" t="s">
        <v>1</v>
      </c>
      <c r="E35" s="79" t="s">
        <v>1</v>
      </c>
      <c r="F35" s="80">
        <v>4853.0850452000004</v>
      </c>
      <c r="G35" s="81">
        <v>1</v>
      </c>
    </row>
    <row r="36" spans="1:7" x14ac:dyDescent="0.2">
      <c r="A36" s="1"/>
      <c r="B36" s="10" t="s">
        <v>1</v>
      </c>
      <c r="C36" s="1"/>
      <c r="D36" s="1"/>
      <c r="E36" s="1"/>
      <c r="F36" s="2"/>
      <c r="G36" s="3"/>
    </row>
    <row r="37" spans="1:7" x14ac:dyDescent="0.2">
      <c r="A37" s="1"/>
      <c r="B37" s="6" t="s">
        <v>33</v>
      </c>
      <c r="C37" s="1"/>
      <c r="D37" s="1"/>
      <c r="E37" s="1"/>
      <c r="F37" s="2"/>
      <c r="G37" s="3"/>
    </row>
    <row r="38" spans="1:7" x14ac:dyDescent="0.2">
      <c r="A38" s="1"/>
      <c r="B38" s="6" t="s">
        <v>36</v>
      </c>
      <c r="C38" s="1"/>
      <c r="D38" s="1"/>
      <c r="E38" s="1"/>
      <c r="F38" s="2"/>
      <c r="G38" s="3"/>
    </row>
    <row r="39" spans="1:7" x14ac:dyDescent="0.2">
      <c r="A39" s="1"/>
      <c r="B39" s="6" t="s">
        <v>37</v>
      </c>
      <c r="C39" s="1"/>
      <c r="D39" s="1"/>
      <c r="E39" s="1"/>
      <c r="F39" s="2"/>
      <c r="G39" s="3"/>
    </row>
    <row r="40" spans="1:7" ht="13.5" thickBot="1" x14ac:dyDescent="0.25">
      <c r="A40" s="1"/>
      <c r="B40" s="6" t="s">
        <v>1</v>
      </c>
      <c r="C40" s="1"/>
      <c r="D40" s="1"/>
      <c r="E40" s="1"/>
      <c r="F40" s="2"/>
      <c r="G40" s="3"/>
    </row>
    <row r="41" spans="1:7" ht="13.5" thickBot="1" x14ac:dyDescent="0.25">
      <c r="A41" s="1"/>
      <c r="B41" s="111" t="s">
        <v>380</v>
      </c>
      <c r="C41" s="112">
        <v>25.69</v>
      </c>
      <c r="D41" s="1"/>
      <c r="E41" s="1"/>
      <c r="F41" s="2"/>
      <c r="G41" s="3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showGridLines="0" zoomScaleNormal="100" workbookViewId="0">
      <selection activeCell="B4" sqref="B4"/>
    </sheetView>
  </sheetViews>
  <sheetFormatPr defaultRowHeight="12.75" x14ac:dyDescent="0.2"/>
  <cols>
    <col min="1" max="1" width="11.42578125" style="4" bestFit="1" customWidth="1"/>
    <col min="2" max="2" width="51.7109375" style="4" customWidth="1"/>
    <col min="3" max="5" width="19.5703125" style="4" customWidth="1"/>
    <col min="6" max="6" width="19.5703125" style="7" customWidth="1"/>
    <col min="7" max="7" width="19.5703125" style="8" customWidth="1"/>
    <col min="8" max="16384" width="9.140625" style="4"/>
  </cols>
  <sheetData>
    <row r="1" spans="1:7" ht="18" x14ac:dyDescent="0.2">
      <c r="A1" s="1"/>
      <c r="B1" s="135" t="s">
        <v>339</v>
      </c>
      <c r="C1" s="136"/>
      <c r="D1" s="136"/>
      <c r="E1" s="136"/>
      <c r="F1" s="136"/>
      <c r="G1" s="137"/>
    </row>
    <row r="2" spans="1:7" ht="13.5" thickBot="1" x14ac:dyDescent="0.25">
      <c r="A2" s="1"/>
      <c r="B2" s="126" t="s">
        <v>379</v>
      </c>
      <c r="C2" s="127"/>
      <c r="D2" s="127"/>
      <c r="E2" s="127"/>
      <c r="F2" s="127"/>
      <c r="G2" s="128"/>
    </row>
    <row r="3" spans="1:7" x14ac:dyDescent="0.2">
      <c r="A3" s="1"/>
      <c r="B3" s="9" t="s">
        <v>1</v>
      </c>
      <c r="C3" s="1"/>
      <c r="D3" s="1"/>
      <c r="E3" s="1"/>
      <c r="F3" s="2"/>
      <c r="G3" s="3"/>
    </row>
    <row r="4" spans="1:7" ht="13.5" thickBot="1" x14ac:dyDescent="0.25">
      <c r="A4" s="10"/>
      <c r="B4" s="6" t="s">
        <v>2</v>
      </c>
      <c r="C4" s="1"/>
      <c r="D4" s="1"/>
      <c r="E4" s="1"/>
      <c r="F4" s="2"/>
      <c r="G4" s="3"/>
    </row>
    <row r="5" spans="1:7" ht="26.25" thickBot="1" x14ac:dyDescent="0.25">
      <c r="A5" s="1"/>
      <c r="B5" s="38" t="s">
        <v>3</v>
      </c>
      <c r="C5" s="39" t="s">
        <v>4</v>
      </c>
      <c r="D5" s="40" t="s">
        <v>5</v>
      </c>
      <c r="E5" s="40" t="s">
        <v>6</v>
      </c>
      <c r="F5" s="41" t="s">
        <v>7</v>
      </c>
      <c r="G5" s="42" t="s">
        <v>8</v>
      </c>
    </row>
    <row r="6" spans="1:7" x14ac:dyDescent="0.2">
      <c r="A6" s="1"/>
      <c r="B6" s="73" t="s">
        <v>354</v>
      </c>
      <c r="C6" s="89"/>
      <c r="D6" s="67"/>
      <c r="E6" s="67"/>
      <c r="F6" s="68"/>
      <c r="G6" s="106"/>
    </row>
    <row r="7" spans="1:7" x14ac:dyDescent="0.2">
      <c r="A7" s="1"/>
      <c r="B7" s="45" t="s">
        <v>355</v>
      </c>
      <c r="C7" s="51"/>
      <c r="D7" s="16"/>
      <c r="E7" s="99" t="s">
        <v>185</v>
      </c>
      <c r="F7" s="99" t="s">
        <v>185</v>
      </c>
      <c r="G7" s="100" t="s">
        <v>185</v>
      </c>
    </row>
    <row r="8" spans="1:7" x14ac:dyDescent="0.2">
      <c r="A8" s="11"/>
      <c r="B8" s="45" t="s">
        <v>184</v>
      </c>
      <c r="C8" s="51"/>
      <c r="D8" s="16"/>
      <c r="E8" s="99" t="s">
        <v>185</v>
      </c>
      <c r="F8" s="99" t="s">
        <v>185</v>
      </c>
      <c r="G8" s="100" t="s">
        <v>185</v>
      </c>
    </row>
    <row r="9" spans="1:7" x14ac:dyDescent="0.2">
      <c r="A9" s="11"/>
      <c r="B9" s="61"/>
      <c r="C9" s="15"/>
      <c r="D9" s="16"/>
      <c r="E9" s="107"/>
      <c r="F9" s="105"/>
      <c r="G9" s="108"/>
    </row>
    <row r="10" spans="1:7" x14ac:dyDescent="0.2">
      <c r="A10" s="11"/>
      <c r="B10" s="46" t="s">
        <v>356</v>
      </c>
      <c r="C10" s="50"/>
      <c r="D10" s="16"/>
      <c r="E10" s="107"/>
      <c r="F10" s="105"/>
      <c r="G10" s="108"/>
    </row>
    <row r="11" spans="1:7" x14ac:dyDescent="0.2">
      <c r="A11" s="11"/>
      <c r="B11" s="45" t="s">
        <v>360</v>
      </c>
      <c r="C11" s="51"/>
      <c r="D11" s="16"/>
      <c r="E11" s="99" t="s">
        <v>185</v>
      </c>
      <c r="F11" s="99" t="s">
        <v>185</v>
      </c>
      <c r="G11" s="100" t="s">
        <v>185</v>
      </c>
    </row>
    <row r="12" spans="1:7" x14ac:dyDescent="0.2">
      <c r="A12" s="11"/>
      <c r="B12" s="45" t="s">
        <v>358</v>
      </c>
      <c r="C12" s="51"/>
      <c r="D12" s="16"/>
      <c r="E12" s="99" t="s">
        <v>185</v>
      </c>
      <c r="F12" s="99" t="s">
        <v>185</v>
      </c>
      <c r="G12" s="100" t="s">
        <v>185</v>
      </c>
    </row>
    <row r="13" spans="1:7" x14ac:dyDescent="0.2">
      <c r="A13" s="1"/>
      <c r="B13" s="45" t="s">
        <v>359</v>
      </c>
      <c r="C13" s="51"/>
      <c r="D13" s="16"/>
      <c r="E13" s="99" t="s">
        <v>185</v>
      </c>
      <c r="F13" s="99" t="s">
        <v>185</v>
      </c>
      <c r="G13" s="100" t="s">
        <v>185</v>
      </c>
    </row>
    <row r="14" spans="1:7" x14ac:dyDescent="0.2">
      <c r="A14" s="1"/>
      <c r="B14" s="45"/>
      <c r="C14" s="51"/>
      <c r="D14" s="16"/>
      <c r="E14" s="90"/>
      <c r="F14" s="90"/>
      <c r="G14" s="98"/>
    </row>
    <row r="15" spans="1:7" x14ac:dyDescent="0.2">
      <c r="A15" s="1"/>
      <c r="B15" s="27" t="s">
        <v>9</v>
      </c>
      <c r="C15" s="19" t="s">
        <v>1</v>
      </c>
      <c r="D15" s="19" t="s">
        <v>1</v>
      </c>
      <c r="E15" s="19" t="s">
        <v>1</v>
      </c>
      <c r="F15" s="20" t="s">
        <v>1</v>
      </c>
      <c r="G15" s="28" t="s">
        <v>1</v>
      </c>
    </row>
    <row r="16" spans="1:7" x14ac:dyDescent="0.2">
      <c r="A16" s="1"/>
      <c r="B16" s="27" t="s">
        <v>10</v>
      </c>
      <c r="C16" s="19" t="s">
        <v>1</v>
      </c>
      <c r="D16" s="19" t="s">
        <v>1</v>
      </c>
      <c r="E16" s="19" t="s">
        <v>1</v>
      </c>
      <c r="F16" s="20" t="s">
        <v>1</v>
      </c>
      <c r="G16" s="28" t="s">
        <v>1</v>
      </c>
    </row>
    <row r="17" spans="1:7" x14ac:dyDescent="0.2">
      <c r="A17" s="11"/>
      <c r="B17" s="29" t="s">
        <v>340</v>
      </c>
      <c r="C17" s="19" t="s">
        <v>341</v>
      </c>
      <c r="D17" s="19" t="s">
        <v>13</v>
      </c>
      <c r="E17" s="21">
        <v>500000</v>
      </c>
      <c r="F17" s="22">
        <v>488.27499999999998</v>
      </c>
      <c r="G17" s="30">
        <v>0.1533921783754443</v>
      </c>
    </row>
    <row r="18" spans="1:7" x14ac:dyDescent="0.2">
      <c r="A18" s="11"/>
      <c r="B18" s="29" t="s">
        <v>342</v>
      </c>
      <c r="C18" s="19" t="s">
        <v>343</v>
      </c>
      <c r="D18" s="19" t="s">
        <v>13</v>
      </c>
      <c r="E18" s="21">
        <v>500000</v>
      </c>
      <c r="F18" s="22">
        <v>478.65350000000001</v>
      </c>
      <c r="G18" s="30">
        <v>0.15036957258108799</v>
      </c>
    </row>
    <row r="19" spans="1:7" x14ac:dyDescent="0.2">
      <c r="A19" s="11"/>
      <c r="B19" s="29" t="s">
        <v>344</v>
      </c>
      <c r="C19" s="19" t="s">
        <v>345</v>
      </c>
      <c r="D19" s="19" t="s">
        <v>13</v>
      </c>
      <c r="E19" s="21">
        <v>450000</v>
      </c>
      <c r="F19" s="22">
        <v>449.28831150000002</v>
      </c>
      <c r="G19" s="30">
        <v>0.14114446330369196</v>
      </c>
    </row>
    <row r="20" spans="1:7" x14ac:dyDescent="0.2">
      <c r="A20" s="11"/>
      <c r="B20" s="29" t="s">
        <v>346</v>
      </c>
      <c r="C20" s="19" t="s">
        <v>347</v>
      </c>
      <c r="D20" s="19" t="s">
        <v>24</v>
      </c>
      <c r="E20" s="21">
        <v>350000</v>
      </c>
      <c r="F20" s="22">
        <v>341.79250000000002</v>
      </c>
      <c r="G20" s="30">
        <v>0.10737452486281102</v>
      </c>
    </row>
    <row r="21" spans="1:7" x14ac:dyDescent="0.2">
      <c r="A21" s="11"/>
      <c r="B21" s="29" t="s">
        <v>348</v>
      </c>
      <c r="C21" s="19" t="s">
        <v>349</v>
      </c>
      <c r="D21" s="19" t="s">
        <v>13</v>
      </c>
      <c r="E21" s="21">
        <v>300000</v>
      </c>
      <c r="F21" s="22">
        <v>287.30040000000002</v>
      </c>
      <c r="G21" s="30">
        <v>9.0255766123877937E-2</v>
      </c>
    </row>
    <row r="22" spans="1:7" x14ac:dyDescent="0.2">
      <c r="A22" s="11"/>
      <c r="B22" s="29" t="s">
        <v>27</v>
      </c>
      <c r="C22" s="19" t="s">
        <v>28</v>
      </c>
      <c r="D22" s="19" t="s">
        <v>24</v>
      </c>
      <c r="E22" s="21">
        <v>100000</v>
      </c>
      <c r="F22" s="22">
        <v>98.827849999999998</v>
      </c>
      <c r="G22" s="30">
        <v>3.1046887912880353E-2</v>
      </c>
    </row>
    <row r="23" spans="1:7" x14ac:dyDescent="0.2">
      <c r="A23" s="11"/>
      <c r="B23" s="29" t="s">
        <v>350</v>
      </c>
      <c r="C23" s="19" t="s">
        <v>351</v>
      </c>
      <c r="D23" s="19" t="s">
        <v>352</v>
      </c>
      <c r="E23" s="21">
        <v>80000</v>
      </c>
      <c r="F23" s="22">
        <v>76.203680000000006</v>
      </c>
      <c r="G23" s="30">
        <v>2.393947770298557E-2</v>
      </c>
    </row>
    <row r="24" spans="1:7" x14ac:dyDescent="0.2">
      <c r="A24" s="11"/>
      <c r="B24" s="29" t="s">
        <v>25</v>
      </c>
      <c r="C24" s="19" t="s">
        <v>26</v>
      </c>
      <c r="D24" s="19" t="s">
        <v>13</v>
      </c>
      <c r="E24" s="21">
        <v>10000</v>
      </c>
      <c r="F24" s="22">
        <v>9.9679921</v>
      </c>
      <c r="G24" s="30">
        <v>3.131456704210168E-3</v>
      </c>
    </row>
    <row r="25" spans="1:7" x14ac:dyDescent="0.2">
      <c r="A25" s="1"/>
      <c r="B25" s="27" t="s">
        <v>29</v>
      </c>
      <c r="C25" s="19" t="s">
        <v>1</v>
      </c>
      <c r="D25" s="19" t="s">
        <v>1</v>
      </c>
      <c r="E25" s="19" t="s">
        <v>1</v>
      </c>
      <c r="F25" s="23">
        <v>2230.3092336</v>
      </c>
      <c r="G25" s="31">
        <v>0.70065432756698931</v>
      </c>
    </row>
    <row r="26" spans="1:7" x14ac:dyDescent="0.2">
      <c r="A26" s="1"/>
      <c r="B26" s="27" t="s">
        <v>30</v>
      </c>
      <c r="C26" s="19"/>
      <c r="D26" s="19"/>
      <c r="E26" s="19"/>
      <c r="F26" s="23">
        <v>2230.3092336</v>
      </c>
      <c r="G26" s="31">
        <v>0.70065432756698931</v>
      </c>
    </row>
    <row r="27" spans="1:7" x14ac:dyDescent="0.2">
      <c r="A27" s="1"/>
      <c r="B27" s="27"/>
      <c r="C27" s="19"/>
      <c r="D27" s="19"/>
      <c r="E27" s="19"/>
      <c r="F27" s="23"/>
      <c r="G27" s="31"/>
    </row>
    <row r="28" spans="1:7" x14ac:dyDescent="0.2">
      <c r="A28" s="1"/>
      <c r="B28" s="27" t="s">
        <v>195</v>
      </c>
      <c r="C28" s="19" t="s">
        <v>1</v>
      </c>
      <c r="D28" s="19" t="s">
        <v>1</v>
      </c>
      <c r="E28" s="19" t="s">
        <v>1</v>
      </c>
      <c r="F28" s="20" t="s">
        <v>1</v>
      </c>
      <c r="G28" s="28" t="s">
        <v>1</v>
      </c>
    </row>
    <row r="29" spans="1:7" x14ac:dyDescent="0.2">
      <c r="A29" s="1"/>
      <c r="B29" s="27" t="s">
        <v>196</v>
      </c>
      <c r="C29" s="19" t="s">
        <v>1</v>
      </c>
      <c r="D29" s="19" t="s">
        <v>1</v>
      </c>
      <c r="E29" s="19" t="s">
        <v>1</v>
      </c>
      <c r="F29" s="20" t="s">
        <v>1</v>
      </c>
      <c r="G29" s="28" t="s">
        <v>1</v>
      </c>
    </row>
    <row r="30" spans="1:7" x14ac:dyDescent="0.2">
      <c r="A30" s="11"/>
      <c r="B30" s="29" t="s">
        <v>368</v>
      </c>
      <c r="C30" s="19" t="s">
        <v>338</v>
      </c>
      <c r="D30" s="19" t="s">
        <v>1</v>
      </c>
      <c r="E30" s="21">
        <v>1300000</v>
      </c>
      <c r="F30" s="22">
        <v>136.77170000000001</v>
      </c>
      <c r="G30" s="30">
        <v>4.2966994015898333E-2</v>
      </c>
    </row>
    <row r="31" spans="1:7" x14ac:dyDescent="0.2">
      <c r="A31" s="1"/>
      <c r="B31" s="27" t="s">
        <v>29</v>
      </c>
      <c r="C31" s="19" t="s">
        <v>1</v>
      </c>
      <c r="D31" s="19" t="s">
        <v>1</v>
      </c>
      <c r="E31" s="19" t="s">
        <v>1</v>
      </c>
      <c r="F31" s="23">
        <v>136.77170000000001</v>
      </c>
      <c r="G31" s="31">
        <v>4.2966994015898333E-2</v>
      </c>
    </row>
    <row r="32" spans="1:7" x14ac:dyDescent="0.2">
      <c r="A32" s="1"/>
      <c r="B32" s="27"/>
      <c r="C32" s="19"/>
      <c r="D32" s="19"/>
      <c r="E32" s="19"/>
      <c r="F32" s="23"/>
      <c r="G32" s="31"/>
    </row>
    <row r="33" spans="1:7" x14ac:dyDescent="0.2">
      <c r="A33" s="1"/>
      <c r="B33" s="27" t="s">
        <v>31</v>
      </c>
      <c r="C33" s="19" t="s">
        <v>1</v>
      </c>
      <c r="D33" s="19" t="s">
        <v>1</v>
      </c>
      <c r="E33" s="19" t="s">
        <v>1</v>
      </c>
      <c r="F33" s="20" t="s">
        <v>1</v>
      </c>
      <c r="G33" s="28" t="s">
        <v>1</v>
      </c>
    </row>
    <row r="34" spans="1:7" x14ac:dyDescent="0.2">
      <c r="A34" s="11"/>
      <c r="B34" s="29" t="s">
        <v>32</v>
      </c>
      <c r="C34" s="19" t="s">
        <v>1</v>
      </c>
      <c r="D34" s="19" t="s">
        <v>33</v>
      </c>
      <c r="E34" s="21"/>
      <c r="F34" s="22">
        <v>789.1463</v>
      </c>
      <c r="G34" s="30">
        <v>0.24791125905262792</v>
      </c>
    </row>
    <row r="35" spans="1:7" x14ac:dyDescent="0.2">
      <c r="A35" s="1"/>
      <c r="B35" s="27" t="s">
        <v>29</v>
      </c>
      <c r="C35" s="19" t="s">
        <v>1</v>
      </c>
      <c r="D35" s="19" t="s">
        <v>1</v>
      </c>
      <c r="E35" s="19" t="s">
        <v>1</v>
      </c>
      <c r="F35" s="23">
        <v>789.1463</v>
      </c>
      <c r="G35" s="31">
        <v>0.24791125905262792</v>
      </c>
    </row>
    <row r="36" spans="1:7" x14ac:dyDescent="0.2">
      <c r="A36" s="1"/>
      <c r="B36" s="27"/>
      <c r="C36" s="19"/>
      <c r="D36" s="19"/>
      <c r="E36" s="19"/>
      <c r="F36" s="23"/>
      <c r="G36" s="31"/>
    </row>
    <row r="37" spans="1:7" x14ac:dyDescent="0.2">
      <c r="A37" s="1"/>
      <c r="B37" s="27" t="s">
        <v>34</v>
      </c>
      <c r="C37" s="19" t="s">
        <v>1</v>
      </c>
      <c r="D37" s="19" t="s">
        <v>1</v>
      </c>
      <c r="E37" s="19" t="s">
        <v>1</v>
      </c>
      <c r="F37" s="48">
        <v>26.9533247</v>
      </c>
      <c r="G37" s="49">
        <v>8.4674193644844378E-3</v>
      </c>
    </row>
    <row r="38" spans="1:7" x14ac:dyDescent="0.2">
      <c r="A38" s="1"/>
      <c r="B38" s="72" t="s">
        <v>29</v>
      </c>
      <c r="C38" s="19"/>
      <c r="D38" s="19"/>
      <c r="E38" s="19"/>
      <c r="F38" s="23">
        <v>26.9533247</v>
      </c>
      <c r="G38" s="31">
        <v>8.4674193644844378E-3</v>
      </c>
    </row>
    <row r="39" spans="1:7" ht="13.5" thickBot="1" x14ac:dyDescent="0.25">
      <c r="A39" s="1"/>
      <c r="B39" s="82" t="s">
        <v>30</v>
      </c>
      <c r="C39" s="83"/>
      <c r="D39" s="83"/>
      <c r="E39" s="83"/>
      <c r="F39" s="84">
        <f>F31+F35+F38</f>
        <v>952.87132470000006</v>
      </c>
      <c r="G39" s="31">
        <f>G31+G35+G38</f>
        <v>0.29934567243301069</v>
      </c>
    </row>
    <row r="40" spans="1:7" ht="14.25" thickTop="1" thickBot="1" x14ac:dyDescent="0.25">
      <c r="A40" s="1"/>
      <c r="B40" s="78" t="s">
        <v>35</v>
      </c>
      <c r="C40" s="79" t="s">
        <v>1</v>
      </c>
      <c r="D40" s="79" t="s">
        <v>1</v>
      </c>
      <c r="E40" s="79" t="s">
        <v>1</v>
      </c>
      <c r="F40" s="80">
        <v>3183.1805583</v>
      </c>
      <c r="G40" s="81">
        <v>1</v>
      </c>
    </row>
    <row r="41" spans="1:7" x14ac:dyDescent="0.2">
      <c r="A41" s="1"/>
      <c r="B41" s="10" t="s">
        <v>1</v>
      </c>
      <c r="C41" s="1"/>
      <c r="D41" s="1"/>
      <c r="E41" s="1"/>
      <c r="F41" s="2"/>
      <c r="G41" s="3"/>
    </row>
    <row r="42" spans="1:7" x14ac:dyDescent="0.2">
      <c r="A42" s="1"/>
      <c r="B42" s="6" t="s">
        <v>33</v>
      </c>
      <c r="C42" s="1"/>
      <c r="D42" s="1"/>
      <c r="E42" s="1"/>
      <c r="F42" s="2"/>
      <c r="G42" s="3"/>
    </row>
    <row r="43" spans="1:7" x14ac:dyDescent="0.2">
      <c r="A43" s="1"/>
      <c r="B43" s="6" t="s">
        <v>36</v>
      </c>
      <c r="C43" s="1"/>
      <c r="D43" s="1"/>
      <c r="E43" s="1"/>
      <c r="F43" s="2"/>
      <c r="G43" s="3"/>
    </row>
    <row r="44" spans="1:7" x14ac:dyDescent="0.2">
      <c r="A44" s="1"/>
      <c r="B44" s="6" t="s">
        <v>37</v>
      </c>
      <c r="C44" s="1"/>
      <c r="D44" s="1"/>
      <c r="E44" s="1"/>
      <c r="F44" s="2"/>
      <c r="G44" s="3"/>
    </row>
    <row r="45" spans="1:7" ht="13.5" thickBot="1" x14ac:dyDescent="0.25">
      <c r="A45" s="1"/>
      <c r="B45" s="6" t="s">
        <v>1</v>
      </c>
      <c r="C45" s="1"/>
      <c r="D45" s="1"/>
      <c r="E45" s="1"/>
      <c r="F45" s="2"/>
      <c r="G45" s="3"/>
    </row>
    <row r="46" spans="1:7" ht="13.5" thickBot="1" x14ac:dyDescent="0.25">
      <c r="A46" s="1"/>
      <c r="B46" s="109" t="s">
        <v>380</v>
      </c>
      <c r="C46" s="110">
        <v>86</v>
      </c>
      <c r="D46" s="1"/>
      <c r="E46" s="1"/>
      <c r="F46" s="2"/>
      <c r="G46" s="3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showGridLines="0" zoomScaleNormal="100" workbookViewId="0">
      <selection activeCell="B4" sqref="B4"/>
    </sheetView>
  </sheetViews>
  <sheetFormatPr defaultRowHeight="12.75" x14ac:dyDescent="0.2"/>
  <cols>
    <col min="1" max="1" width="11.42578125" style="4" bestFit="1" customWidth="1"/>
    <col min="2" max="2" width="49.7109375" style="4" customWidth="1"/>
    <col min="3" max="5" width="20.42578125" style="4" customWidth="1"/>
    <col min="6" max="6" width="20.42578125" style="7" customWidth="1"/>
    <col min="7" max="7" width="20.42578125" style="8" customWidth="1"/>
    <col min="8" max="16384" width="9.140625" style="4"/>
  </cols>
  <sheetData>
    <row r="1" spans="1:7" ht="18" x14ac:dyDescent="0.2">
      <c r="A1" s="1"/>
      <c r="B1" s="135" t="s">
        <v>353</v>
      </c>
      <c r="C1" s="136"/>
      <c r="D1" s="136"/>
      <c r="E1" s="136"/>
      <c r="F1" s="136"/>
      <c r="G1" s="137"/>
    </row>
    <row r="2" spans="1:7" ht="13.5" thickBot="1" x14ac:dyDescent="0.25">
      <c r="A2" s="1"/>
      <c r="B2" s="126" t="s">
        <v>379</v>
      </c>
      <c r="C2" s="127"/>
      <c r="D2" s="127"/>
      <c r="E2" s="127"/>
      <c r="F2" s="127"/>
      <c r="G2" s="128"/>
    </row>
    <row r="3" spans="1:7" x14ac:dyDescent="0.2">
      <c r="A3" s="1"/>
      <c r="B3" s="9" t="s">
        <v>1</v>
      </c>
      <c r="C3" s="1"/>
      <c r="D3" s="1"/>
      <c r="E3" s="1"/>
      <c r="F3" s="2"/>
      <c r="G3" s="3"/>
    </row>
    <row r="4" spans="1:7" ht="13.5" thickBot="1" x14ac:dyDescent="0.25">
      <c r="A4" s="10"/>
      <c r="B4" s="6" t="s">
        <v>2</v>
      </c>
      <c r="C4" s="1"/>
      <c r="D4" s="1"/>
      <c r="E4" s="1"/>
      <c r="F4" s="2"/>
      <c r="G4" s="3"/>
    </row>
    <row r="5" spans="1:7" ht="26.25" thickBot="1" x14ac:dyDescent="0.25">
      <c r="A5" s="1"/>
      <c r="B5" s="38" t="s">
        <v>3</v>
      </c>
      <c r="C5" s="39" t="s">
        <v>4</v>
      </c>
      <c r="D5" s="40" t="s">
        <v>5</v>
      </c>
      <c r="E5" s="40" t="s">
        <v>6</v>
      </c>
      <c r="F5" s="41" t="s">
        <v>7</v>
      </c>
      <c r="G5" s="42" t="s">
        <v>8</v>
      </c>
    </row>
    <row r="6" spans="1:7" x14ac:dyDescent="0.2">
      <c r="A6" s="1"/>
      <c r="B6" s="73" t="s">
        <v>354</v>
      </c>
      <c r="C6" s="89"/>
      <c r="D6" s="67"/>
      <c r="E6" s="67"/>
      <c r="F6" s="68"/>
      <c r="G6" s="106"/>
    </row>
    <row r="7" spans="1:7" x14ac:dyDescent="0.2">
      <c r="A7" s="1"/>
      <c r="B7" s="45" t="s">
        <v>355</v>
      </c>
      <c r="C7" s="51"/>
      <c r="D7" s="16"/>
      <c r="E7" s="86" t="s">
        <v>185</v>
      </c>
      <c r="F7" s="87"/>
      <c r="G7" s="88" t="s">
        <v>185</v>
      </c>
    </row>
    <row r="8" spans="1:7" x14ac:dyDescent="0.2">
      <c r="A8" s="11"/>
      <c r="B8" s="45" t="s">
        <v>184</v>
      </c>
      <c r="C8" s="51"/>
      <c r="D8" s="16"/>
      <c r="E8" s="86" t="s">
        <v>185</v>
      </c>
      <c r="F8" s="87"/>
      <c r="G8" s="88" t="s">
        <v>185</v>
      </c>
    </row>
    <row r="9" spans="1:7" x14ac:dyDescent="0.2">
      <c r="A9" s="11"/>
      <c r="B9" s="61"/>
      <c r="C9" s="15"/>
      <c r="D9" s="16"/>
      <c r="E9" s="16"/>
      <c r="F9" s="17"/>
      <c r="G9" s="62"/>
    </row>
    <row r="10" spans="1:7" x14ac:dyDescent="0.2">
      <c r="A10" s="11"/>
      <c r="B10" s="46" t="s">
        <v>356</v>
      </c>
      <c r="C10" s="50"/>
      <c r="D10" s="16"/>
      <c r="E10" s="16"/>
      <c r="F10" s="17"/>
      <c r="G10" s="62"/>
    </row>
    <row r="11" spans="1:7" x14ac:dyDescent="0.2">
      <c r="A11" s="11"/>
      <c r="B11" s="45" t="s">
        <v>360</v>
      </c>
      <c r="C11" s="51"/>
      <c r="D11" s="16"/>
      <c r="E11" s="86" t="s">
        <v>185</v>
      </c>
      <c r="F11" s="87"/>
      <c r="G11" s="88" t="s">
        <v>185</v>
      </c>
    </row>
    <row r="12" spans="1:7" x14ac:dyDescent="0.2">
      <c r="A12" s="11"/>
      <c r="B12" s="45" t="s">
        <v>358</v>
      </c>
      <c r="C12" s="51"/>
      <c r="D12" s="16"/>
      <c r="E12" s="86" t="s">
        <v>185</v>
      </c>
      <c r="F12" s="87"/>
      <c r="G12" s="88" t="s">
        <v>185</v>
      </c>
    </row>
    <row r="13" spans="1:7" x14ac:dyDescent="0.2">
      <c r="A13" s="1"/>
      <c r="B13" s="45" t="s">
        <v>359</v>
      </c>
      <c r="C13" s="51"/>
      <c r="D13" s="16"/>
      <c r="E13" s="86" t="s">
        <v>185</v>
      </c>
      <c r="F13" s="87"/>
      <c r="G13" s="88" t="s">
        <v>185</v>
      </c>
    </row>
    <row r="14" spans="1:7" x14ac:dyDescent="0.2">
      <c r="A14" s="1"/>
      <c r="B14" s="45"/>
      <c r="C14" s="51"/>
      <c r="D14" s="16"/>
      <c r="E14" s="86"/>
      <c r="F14" s="87"/>
      <c r="G14" s="88"/>
    </row>
    <row r="15" spans="1:7" x14ac:dyDescent="0.2">
      <c r="A15" s="1"/>
      <c r="B15" s="27" t="s">
        <v>9</v>
      </c>
      <c r="C15" s="19" t="s">
        <v>1</v>
      </c>
      <c r="D15" s="19" t="s">
        <v>1</v>
      </c>
      <c r="E15" s="19" t="s">
        <v>1</v>
      </c>
      <c r="F15" s="20" t="s">
        <v>1</v>
      </c>
      <c r="G15" s="28" t="s">
        <v>1</v>
      </c>
    </row>
    <row r="16" spans="1:7" x14ac:dyDescent="0.2">
      <c r="A16" s="1"/>
      <c r="B16" s="27" t="s">
        <v>10</v>
      </c>
      <c r="C16" s="19" t="s">
        <v>1</v>
      </c>
      <c r="D16" s="19" t="s">
        <v>1</v>
      </c>
      <c r="E16" s="19" t="s">
        <v>1</v>
      </c>
      <c r="F16" s="20" t="s">
        <v>1</v>
      </c>
      <c r="G16" s="28" t="s">
        <v>1</v>
      </c>
    </row>
    <row r="17" spans="1:7" x14ac:dyDescent="0.2">
      <c r="A17" s="11"/>
      <c r="B17" s="29" t="s">
        <v>350</v>
      </c>
      <c r="C17" s="19" t="s">
        <v>351</v>
      </c>
      <c r="D17" s="19" t="s">
        <v>352</v>
      </c>
      <c r="E17" s="21">
        <v>420000</v>
      </c>
      <c r="F17" s="22">
        <v>400.06932</v>
      </c>
      <c r="G17" s="30">
        <v>0.31984009878272845</v>
      </c>
    </row>
    <row r="18" spans="1:7" x14ac:dyDescent="0.2">
      <c r="A18" s="11"/>
      <c r="B18" s="29" t="s">
        <v>348</v>
      </c>
      <c r="C18" s="19" t="s">
        <v>349</v>
      </c>
      <c r="D18" s="19" t="s">
        <v>13</v>
      </c>
      <c r="E18" s="21">
        <v>200000</v>
      </c>
      <c r="F18" s="22">
        <v>191.53360000000001</v>
      </c>
      <c r="G18" s="30">
        <v>0.15312377750988654</v>
      </c>
    </row>
    <row r="19" spans="1:7" x14ac:dyDescent="0.2">
      <c r="A19" s="11"/>
      <c r="B19" s="29" t="s">
        <v>346</v>
      </c>
      <c r="C19" s="19" t="s">
        <v>347</v>
      </c>
      <c r="D19" s="19" t="s">
        <v>24</v>
      </c>
      <c r="E19" s="21">
        <v>150000</v>
      </c>
      <c r="F19" s="22">
        <v>146.48249999999999</v>
      </c>
      <c r="G19" s="30">
        <v>0.11710714850601646</v>
      </c>
    </row>
    <row r="20" spans="1:7" x14ac:dyDescent="0.2">
      <c r="A20" s="11"/>
      <c r="B20" s="29" t="s">
        <v>344</v>
      </c>
      <c r="C20" s="19" t="s">
        <v>345</v>
      </c>
      <c r="D20" s="19" t="s">
        <v>13</v>
      </c>
      <c r="E20" s="21">
        <v>50000</v>
      </c>
      <c r="F20" s="22">
        <v>49.920923500000001</v>
      </c>
      <c r="G20" s="30">
        <v>3.9909866379069084E-2</v>
      </c>
    </row>
    <row r="21" spans="1:7" x14ac:dyDescent="0.2">
      <c r="A21" s="11"/>
      <c r="B21" s="29" t="s">
        <v>186</v>
      </c>
      <c r="C21" s="19" t="s">
        <v>187</v>
      </c>
      <c r="D21" s="19" t="s">
        <v>13</v>
      </c>
      <c r="E21" s="21">
        <v>40000</v>
      </c>
      <c r="F21" s="22">
        <v>38.356839999999998</v>
      </c>
      <c r="G21" s="30">
        <v>3.0664824522393545E-2</v>
      </c>
    </row>
    <row r="22" spans="1:7" x14ac:dyDescent="0.2">
      <c r="A22" s="1"/>
      <c r="B22" s="27" t="s">
        <v>29</v>
      </c>
      <c r="C22" s="19" t="s">
        <v>1</v>
      </c>
      <c r="D22" s="19" t="s">
        <v>1</v>
      </c>
      <c r="E22" s="19" t="s">
        <v>1</v>
      </c>
      <c r="F22" s="23">
        <v>826.36318349999999</v>
      </c>
      <c r="G22" s="31">
        <v>0.66064571570009401</v>
      </c>
    </row>
    <row r="23" spans="1:7" x14ac:dyDescent="0.2">
      <c r="A23" s="1"/>
      <c r="B23" s="27" t="s">
        <v>30</v>
      </c>
      <c r="C23" s="19" t="s">
        <v>1</v>
      </c>
      <c r="D23" s="19" t="s">
        <v>1</v>
      </c>
      <c r="E23" s="19" t="s">
        <v>1</v>
      </c>
      <c r="F23" s="23">
        <v>826.36318349999999</v>
      </c>
      <c r="G23" s="31">
        <v>0.66064571570009401</v>
      </c>
    </row>
    <row r="24" spans="1:7" x14ac:dyDescent="0.2">
      <c r="A24" s="1"/>
      <c r="B24" s="27"/>
      <c r="C24" s="19"/>
      <c r="D24" s="19"/>
      <c r="E24" s="19"/>
      <c r="F24" s="23"/>
      <c r="G24" s="31"/>
    </row>
    <row r="25" spans="1:7" x14ac:dyDescent="0.2">
      <c r="A25" s="1"/>
      <c r="B25" s="27" t="s">
        <v>195</v>
      </c>
      <c r="C25" s="19" t="s">
        <v>1</v>
      </c>
      <c r="D25" s="19" t="s">
        <v>1</v>
      </c>
      <c r="E25" s="19" t="s">
        <v>1</v>
      </c>
      <c r="F25" s="20" t="s">
        <v>1</v>
      </c>
      <c r="G25" s="28" t="s">
        <v>1</v>
      </c>
    </row>
    <row r="26" spans="1:7" x14ac:dyDescent="0.2">
      <c r="A26" s="1"/>
      <c r="B26" s="27" t="s">
        <v>196</v>
      </c>
      <c r="C26" s="19" t="s">
        <v>1</v>
      </c>
      <c r="D26" s="19" t="s">
        <v>1</v>
      </c>
      <c r="E26" s="19" t="s">
        <v>1</v>
      </c>
      <c r="F26" s="20" t="s">
        <v>1</v>
      </c>
      <c r="G26" s="28" t="s">
        <v>1</v>
      </c>
    </row>
    <row r="27" spans="1:7" x14ac:dyDescent="0.2">
      <c r="A27" s="11"/>
      <c r="B27" s="29" t="s">
        <v>368</v>
      </c>
      <c r="C27" s="19" t="s">
        <v>338</v>
      </c>
      <c r="D27" s="19" t="s">
        <v>1</v>
      </c>
      <c r="E27" s="21">
        <v>2200440</v>
      </c>
      <c r="F27" s="22">
        <v>231.506092</v>
      </c>
      <c r="G27" s="30">
        <v>0.18508025392720295</v>
      </c>
    </row>
    <row r="28" spans="1:7" x14ac:dyDescent="0.2">
      <c r="A28" s="1"/>
      <c r="B28" s="27" t="s">
        <v>29</v>
      </c>
      <c r="C28" s="19" t="s">
        <v>1</v>
      </c>
      <c r="D28" s="19" t="s">
        <v>1</v>
      </c>
      <c r="E28" s="19" t="s">
        <v>1</v>
      </c>
      <c r="F28" s="23">
        <v>231.506092</v>
      </c>
      <c r="G28" s="31">
        <v>0.18508025392720295</v>
      </c>
    </row>
    <row r="29" spans="1:7" x14ac:dyDescent="0.2">
      <c r="A29" s="1"/>
      <c r="B29" s="27"/>
      <c r="C29" s="19"/>
      <c r="D29" s="19"/>
      <c r="E29" s="19"/>
      <c r="F29" s="23"/>
      <c r="G29" s="31"/>
    </row>
    <row r="30" spans="1:7" x14ac:dyDescent="0.2">
      <c r="A30" s="1"/>
      <c r="B30" s="27" t="s">
        <v>31</v>
      </c>
      <c r="C30" s="19" t="s">
        <v>1</v>
      </c>
      <c r="D30" s="19" t="s">
        <v>1</v>
      </c>
      <c r="E30" s="19" t="s">
        <v>1</v>
      </c>
      <c r="F30" s="20" t="s">
        <v>1</v>
      </c>
      <c r="G30" s="28" t="s">
        <v>1</v>
      </c>
    </row>
    <row r="31" spans="1:7" x14ac:dyDescent="0.2">
      <c r="A31" s="11"/>
      <c r="B31" s="29" t="s">
        <v>32</v>
      </c>
      <c r="C31" s="19" t="s">
        <v>1</v>
      </c>
      <c r="D31" s="19" t="s">
        <v>33</v>
      </c>
      <c r="E31" s="21"/>
      <c r="F31" s="22">
        <v>210.21305000000001</v>
      </c>
      <c r="G31" s="30">
        <v>0.16805728236651246</v>
      </c>
    </row>
    <row r="32" spans="1:7" x14ac:dyDescent="0.2">
      <c r="A32" s="1"/>
      <c r="B32" s="27" t="s">
        <v>29</v>
      </c>
      <c r="C32" s="19" t="s">
        <v>1</v>
      </c>
      <c r="D32" s="19" t="s">
        <v>1</v>
      </c>
      <c r="E32" s="19" t="s">
        <v>1</v>
      </c>
      <c r="F32" s="23">
        <v>210.21305000000001</v>
      </c>
      <c r="G32" s="31">
        <v>0.16805728236651246</v>
      </c>
    </row>
    <row r="33" spans="1:7" x14ac:dyDescent="0.2">
      <c r="A33" s="1"/>
      <c r="B33" s="27"/>
      <c r="C33" s="19"/>
      <c r="D33" s="19"/>
      <c r="E33" s="19"/>
      <c r="F33" s="23"/>
      <c r="G33" s="31"/>
    </row>
    <row r="34" spans="1:7" x14ac:dyDescent="0.2">
      <c r="A34" s="1"/>
      <c r="B34" s="27" t="s">
        <v>34</v>
      </c>
      <c r="C34" s="19" t="s">
        <v>1</v>
      </c>
      <c r="D34" s="19" t="s">
        <v>1</v>
      </c>
      <c r="E34" s="19" t="s">
        <v>1</v>
      </c>
      <c r="F34" s="48">
        <v>-17.240665799999999</v>
      </c>
      <c r="G34" s="49">
        <v>-1.3783251993809493E-2</v>
      </c>
    </row>
    <row r="35" spans="1:7" x14ac:dyDescent="0.2">
      <c r="A35" s="1"/>
      <c r="B35" s="27" t="s">
        <v>29</v>
      </c>
      <c r="C35" s="19"/>
      <c r="D35" s="19"/>
      <c r="E35" s="19"/>
      <c r="F35" s="23">
        <v>-17.240665799999999</v>
      </c>
      <c r="G35" s="31">
        <v>-1.3783251993809493E-2</v>
      </c>
    </row>
    <row r="36" spans="1:7" ht="13.5" thickBot="1" x14ac:dyDescent="0.25">
      <c r="A36" s="1"/>
      <c r="B36" s="82" t="s">
        <v>30</v>
      </c>
      <c r="C36" s="83"/>
      <c r="D36" s="83"/>
      <c r="E36" s="83"/>
      <c r="F36" s="84">
        <f>F28+F32+F35</f>
        <v>424.47847620000005</v>
      </c>
      <c r="G36" s="31">
        <f>G28+G32+G35</f>
        <v>0.33935428429990594</v>
      </c>
    </row>
    <row r="37" spans="1:7" ht="14.25" thickTop="1" thickBot="1" x14ac:dyDescent="0.25">
      <c r="A37" s="1"/>
      <c r="B37" s="78" t="s">
        <v>35</v>
      </c>
      <c r="C37" s="79" t="s">
        <v>1</v>
      </c>
      <c r="D37" s="79" t="s">
        <v>1</v>
      </c>
      <c r="E37" s="79" t="s">
        <v>1</v>
      </c>
      <c r="F37" s="80">
        <v>1250.8416597</v>
      </c>
      <c r="G37" s="81">
        <v>1</v>
      </c>
    </row>
    <row r="38" spans="1:7" x14ac:dyDescent="0.2">
      <c r="A38" s="1"/>
      <c r="B38" s="10" t="s">
        <v>1</v>
      </c>
      <c r="C38" s="1"/>
      <c r="D38" s="1"/>
      <c r="E38" s="1"/>
      <c r="F38" s="2"/>
      <c r="G38" s="3"/>
    </row>
    <row r="39" spans="1:7" x14ac:dyDescent="0.2">
      <c r="A39" s="1"/>
      <c r="B39" s="6" t="s">
        <v>33</v>
      </c>
      <c r="C39" s="1"/>
      <c r="D39" s="1"/>
      <c r="E39" s="1"/>
      <c r="F39" s="2"/>
      <c r="G39" s="3"/>
    </row>
    <row r="40" spans="1:7" x14ac:dyDescent="0.2">
      <c r="A40" s="1"/>
      <c r="B40" s="6" t="s">
        <v>36</v>
      </c>
      <c r="C40" s="1"/>
      <c r="D40" s="1"/>
      <c r="E40" s="1"/>
      <c r="F40" s="2"/>
      <c r="G40" s="3"/>
    </row>
    <row r="41" spans="1:7" x14ac:dyDescent="0.2">
      <c r="A41" s="1"/>
      <c r="B41" s="6" t="s">
        <v>37</v>
      </c>
      <c r="C41" s="1"/>
      <c r="D41" s="1"/>
      <c r="E41" s="1"/>
      <c r="F41" s="2"/>
      <c r="G41" s="3"/>
    </row>
    <row r="42" spans="1:7" ht="13.5" thickBot="1" x14ac:dyDescent="0.25">
      <c r="A42" s="1"/>
      <c r="B42" s="6" t="s">
        <v>1</v>
      </c>
      <c r="C42" s="1"/>
      <c r="D42" s="1"/>
      <c r="E42" s="1"/>
      <c r="F42" s="2"/>
      <c r="G42" s="3"/>
    </row>
    <row r="43" spans="1:7" ht="13.5" thickBot="1" x14ac:dyDescent="0.25">
      <c r="A43" s="1"/>
      <c r="B43" s="109" t="s">
        <v>380</v>
      </c>
      <c r="C43" s="110">
        <v>143.63999999999999</v>
      </c>
      <c r="D43" s="1"/>
      <c r="E43" s="1"/>
      <c r="F43" s="2"/>
      <c r="G43" s="3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showGridLines="0" zoomScaleNormal="100" workbookViewId="0">
      <selection activeCell="B4" sqref="B4"/>
    </sheetView>
  </sheetViews>
  <sheetFormatPr defaultRowHeight="12.75" x14ac:dyDescent="0.2"/>
  <cols>
    <col min="1" max="1" width="11.42578125" style="4" bestFit="1" customWidth="1"/>
    <col min="2" max="2" width="50.7109375" style="4" customWidth="1"/>
    <col min="3" max="5" width="18.85546875" style="4" customWidth="1"/>
    <col min="6" max="6" width="18.85546875" style="7" customWidth="1"/>
    <col min="7" max="7" width="18.85546875" style="8" customWidth="1"/>
    <col min="8" max="16384" width="9.140625" style="4"/>
  </cols>
  <sheetData>
    <row r="1" spans="1:7" ht="18" x14ac:dyDescent="0.2">
      <c r="A1" s="1"/>
      <c r="B1" s="135" t="s">
        <v>377</v>
      </c>
      <c r="C1" s="136"/>
      <c r="D1" s="136"/>
      <c r="E1" s="136"/>
      <c r="F1" s="136"/>
      <c r="G1" s="137"/>
    </row>
    <row r="2" spans="1:7" ht="13.5" thickBot="1" x14ac:dyDescent="0.25">
      <c r="A2" s="1"/>
      <c r="B2" s="126" t="s">
        <v>378</v>
      </c>
      <c r="C2" s="127"/>
      <c r="D2" s="127"/>
      <c r="E2" s="127"/>
      <c r="F2" s="127"/>
      <c r="G2" s="128"/>
    </row>
    <row r="3" spans="1:7" x14ac:dyDescent="0.2">
      <c r="A3" s="1"/>
      <c r="B3" s="9" t="s">
        <v>1</v>
      </c>
      <c r="C3" s="1"/>
      <c r="D3" s="1"/>
      <c r="E3" s="1"/>
      <c r="F3" s="2"/>
      <c r="G3" s="3"/>
    </row>
    <row r="4" spans="1:7" ht="13.5" thickBot="1" x14ac:dyDescent="0.25">
      <c r="A4" s="10"/>
      <c r="B4" s="6" t="s">
        <v>2</v>
      </c>
      <c r="C4" s="1"/>
      <c r="D4" s="1"/>
      <c r="E4" s="1"/>
      <c r="F4" s="2"/>
      <c r="G4" s="3"/>
    </row>
    <row r="5" spans="1:7" ht="26.25" thickBot="1" x14ac:dyDescent="0.25">
      <c r="A5" s="1"/>
      <c r="B5" s="38" t="s">
        <v>3</v>
      </c>
      <c r="C5" s="39" t="s">
        <v>4</v>
      </c>
      <c r="D5" s="40" t="s">
        <v>5</v>
      </c>
      <c r="E5" s="40" t="s">
        <v>6</v>
      </c>
      <c r="F5" s="41" t="s">
        <v>7</v>
      </c>
      <c r="G5" s="42" t="s">
        <v>8</v>
      </c>
    </row>
    <row r="6" spans="1:7" x14ac:dyDescent="0.2">
      <c r="A6" s="1"/>
      <c r="B6" s="73" t="s">
        <v>354</v>
      </c>
      <c r="C6" s="89"/>
      <c r="D6" s="67"/>
      <c r="E6" s="67"/>
      <c r="F6" s="68"/>
      <c r="G6" s="69"/>
    </row>
    <row r="7" spans="1:7" x14ac:dyDescent="0.2">
      <c r="A7" s="1"/>
      <c r="B7" s="45" t="s">
        <v>355</v>
      </c>
      <c r="C7" s="15"/>
      <c r="D7" s="16"/>
      <c r="E7" s="99" t="s">
        <v>185</v>
      </c>
      <c r="F7" s="99" t="s">
        <v>185</v>
      </c>
      <c r="G7" s="104" t="s">
        <v>185</v>
      </c>
    </row>
    <row r="8" spans="1:7" x14ac:dyDescent="0.2">
      <c r="A8" s="11"/>
      <c r="B8" s="45" t="s">
        <v>184</v>
      </c>
      <c r="C8" s="15"/>
      <c r="D8" s="16"/>
      <c r="E8" s="99" t="s">
        <v>185</v>
      </c>
      <c r="F8" s="99" t="s">
        <v>185</v>
      </c>
      <c r="G8" s="104" t="s">
        <v>185</v>
      </c>
    </row>
    <row r="9" spans="1:7" x14ac:dyDescent="0.2">
      <c r="A9" s="1"/>
      <c r="B9" s="45"/>
      <c r="C9" s="15"/>
      <c r="D9" s="16"/>
      <c r="E9" s="101"/>
      <c r="F9" s="105"/>
      <c r="G9" s="103"/>
    </row>
    <row r="10" spans="1:7" x14ac:dyDescent="0.2">
      <c r="A10" s="1"/>
      <c r="B10" s="46" t="s">
        <v>356</v>
      </c>
      <c r="C10" s="15"/>
      <c r="D10" s="16"/>
      <c r="E10" s="101"/>
      <c r="F10" s="105"/>
      <c r="G10" s="103"/>
    </row>
    <row r="11" spans="1:7" x14ac:dyDescent="0.2">
      <c r="A11" s="1"/>
      <c r="B11" s="45" t="s">
        <v>357</v>
      </c>
      <c r="C11" s="15"/>
      <c r="D11" s="16"/>
      <c r="E11" s="99" t="s">
        <v>185</v>
      </c>
      <c r="F11" s="99" t="s">
        <v>185</v>
      </c>
      <c r="G11" s="104" t="s">
        <v>185</v>
      </c>
    </row>
    <row r="12" spans="1:7" x14ac:dyDescent="0.2">
      <c r="A12" s="11"/>
      <c r="B12" s="45" t="s">
        <v>358</v>
      </c>
      <c r="C12" s="15"/>
      <c r="D12" s="16"/>
      <c r="E12" s="99" t="s">
        <v>185</v>
      </c>
      <c r="F12" s="99" t="s">
        <v>185</v>
      </c>
      <c r="G12" s="104" t="s">
        <v>185</v>
      </c>
    </row>
    <row r="13" spans="1:7" x14ac:dyDescent="0.2">
      <c r="A13" s="1"/>
      <c r="B13" s="45" t="s">
        <v>359</v>
      </c>
      <c r="C13" s="15"/>
      <c r="D13" s="16"/>
      <c r="E13" s="99" t="s">
        <v>185</v>
      </c>
      <c r="F13" s="99" t="s">
        <v>185</v>
      </c>
      <c r="G13" s="104" t="s">
        <v>185</v>
      </c>
    </row>
    <row r="14" spans="1:7" x14ac:dyDescent="0.2">
      <c r="A14" s="1"/>
      <c r="B14" s="45"/>
      <c r="C14" s="15"/>
      <c r="D14" s="16"/>
      <c r="E14" s="86"/>
      <c r="F14" s="17"/>
      <c r="G14" s="88"/>
    </row>
    <row r="15" spans="1:7" x14ac:dyDescent="0.2">
      <c r="A15" s="1"/>
      <c r="B15" s="27" t="s">
        <v>9</v>
      </c>
      <c r="C15" s="19" t="s">
        <v>1</v>
      </c>
      <c r="D15" s="19" t="s">
        <v>1</v>
      </c>
      <c r="E15" s="19" t="s">
        <v>1</v>
      </c>
      <c r="F15" s="20" t="s">
        <v>1</v>
      </c>
      <c r="G15" s="28" t="s">
        <v>1</v>
      </c>
    </row>
    <row r="16" spans="1:7" x14ac:dyDescent="0.2">
      <c r="A16" s="1"/>
      <c r="B16" s="27" t="s">
        <v>10</v>
      </c>
      <c r="C16" s="19" t="s">
        <v>1</v>
      </c>
      <c r="D16" s="19" t="s">
        <v>1</v>
      </c>
      <c r="E16" s="19" t="s">
        <v>1</v>
      </c>
      <c r="F16" s="20" t="s">
        <v>1</v>
      </c>
      <c r="G16" s="28" t="s">
        <v>1</v>
      </c>
    </row>
    <row r="17" spans="1:7" x14ac:dyDescent="0.2">
      <c r="A17" s="11"/>
      <c r="B17" s="29" t="s">
        <v>186</v>
      </c>
      <c r="C17" s="19" t="s">
        <v>187</v>
      </c>
      <c r="D17" s="19" t="s">
        <v>13</v>
      </c>
      <c r="E17" s="21">
        <v>610000</v>
      </c>
      <c r="F17" s="22">
        <v>584.94181000000003</v>
      </c>
      <c r="G17" s="30">
        <v>0.27607867798879698</v>
      </c>
    </row>
    <row r="18" spans="1:7" x14ac:dyDescent="0.2">
      <c r="A18" s="11"/>
      <c r="B18" s="29" t="s">
        <v>188</v>
      </c>
      <c r="C18" s="19" t="s">
        <v>189</v>
      </c>
      <c r="D18" s="19" t="s">
        <v>24</v>
      </c>
      <c r="E18" s="21">
        <v>600000</v>
      </c>
      <c r="F18" s="22">
        <v>575.26020000000005</v>
      </c>
      <c r="G18" s="30">
        <v>0.27150918741057495</v>
      </c>
    </row>
    <row r="19" spans="1:7" x14ac:dyDescent="0.2">
      <c r="A19" s="11"/>
      <c r="B19" s="29" t="s">
        <v>190</v>
      </c>
      <c r="C19" s="19" t="s">
        <v>191</v>
      </c>
      <c r="D19" s="19" t="s">
        <v>13</v>
      </c>
      <c r="E19" s="21">
        <v>500000</v>
      </c>
      <c r="F19" s="22">
        <v>479.89600000000002</v>
      </c>
      <c r="G19" s="30">
        <v>0.22649954403517797</v>
      </c>
    </row>
    <row r="20" spans="1:7" x14ac:dyDescent="0.2">
      <c r="A20" s="1"/>
      <c r="B20" s="27" t="s">
        <v>29</v>
      </c>
      <c r="C20" s="19" t="s">
        <v>1</v>
      </c>
      <c r="D20" s="19" t="s">
        <v>1</v>
      </c>
      <c r="E20" s="19" t="s">
        <v>1</v>
      </c>
      <c r="F20" s="23">
        <v>1640.0980099999999</v>
      </c>
      <c r="G20" s="31">
        <v>0.7740874094345499</v>
      </c>
    </row>
    <row r="21" spans="1:7" x14ac:dyDescent="0.2">
      <c r="A21" s="1"/>
      <c r="B21" s="27"/>
      <c r="C21" s="19"/>
      <c r="D21" s="19"/>
      <c r="E21" s="19"/>
      <c r="F21" s="23"/>
      <c r="G21" s="31"/>
    </row>
    <row r="22" spans="1:7" x14ac:dyDescent="0.2">
      <c r="A22" s="1"/>
      <c r="B22" s="27" t="s">
        <v>192</v>
      </c>
      <c r="C22" s="19" t="s">
        <v>1</v>
      </c>
      <c r="D22" s="19" t="s">
        <v>1</v>
      </c>
      <c r="E22" s="19" t="s">
        <v>1</v>
      </c>
      <c r="F22" s="20" t="s">
        <v>1</v>
      </c>
      <c r="G22" s="28" t="s">
        <v>1</v>
      </c>
    </row>
    <row r="23" spans="1:7" x14ac:dyDescent="0.2">
      <c r="A23" s="11"/>
      <c r="B23" s="29" t="s">
        <v>193</v>
      </c>
      <c r="C23" s="19" t="s">
        <v>194</v>
      </c>
      <c r="D23" s="19" t="s">
        <v>13</v>
      </c>
      <c r="E23" s="21">
        <v>500000</v>
      </c>
      <c r="F23" s="22">
        <v>478.70100000000002</v>
      </c>
      <c r="G23" s="30">
        <v>0.22593553234280705</v>
      </c>
    </row>
    <row r="24" spans="1:7" x14ac:dyDescent="0.2">
      <c r="A24" s="1"/>
      <c r="B24" s="27" t="s">
        <v>29</v>
      </c>
      <c r="C24" s="19" t="s">
        <v>1</v>
      </c>
      <c r="D24" s="19" t="s">
        <v>1</v>
      </c>
      <c r="E24" s="19" t="s">
        <v>1</v>
      </c>
      <c r="F24" s="23">
        <v>478.70100000000002</v>
      </c>
      <c r="G24" s="31">
        <v>0.22593553234280705</v>
      </c>
    </row>
    <row r="25" spans="1:7" x14ac:dyDescent="0.2">
      <c r="A25" s="1"/>
      <c r="B25" s="27" t="s">
        <v>30</v>
      </c>
      <c r="C25" s="19" t="s">
        <v>1</v>
      </c>
      <c r="D25" s="19" t="s">
        <v>1</v>
      </c>
      <c r="E25" s="19" t="s">
        <v>1</v>
      </c>
      <c r="F25" s="23">
        <v>2118.7990100000002</v>
      </c>
      <c r="G25" s="31">
        <v>1.000022941777357</v>
      </c>
    </row>
    <row r="26" spans="1:7" x14ac:dyDescent="0.2">
      <c r="A26" s="1"/>
      <c r="B26" s="27"/>
      <c r="C26" s="19"/>
      <c r="D26" s="19"/>
      <c r="E26" s="19"/>
      <c r="F26" s="23"/>
      <c r="G26" s="31"/>
    </row>
    <row r="27" spans="1:7" x14ac:dyDescent="0.2">
      <c r="A27" s="1"/>
      <c r="B27" s="27" t="s">
        <v>195</v>
      </c>
      <c r="C27" s="19" t="s">
        <v>1</v>
      </c>
      <c r="D27" s="19" t="s">
        <v>1</v>
      </c>
      <c r="E27" s="19" t="s">
        <v>1</v>
      </c>
      <c r="F27" s="20" t="s">
        <v>1</v>
      </c>
      <c r="G27" s="28" t="s">
        <v>1</v>
      </c>
    </row>
    <row r="28" spans="1:7" x14ac:dyDescent="0.2">
      <c r="A28" s="1"/>
      <c r="B28" s="27" t="s">
        <v>196</v>
      </c>
      <c r="C28" s="19" t="s">
        <v>1</v>
      </c>
      <c r="D28" s="19" t="s">
        <v>1</v>
      </c>
      <c r="E28" s="19" t="s">
        <v>1</v>
      </c>
      <c r="F28" s="20" t="s">
        <v>1</v>
      </c>
      <c r="G28" s="28" t="s">
        <v>1</v>
      </c>
    </row>
    <row r="29" spans="1:7" x14ac:dyDescent="0.2">
      <c r="A29" s="11"/>
      <c r="B29" s="29" t="s">
        <v>197</v>
      </c>
      <c r="C29" s="19" t="s">
        <v>198</v>
      </c>
      <c r="D29" s="19" t="s">
        <v>1</v>
      </c>
      <c r="E29" s="21">
        <v>27.793750299999999</v>
      </c>
      <c r="F29" s="22">
        <v>0.39260430000000002</v>
      </c>
      <c r="G29" s="30">
        <v>1.8529992943523227E-4</v>
      </c>
    </row>
    <row r="30" spans="1:7" x14ac:dyDescent="0.2">
      <c r="A30" s="1"/>
      <c r="B30" s="27" t="s">
        <v>29</v>
      </c>
      <c r="C30" s="19" t="s">
        <v>1</v>
      </c>
      <c r="D30" s="19" t="s">
        <v>1</v>
      </c>
      <c r="E30" s="19" t="s">
        <v>1</v>
      </c>
      <c r="F30" s="23">
        <v>0.39260430000000002</v>
      </c>
      <c r="G30" s="31">
        <v>1.8529992943523227E-4</v>
      </c>
    </row>
    <row r="31" spans="1:7" x14ac:dyDescent="0.2">
      <c r="A31" s="1"/>
      <c r="B31" s="27"/>
      <c r="C31" s="19"/>
      <c r="D31" s="19"/>
      <c r="E31" s="19"/>
      <c r="F31" s="23"/>
      <c r="G31" s="31"/>
    </row>
    <row r="32" spans="1:7" x14ac:dyDescent="0.2">
      <c r="A32" s="1"/>
      <c r="B32" s="27" t="s">
        <v>34</v>
      </c>
      <c r="C32" s="19" t="s">
        <v>1</v>
      </c>
      <c r="D32" s="19" t="s">
        <v>1</v>
      </c>
      <c r="E32" s="19" t="s">
        <v>1</v>
      </c>
      <c r="F32" s="48">
        <v>-0.4412122</v>
      </c>
      <c r="G32" s="49">
        <v>-2.0824170679216975E-4</v>
      </c>
    </row>
    <row r="33" spans="1:7" x14ac:dyDescent="0.2">
      <c r="A33" s="1"/>
      <c r="B33" s="47" t="s">
        <v>29</v>
      </c>
      <c r="C33" s="19"/>
      <c r="D33" s="19"/>
      <c r="E33" s="19"/>
      <c r="F33" s="23">
        <v>-0.4412122</v>
      </c>
      <c r="G33" s="31">
        <v>-2.0824170679216975E-4</v>
      </c>
    </row>
    <row r="34" spans="1:7" x14ac:dyDescent="0.2">
      <c r="A34" s="1"/>
      <c r="B34" s="47" t="s">
        <v>30</v>
      </c>
      <c r="C34" s="19"/>
      <c r="D34" s="19"/>
      <c r="E34" s="19"/>
      <c r="F34" s="23">
        <v>-4.8607899999999982E-2</v>
      </c>
      <c r="G34" s="31">
        <v>-2.2941777356937483E-5</v>
      </c>
    </row>
    <row r="35" spans="1:7" ht="13.5" thickBot="1" x14ac:dyDescent="0.25">
      <c r="A35" s="1"/>
      <c r="B35" s="82"/>
      <c r="C35" s="83"/>
      <c r="D35" s="83"/>
      <c r="E35" s="83"/>
      <c r="F35" s="84"/>
      <c r="G35" s="85"/>
    </row>
    <row r="36" spans="1:7" ht="14.25" thickTop="1" thickBot="1" x14ac:dyDescent="0.25">
      <c r="A36" s="1"/>
      <c r="B36" s="78" t="s">
        <v>35</v>
      </c>
      <c r="C36" s="79" t="s">
        <v>1</v>
      </c>
      <c r="D36" s="79" t="s">
        <v>1</v>
      </c>
      <c r="E36" s="79" t="s">
        <v>1</v>
      </c>
      <c r="F36" s="80">
        <v>2118.7504021</v>
      </c>
      <c r="G36" s="81">
        <v>1</v>
      </c>
    </row>
    <row r="37" spans="1:7" x14ac:dyDescent="0.2">
      <c r="A37" s="1"/>
      <c r="B37" s="10" t="s">
        <v>1</v>
      </c>
      <c r="C37" s="1"/>
      <c r="D37" s="1"/>
      <c r="E37" s="1"/>
      <c r="F37" s="2"/>
      <c r="G37" s="3"/>
    </row>
    <row r="38" spans="1:7" x14ac:dyDescent="0.2">
      <c r="A38" s="1"/>
      <c r="B38" s="6" t="s">
        <v>33</v>
      </c>
      <c r="C38" s="1"/>
      <c r="D38" s="1"/>
      <c r="E38" s="1"/>
      <c r="F38" s="2"/>
      <c r="G38" s="3"/>
    </row>
    <row r="39" spans="1:7" x14ac:dyDescent="0.2">
      <c r="A39" s="1"/>
      <c r="B39" s="6" t="s">
        <v>36</v>
      </c>
      <c r="C39" s="1"/>
      <c r="D39" s="1"/>
      <c r="E39" s="1"/>
      <c r="F39" s="2"/>
      <c r="G39" s="3"/>
    </row>
    <row r="40" spans="1:7" x14ac:dyDescent="0.2">
      <c r="A40" s="1"/>
      <c r="B40" s="6" t="s">
        <v>37</v>
      </c>
      <c r="C40" s="1"/>
      <c r="D40" s="1"/>
      <c r="E40" s="1"/>
      <c r="F40" s="2"/>
      <c r="G40" s="3"/>
    </row>
    <row r="41" spans="1:7" ht="13.5" thickBot="1" x14ac:dyDescent="0.25">
      <c r="A41" s="1"/>
      <c r="B41" s="6" t="s">
        <v>1</v>
      </c>
      <c r="C41" s="1"/>
      <c r="D41" s="1"/>
      <c r="E41" s="1"/>
      <c r="F41" s="2"/>
      <c r="G41" s="3"/>
    </row>
    <row r="42" spans="1:7" ht="13.5" thickBot="1" x14ac:dyDescent="0.25">
      <c r="A42" s="1"/>
      <c r="B42" s="113" t="s">
        <v>380</v>
      </c>
      <c r="C42" s="114">
        <v>175.33</v>
      </c>
      <c r="D42" s="1"/>
      <c r="E42" s="1"/>
      <c r="F42" s="2"/>
      <c r="G42" s="3"/>
    </row>
  </sheetData>
  <mergeCells count="2">
    <mergeCell ref="B1:G1"/>
    <mergeCell ref="B2:G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MIIOF</vt:lpstr>
      <vt:lpstr>MAEBF</vt:lpstr>
      <vt:lpstr>MICCF</vt:lpstr>
      <vt:lpstr>MICHF</vt:lpstr>
      <vt:lpstr>MIGCS</vt:lpstr>
      <vt:lpstr>MACMF</vt:lpstr>
      <vt:lpstr>MILPF</vt:lpstr>
      <vt:lpstr>MISTB</vt:lpstr>
      <vt:lpstr>MAFM368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Anshul-a Jain</dc:creator>
  <cp:lastModifiedBy>Sachin Shardul</cp:lastModifiedBy>
  <dcterms:created xsi:type="dcterms:W3CDTF">2014-09-04T07:49:49Z</dcterms:created>
  <dcterms:modified xsi:type="dcterms:W3CDTF">2014-09-08T08:21:44Z</dcterms:modified>
</cp:coreProperties>
</file>