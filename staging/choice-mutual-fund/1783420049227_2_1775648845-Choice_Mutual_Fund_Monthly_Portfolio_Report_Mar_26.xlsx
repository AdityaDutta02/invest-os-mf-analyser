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oicemf-my.sharepoint.com/personal/shruti_shukla_choicemf_com/Documents/"/>
    </mc:Choice>
  </mc:AlternateContent>
  <xr:revisionPtr revIDLastSave="1" documentId="8_{5179EBEE-33BC-4995-A083-FC915AB06CA3}" xr6:coauthVersionLast="47" xr6:coauthVersionMax="47" xr10:uidLastSave="{C6812666-F17A-44FA-B6CA-7AF29902E7FE}"/>
  <bookViews>
    <workbookView xWindow="-120" yWindow="-120" windowWidth="29040" windowHeight="15720" xr2:uid="{B7C57F4F-BF90-408A-82F4-0F18D23DCF21}"/>
  </bookViews>
  <sheets>
    <sheet name="CGETF" sheetId="1" r:id="rId1"/>
  </sheets>
  <definedNames>
    <definedName name="XDO_?AUM?">CGETF!$G$49</definedName>
    <definedName name="XDO_?CLASS_3?">CGETF!$C$40:$C$47</definedName>
    <definedName name="XDO_?CLASS_4?">CGETF!$C$45</definedName>
    <definedName name="XDO_?CS_1?">CGETF!$G$47</definedName>
    <definedName name="XDO_?CS_2?">CGETF!$H$47</definedName>
    <definedName name="XDO_?FINAL_ISIN?">CGETF!$D$46:$D$62</definedName>
    <definedName name="XDO_?FINAL_MV?">CGETF!$G$46:$G$62</definedName>
    <definedName name="XDO_?FINAL_NAME?">CGETF!$C$46:$C$62</definedName>
    <definedName name="XDO_?FINAL_PER_NET?">CGETF!$H$46:$H$62</definedName>
    <definedName name="XDO_?FINAL_QUANTITE?">CGETF!$F$46:$F$62</definedName>
    <definedName name="XDO_?LONG_DESC?">CGETF!$D$3</definedName>
    <definedName name="XDO_?NAMC?">CGETF!#REF!</definedName>
    <definedName name="XDO_?NAMCNAME?">CGETF!$C$2:$C$47</definedName>
    <definedName name="XDO_?NDATE?">CGETF!#REF!</definedName>
    <definedName name="XDO_?NNPTF?">CGETF!#REF!</definedName>
    <definedName name="XDO_?NOVAL?">CGETF!$B$46:$B$62</definedName>
    <definedName name="XDO_?NPTF?">CGETF!$D$2:$D$47</definedName>
    <definedName name="XDO_?RATING?">CGETF!$E$46:$E$62</definedName>
    <definedName name="XDO_?REMARKS?">CGETF!$K$46:$K$62</definedName>
    <definedName name="XDO_?TDATE?">CGETF!$D$4</definedName>
    <definedName name="XDO_?TITL?">CGETF!$A$40:$A$47</definedName>
    <definedName name="XDO_?YTM?">CGETF!$I$46:$I$62</definedName>
    <definedName name="XDO_GROUP_?G_2?">CGETF!$2:$65</definedName>
    <definedName name="XDO_GROUP_?G_3?">CGETF!$40:$64</definedName>
    <definedName name="XDO_GROUP_?G_4?">CGETF!$B$62:$IV$62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5" i="1" l="1"/>
</calcChain>
</file>

<file path=xl/sharedStrings.xml><?xml version="1.0" encoding="utf-8"?>
<sst xmlns="http://schemas.openxmlformats.org/spreadsheetml/2006/main" count="121" uniqueCount="76">
  <si>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</si>
  <si>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</si>
  <si>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</si>
  <si>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</si>
  <si>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</si>
  <si>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</si>
  <si>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</si>
  <si>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</si>
  <si>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</si>
  <si>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</si>
  <si>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</si>
  <si>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</si>
  <si>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</si>
  <si>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</si>
  <si>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</si>
  <si>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</si>
  <si>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</si>
  <si>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</si>
  <si>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</si>
  <si>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</si>
  <si>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</si>
  <si>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</si>
  <si>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</si>
  <si>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</si>
  <si>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</si>
  <si>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CGETF</t>
  </si>
  <si>
    <t>Choice Mutual Fund</t>
  </si>
  <si>
    <t>SCHEME NAME :</t>
  </si>
  <si>
    <t>Choice Gold ETF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</si>
  <si>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</si>
  <si>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</si>
  <si>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</si>
  <si>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</si>
  <si>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</si>
  <si>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</si>
  <si>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</si>
  <si>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</si>
  <si>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</si>
  <si>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</si>
  <si>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500001</t>
  </si>
  <si>
    <t>Gold</t>
  </si>
  <si>
    <t>IDIA00500001</t>
  </si>
  <si>
    <t>500003</t>
  </si>
  <si>
    <t>IDIA00500003</t>
  </si>
  <si>
    <t>Total</t>
  </si>
  <si>
    <t>e) TREPS / Reverse Repo Investments</t>
  </si>
  <si>
    <t>204260100</t>
  </si>
  <si>
    <t>TREPS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</si>
  <si>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</si>
  <si>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</si>
  <si>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</si>
  <si>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</si>
  <si>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</si>
  <si>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</si>
  <si>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</si>
  <si>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</si>
  <si>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Back to Index</t>
  </si>
  <si>
    <t>Margin amount for Derivative positions</t>
  </si>
  <si>
    <t>Gold 995 Purity</t>
  </si>
  <si>
    <t>Gold 999 Purity</t>
  </si>
  <si>
    <t xml:space="preserve">5. Securities in default beyond its maturity date and its percentage to NAV : </t>
  </si>
  <si>
    <t>6. Plan/ Option wise per unit net asset value are as follows:</t>
  </si>
  <si>
    <t>Plan Name:</t>
  </si>
  <si>
    <t>NAV as on 27.02.2026 (Rs.)</t>
  </si>
  <si>
    <t>Direct Plan - Growth Option</t>
  </si>
  <si>
    <t>7. Portfolio turnover ratio (Equity Schemes) :</t>
  </si>
  <si>
    <t>N.A.</t>
  </si>
  <si>
    <t>8. The Face Value per unit is Rs.</t>
  </si>
  <si>
    <t>9. Total outstanding exposure in derivative instruments at the end of the period :</t>
  </si>
  <si>
    <t>10. Bonus History-.Bonus declared by the Scheme at the end of the period :</t>
  </si>
  <si>
    <t>11. Dividend History - Dividend declared by the Scheme at the end of the period :</t>
  </si>
  <si>
    <t>12. Repo transactions in corporate debt securities at the end of the period :</t>
  </si>
  <si>
    <t xml:space="preserve">          Scheme Risk-O-Meter</t>
  </si>
  <si>
    <t xml:space="preserve">         Benchmark Risk-O-Meter</t>
  </si>
  <si>
    <t>Benchmark Name : Domestic Price of Physical Gold</t>
  </si>
  <si>
    <t>NAV as on 31.03.2026 (Rs.)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</si>
</sst>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/mm/yyyy;@"/>
    <numFmt numFmtId="165" formatCode="_(* #,##0.0_);_(* \(#,##0.0\);_(* &quot;-&quot;??_);_(@_)"/>
    <numFmt numFmtId="166" formatCode="_(* #,##0_);_(* \(#,##0\);_(* &quot;-&quot;??_);_(@_)"/>
    <numFmt numFmtId="167" formatCode="mmmm\ dd\,\ yyyy"/>
    <numFmt numFmtId="168" formatCode="#,##0.0000_);\(#,##0.0000\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6" fillId="0" borderId="0" xfId="0" applyFont="1"/>
    <xf numFmtId="0" fontId="7" fillId="0" borderId="0" xfId="0" applyFont="1"/>
    <xf numFmtId="164" fontId="7" fillId="0" borderId="0" xfId="0" applyNumberFormat="1" applyFont="1"/>
    <xf numFmtId="0" fontId="7" fillId="0" borderId="8" xfId="0" applyFont="1" applyBorder="1"/>
    <xf numFmtId="0" fontId="2" fillId="2" borderId="9" xfId="0" applyFont="1" applyFill="1" applyBorder="1" applyAlignment="1">
      <alignment horizontal="center"/>
    </xf>
    <xf numFmtId="0" fontId="7" fillId="0" borderId="10" xfId="0" applyFont="1" applyBorder="1"/>
    <xf numFmtId="0" fontId="8" fillId="0" borderId="0" xfId="0" applyFont="1"/>
    <xf numFmtId="0" fontId="9" fillId="0" borderId="0" xfId="0" applyFont="1"/>
    <xf numFmtId="0" fontId="2" fillId="0" borderId="1" xfId="0" applyFont="1" applyBorder="1" applyAlignment="1">
      <alignment vertical="center"/>
    </xf>
    <xf numFmtId="0" fontId="9" fillId="2" borderId="2" xfId="4" applyFont="1" applyFill="1" applyBorder="1"/>
    <xf numFmtId="164" fontId="9" fillId="0" borderId="0" xfId="0" applyNumberFormat="1" applyFont="1"/>
    <xf numFmtId="43" fontId="9" fillId="0" borderId="0" xfId="1" applyFont="1"/>
    <xf numFmtId="43" fontId="7" fillId="0" borderId="0" xfId="1" applyFont="1"/>
    <xf numFmtId="43" fontId="2" fillId="0" borderId="1" xfId="1" applyFont="1" applyFill="1" applyBorder="1" applyAlignment="1">
      <alignment vertical="center" wrapText="1"/>
    </xf>
    <xf numFmtId="166" fontId="9" fillId="0" borderId="0" xfId="1" applyNumberFormat="1" applyFont="1"/>
    <xf numFmtId="166" fontId="7" fillId="0" borderId="0" xfId="1" applyNumberFormat="1" applyFont="1"/>
    <xf numFmtId="166" fontId="2" fillId="0" borderId="1" xfId="1" applyNumberFormat="1" applyFont="1" applyFill="1" applyBorder="1" applyAlignment="1">
      <alignment vertical="center"/>
    </xf>
    <xf numFmtId="166" fontId="7" fillId="0" borderId="8" xfId="1" applyNumberFormat="1" applyFont="1" applyBorder="1"/>
    <xf numFmtId="166" fontId="7" fillId="0" borderId="10" xfId="1" applyNumberFormat="1" applyFont="1" applyBorder="1"/>
    <xf numFmtId="166" fontId="7" fillId="0" borderId="9" xfId="1" applyNumberFormat="1" applyFont="1" applyBorder="1"/>
    <xf numFmtId="0" fontId="10" fillId="0" borderId="0" xfId="0" applyFont="1"/>
    <xf numFmtId="167" fontId="11" fillId="0" borderId="0" xfId="0" applyNumberFormat="1" applyFont="1" applyAlignment="1">
      <alignment horizontal="left"/>
    </xf>
    <xf numFmtId="43" fontId="7" fillId="0" borderId="8" xfId="1" applyFont="1" applyBorder="1" applyAlignment="1">
      <alignment horizontal="right"/>
    </xf>
    <xf numFmtId="43" fontId="7" fillId="0" borderId="10" xfId="1" applyFont="1" applyBorder="1" applyAlignment="1">
      <alignment horizontal="right"/>
    </xf>
    <xf numFmtId="43" fontId="2" fillId="2" borderId="3" xfId="1" applyFont="1" applyFill="1" applyBorder="1" applyAlignment="1">
      <alignment horizontal="right"/>
    </xf>
    <xf numFmtId="43" fontId="6" fillId="0" borderId="4" xfId="1" applyFont="1" applyBorder="1" applyAlignment="1">
      <alignment horizontal="right"/>
    </xf>
    <xf numFmtId="0" fontId="9" fillId="2" borderId="0" xfId="4" applyFont="1" applyFill="1"/>
    <xf numFmtId="43" fontId="2" fillId="0" borderId="5" xfId="1" applyFont="1" applyFill="1" applyBorder="1" applyAlignment="1">
      <alignment vertical="center"/>
    </xf>
    <xf numFmtId="43" fontId="7" fillId="0" borderId="11" xfId="1" applyFont="1" applyBorder="1"/>
    <xf numFmtId="43" fontId="7" fillId="0" borderId="12" xfId="1" applyFont="1" applyBorder="1"/>
    <xf numFmtId="43" fontId="7" fillId="0" borderId="13" xfId="1" applyFont="1" applyBorder="1"/>
    <xf numFmtId="4" fontId="2" fillId="0" borderId="6" xfId="6" applyNumberFormat="1" applyFont="1" applyBorder="1" applyAlignment="1">
      <alignment vertical="center" wrapText="1"/>
    </xf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16" xfId="0" applyNumberFormat="1" applyFont="1" applyBorder="1"/>
    <xf numFmtId="0" fontId="3" fillId="0" borderId="0" xfId="0" applyFont="1" applyAlignment="1">
      <alignment vertical="top"/>
    </xf>
    <xf numFmtId="43" fontId="5" fillId="0" borderId="0" xfId="3" quotePrefix="1" applyNumberFormat="1" applyAlignment="1" applyProtection="1"/>
    <xf numFmtId="0" fontId="2" fillId="0" borderId="7" xfId="6" applyFont="1" applyBorder="1" applyAlignment="1">
      <alignment vertical="center"/>
    </xf>
    <xf numFmtId="0" fontId="7" fillId="0" borderId="17" xfId="0" applyFont="1" applyBorder="1"/>
    <xf numFmtId="0" fontId="7" fillId="0" borderId="18" xfId="0" applyFont="1" applyBorder="1"/>
    <xf numFmtId="0" fontId="2" fillId="2" borderId="19" xfId="0" applyFont="1" applyFill="1" applyBorder="1"/>
    <xf numFmtId="0" fontId="2" fillId="0" borderId="20" xfId="6" applyFont="1" applyBorder="1" applyAlignment="1">
      <alignment vertical="center"/>
    </xf>
    <xf numFmtId="0" fontId="7" fillId="0" borderId="21" xfId="0" applyFont="1" applyBorder="1"/>
    <xf numFmtId="0" fontId="6" fillId="0" borderId="21" xfId="0" applyFont="1" applyBorder="1"/>
    <xf numFmtId="0" fontId="2" fillId="2" borderId="21" xfId="4" applyFont="1" applyFill="1" applyBorder="1"/>
    <xf numFmtId="0" fontId="2" fillId="2" borderId="22" xfId="0" applyFont="1" applyFill="1" applyBorder="1"/>
    <xf numFmtId="165" fontId="7" fillId="0" borderId="12" xfId="1" applyNumberFormat="1" applyFont="1" applyBorder="1"/>
    <xf numFmtId="0" fontId="3" fillId="0" borderId="0" xfId="0" applyFont="1"/>
    <xf numFmtId="0" fontId="2" fillId="0" borderId="3" xfId="0" applyFont="1" applyBorder="1" applyAlignment="1">
      <alignment vertical="top" wrapText="1"/>
    </xf>
    <xf numFmtId="168" fontId="2" fillId="0" borderId="3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168" fontId="3" fillId="0" borderId="3" xfId="0" applyNumberFormat="1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168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166" fontId="3" fillId="0" borderId="0" xfId="1" applyNumberFormat="1" applyFont="1"/>
    <xf numFmtId="166" fontId="2" fillId="0" borderId="0" xfId="1" applyNumberFormat="1" applyFont="1" applyAlignment="1">
      <alignment vertical="top" wrapText="1"/>
    </xf>
    <xf numFmtId="4" fontId="7" fillId="0" borderId="12" xfId="1" applyNumberFormat="1" applyFont="1" applyBorder="1"/>
    <xf numFmtId="165" fontId="7" fillId="0" borderId="10" xfId="1" applyNumberFormat="1" applyFont="1" applyBorder="1"/>
    <xf numFmtId="10" fontId="7" fillId="0" borderId="0" xfId="0" applyNumberFormat="1" applyFont="1"/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7">
    <cellStyle name="Comma" xfId="1" builtinId="3"/>
    <cellStyle name="Comma 2" xfId="2" xr:uid="{BD2C3DD9-6C90-46F7-8296-625BF8D43027}"/>
    <cellStyle name="Hyperlink" xfId="3" builtinId="8"/>
    <cellStyle name="Normal" xfId="0" builtinId="0"/>
    <cellStyle name="Normal 2" xfId="4" xr:uid="{C9607110-D3B5-4B87-BE37-A8F23FB6703D}"/>
    <cellStyle name="Percent 2" xfId="5" xr:uid="{7D7C96F9-1E02-47C8-8D4E-A72A8A7320AE}"/>
    <cellStyle name="Style 1" xfId="6" xr:uid="{106B475D-CADF-44E8-9D53-432A94476C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6</xdr:col>
      <xdr:colOff>352425</xdr:colOff>
      <xdr:row>101</xdr:row>
      <xdr:rowOff>114300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406018C8-5AD7-2DC0-E65F-C5B13E8E4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6373475"/>
          <a:ext cx="842010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F483-FB0E-4D50-819F-0B2396006BAD}">
  <sheetPr codeName="Sheet1"/>
  <dimension ref="A1:BB87"/>
  <sheetViews>
    <sheetView showGridLines="0" tabSelected="1" zoomScale="80" zoomScaleNormal="80" workbookViewId="0">
      <pane ySplit="6" topLeftCell="A31" activePane="bottomLeft" state="frozen"/>
      <selection pane="bottomLeft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6" customWidth="1"/>
    <col min="7" max="10" width="19.5703125" style="13" customWidth="1"/>
    <col min="11" max="11" width="19.5703125" style="3" customWidth="1"/>
    <col min="12" max="12" width="9.140625" style="3" bestFit="1" customWidth="1"/>
    <col min="13" max="14" width="7.4257812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x14ac:dyDescent="0.25">
      <c r="A1" s="8"/>
      <c r="C1" s="8"/>
      <c r="D1" s="8"/>
      <c r="E1" s="8"/>
      <c r="F1" s="15"/>
      <c r="G1" s="12"/>
      <c r="H1" s="12"/>
      <c r="I1" s="12"/>
      <c r="J1" s="12"/>
      <c r="K1" s="11"/>
      <c r="L1" s="11"/>
      <c r="AI1" s="11"/>
      <c r="AV1" s="11"/>
      <c r="AX1" s="11"/>
      <c r="BB1" s="11"/>
    </row>
    <row r="2" spans="1:54" ht="19.5" x14ac:dyDescent="0.35">
      <c r="C2" s="7" t="s">
        <v>26</v>
      </c>
      <c r="D2" s="8" t="s">
        <v>25</v>
      </c>
      <c r="J2" s="37" t="s">
        <v>56</v>
      </c>
    </row>
    <row r="3" spans="1:54" ht="16.5" x14ac:dyDescent="0.3">
      <c r="C3" s="1" t="s">
        <v>27</v>
      </c>
      <c r="D3" s="21" t="s">
        <v>28</v>
      </c>
    </row>
    <row r="4" spans="1:54" ht="15.75" x14ac:dyDescent="0.3">
      <c r="C4" s="1" t="s">
        <v>29</v>
      </c>
      <c r="D4" s="22">
        <v>46112</v>
      </c>
    </row>
    <row r="5" spans="1:54" x14ac:dyDescent="0.25">
      <c r="C5" s="1"/>
    </row>
    <row r="6" spans="1:54" ht="27" x14ac:dyDescent="0.25">
      <c r="C6" s="42" t="s">
        <v>30</v>
      </c>
      <c r="D6" s="38" t="s">
        <v>31</v>
      </c>
      <c r="E6" s="9" t="s">
        <v>32</v>
      </c>
      <c r="F6" s="17" t="s">
        <v>33</v>
      </c>
      <c r="G6" s="14" t="s">
        <v>34</v>
      </c>
      <c r="H6" s="14" t="s">
        <v>35</v>
      </c>
      <c r="I6" s="28" t="s">
        <v>36</v>
      </c>
      <c r="J6" s="28" t="s">
        <v>37</v>
      </c>
      <c r="K6" s="32" t="s">
        <v>38</v>
      </c>
    </row>
    <row r="7" spans="1:54" x14ac:dyDescent="0.25">
      <c r="C7" s="43"/>
      <c r="D7" s="39"/>
      <c r="E7" s="4"/>
      <c r="F7" s="18"/>
      <c r="G7" s="23"/>
      <c r="H7" s="23"/>
      <c r="I7" s="29"/>
      <c r="J7" s="29"/>
      <c r="K7" s="33"/>
    </row>
    <row r="8" spans="1:54" x14ac:dyDescent="0.25">
      <c r="C8" s="44" t="s">
        <v>0</v>
      </c>
      <c r="D8" s="40"/>
      <c r="E8" s="6"/>
      <c r="F8" s="19"/>
      <c r="G8" s="24"/>
      <c r="H8" s="24"/>
      <c r="I8" s="30"/>
      <c r="J8" s="30"/>
      <c r="K8" s="34"/>
    </row>
    <row r="9" spans="1:54" x14ac:dyDescent="0.25">
      <c r="C9" s="43"/>
      <c r="D9" s="40"/>
      <c r="E9" s="6"/>
      <c r="F9" s="19"/>
      <c r="G9" s="24"/>
      <c r="H9" s="24"/>
      <c r="I9" s="30"/>
      <c r="J9" s="30"/>
      <c r="K9" s="34"/>
    </row>
    <row r="10" spans="1:54" x14ac:dyDescent="0.25">
      <c r="C10" s="44" t="s">
        <v>1</v>
      </c>
      <c r="D10" s="40"/>
      <c r="E10" s="6"/>
      <c r="F10" s="19"/>
      <c r="G10" s="24" t="s">
        <v>2</v>
      </c>
      <c r="H10" s="24" t="s">
        <v>2</v>
      </c>
      <c r="I10" s="30"/>
      <c r="J10" s="30"/>
      <c r="K10" s="34"/>
    </row>
    <row r="11" spans="1:54" x14ac:dyDescent="0.25">
      <c r="C11" s="43"/>
      <c r="D11" s="40"/>
      <c r="E11" s="6"/>
      <c r="F11" s="19"/>
      <c r="G11" s="24"/>
      <c r="H11" s="24"/>
      <c r="I11" s="30"/>
      <c r="J11" s="30"/>
      <c r="K11" s="34"/>
    </row>
    <row r="12" spans="1:54" x14ac:dyDescent="0.25">
      <c r="C12" s="44" t="s">
        <v>3</v>
      </c>
      <c r="D12" s="40"/>
      <c r="E12" s="6"/>
      <c r="F12" s="19"/>
      <c r="G12" s="24" t="s">
        <v>2</v>
      </c>
      <c r="H12" s="24" t="s">
        <v>2</v>
      </c>
      <c r="I12" s="30"/>
      <c r="J12" s="30"/>
      <c r="K12" s="34"/>
    </row>
    <row r="13" spans="1:54" x14ac:dyDescent="0.25">
      <c r="C13" s="43"/>
      <c r="D13" s="40"/>
      <c r="E13" s="6"/>
      <c r="F13" s="19"/>
      <c r="G13" s="24"/>
      <c r="H13" s="24"/>
      <c r="I13" s="30"/>
      <c r="J13" s="30"/>
      <c r="K13" s="34"/>
    </row>
    <row r="14" spans="1:54" x14ac:dyDescent="0.25">
      <c r="C14" s="44" t="s">
        <v>4</v>
      </c>
      <c r="D14" s="40"/>
      <c r="E14" s="6"/>
      <c r="F14" s="19"/>
      <c r="G14" s="24" t="s">
        <v>2</v>
      </c>
      <c r="H14" s="24" t="s">
        <v>2</v>
      </c>
      <c r="I14" s="30"/>
      <c r="J14" s="30"/>
      <c r="K14" s="34"/>
    </row>
    <row r="15" spans="1:54" x14ac:dyDescent="0.25">
      <c r="C15" s="43"/>
      <c r="D15" s="40"/>
      <c r="E15" s="6"/>
      <c r="F15" s="19"/>
      <c r="G15" s="24"/>
      <c r="H15" s="24"/>
      <c r="I15" s="30"/>
      <c r="J15" s="30"/>
      <c r="K15" s="34"/>
    </row>
    <row r="16" spans="1:54" x14ac:dyDescent="0.25">
      <c r="C16" s="44" t="s">
        <v>5</v>
      </c>
      <c r="D16" s="40"/>
      <c r="E16" s="6"/>
      <c r="F16" s="19"/>
      <c r="G16" s="24"/>
      <c r="H16" s="24"/>
      <c r="I16" s="30"/>
      <c r="J16" s="30"/>
      <c r="K16" s="34"/>
    </row>
    <row r="17" spans="3:11" x14ac:dyDescent="0.25">
      <c r="C17" s="43"/>
      <c r="D17" s="40"/>
      <c r="E17" s="6"/>
      <c r="F17" s="19"/>
      <c r="G17" s="24"/>
      <c r="H17" s="24"/>
      <c r="I17" s="30"/>
      <c r="J17" s="30"/>
      <c r="K17" s="34"/>
    </row>
    <row r="18" spans="3:11" x14ac:dyDescent="0.25">
      <c r="C18" s="44" t="s">
        <v>6</v>
      </c>
      <c r="D18" s="40"/>
      <c r="E18" s="6"/>
      <c r="F18" s="19"/>
      <c r="G18" s="24" t="s">
        <v>2</v>
      </c>
      <c r="H18" s="24" t="s">
        <v>2</v>
      </c>
      <c r="I18" s="30"/>
      <c r="J18" s="30"/>
      <c r="K18" s="34"/>
    </row>
    <row r="19" spans="3:11" x14ac:dyDescent="0.25">
      <c r="C19" s="43"/>
      <c r="D19" s="40"/>
      <c r="E19" s="6"/>
      <c r="F19" s="19"/>
      <c r="G19" s="24"/>
      <c r="H19" s="24"/>
      <c r="I19" s="30"/>
      <c r="J19" s="30"/>
      <c r="K19" s="34"/>
    </row>
    <row r="20" spans="3:11" x14ac:dyDescent="0.25">
      <c r="C20" s="44" t="s">
        <v>7</v>
      </c>
      <c r="D20" s="40"/>
      <c r="E20" s="6"/>
      <c r="F20" s="19"/>
      <c r="G20" s="24" t="s">
        <v>2</v>
      </c>
      <c r="H20" s="24" t="s">
        <v>2</v>
      </c>
      <c r="I20" s="30"/>
      <c r="J20" s="30"/>
      <c r="K20" s="34"/>
    </row>
    <row r="21" spans="3:11" x14ac:dyDescent="0.25">
      <c r="C21" s="43"/>
      <c r="D21" s="40"/>
      <c r="E21" s="6"/>
      <c r="F21" s="19"/>
      <c r="G21" s="24"/>
      <c r="H21" s="24"/>
      <c r="I21" s="30"/>
      <c r="J21" s="30"/>
      <c r="K21" s="34"/>
    </row>
    <row r="22" spans="3:11" x14ac:dyDescent="0.25">
      <c r="C22" s="44" t="s">
        <v>8</v>
      </c>
      <c r="D22" s="40"/>
      <c r="E22" s="6"/>
      <c r="F22" s="19"/>
      <c r="G22" s="24" t="s">
        <v>2</v>
      </c>
      <c r="H22" s="24" t="s">
        <v>2</v>
      </c>
      <c r="I22" s="30"/>
      <c r="J22" s="30"/>
      <c r="K22" s="34"/>
    </row>
    <row r="23" spans="3:11" x14ac:dyDescent="0.25">
      <c r="C23" s="43"/>
      <c r="D23" s="40"/>
      <c r="E23" s="6"/>
      <c r="F23" s="19"/>
      <c r="G23" s="24"/>
      <c r="H23" s="24"/>
      <c r="I23" s="30"/>
      <c r="J23" s="30"/>
      <c r="K23" s="34"/>
    </row>
    <row r="24" spans="3:11" x14ac:dyDescent="0.25">
      <c r="C24" s="44" t="s">
        <v>9</v>
      </c>
      <c r="D24" s="40"/>
      <c r="E24" s="6"/>
      <c r="F24" s="19"/>
      <c r="G24" s="24" t="s">
        <v>2</v>
      </c>
      <c r="H24" s="24" t="s">
        <v>2</v>
      </c>
      <c r="I24" s="30"/>
      <c r="J24" s="30"/>
      <c r="K24" s="34"/>
    </row>
    <row r="25" spans="3:11" x14ac:dyDescent="0.25">
      <c r="C25" s="43"/>
      <c r="D25" s="40"/>
      <c r="E25" s="6"/>
      <c r="F25" s="19"/>
      <c r="G25" s="24"/>
      <c r="H25" s="24"/>
      <c r="I25" s="30"/>
      <c r="J25" s="30"/>
      <c r="K25" s="34"/>
    </row>
    <row r="26" spans="3:11" x14ac:dyDescent="0.25">
      <c r="C26" s="44" t="s">
        <v>10</v>
      </c>
      <c r="D26" s="40"/>
      <c r="E26" s="6"/>
      <c r="F26" s="19"/>
      <c r="G26" s="24" t="s">
        <v>2</v>
      </c>
      <c r="H26" s="24" t="s">
        <v>2</v>
      </c>
      <c r="I26" s="30"/>
      <c r="J26" s="30"/>
      <c r="K26" s="34"/>
    </row>
    <row r="27" spans="3:11" x14ac:dyDescent="0.25">
      <c r="C27" s="43"/>
      <c r="D27" s="40"/>
      <c r="E27" s="6"/>
      <c r="F27" s="19"/>
      <c r="G27" s="24"/>
      <c r="H27" s="24"/>
      <c r="I27" s="30"/>
      <c r="J27" s="30"/>
      <c r="K27" s="34"/>
    </row>
    <row r="28" spans="3:11" x14ac:dyDescent="0.25">
      <c r="C28" s="44" t="s">
        <v>11</v>
      </c>
      <c r="D28" s="40"/>
      <c r="E28" s="6"/>
      <c r="F28" s="19"/>
      <c r="G28" s="24"/>
      <c r="H28" s="24"/>
      <c r="I28" s="30"/>
      <c r="J28" s="30"/>
      <c r="K28" s="34"/>
    </row>
    <row r="29" spans="3:11" x14ac:dyDescent="0.25">
      <c r="C29" s="43"/>
      <c r="D29" s="40"/>
      <c r="E29" s="6"/>
      <c r="F29" s="19"/>
      <c r="G29" s="24"/>
      <c r="H29" s="24"/>
      <c r="I29" s="30"/>
      <c r="J29" s="30"/>
      <c r="K29" s="34"/>
    </row>
    <row r="30" spans="3:11" x14ac:dyDescent="0.25">
      <c r="C30" s="44" t="s">
        <v>12</v>
      </c>
      <c r="D30" s="40"/>
      <c r="E30" s="6"/>
      <c r="F30" s="19"/>
      <c r="G30" s="24" t="s">
        <v>2</v>
      </c>
      <c r="H30" s="24" t="s">
        <v>2</v>
      </c>
      <c r="I30" s="30"/>
      <c r="J30" s="30"/>
      <c r="K30" s="34"/>
    </row>
    <row r="31" spans="3:11" x14ac:dyDescent="0.25">
      <c r="C31" s="43"/>
      <c r="D31" s="40"/>
      <c r="E31" s="6"/>
      <c r="F31" s="19"/>
      <c r="G31" s="24"/>
      <c r="H31" s="24"/>
      <c r="I31" s="30"/>
      <c r="J31" s="30"/>
      <c r="K31" s="34"/>
    </row>
    <row r="32" spans="3:11" x14ac:dyDescent="0.25">
      <c r="C32" s="44" t="s">
        <v>13</v>
      </c>
      <c r="D32" s="40"/>
      <c r="E32" s="6"/>
      <c r="F32" s="19"/>
      <c r="G32" s="24" t="s">
        <v>2</v>
      </c>
      <c r="H32" s="24" t="s">
        <v>2</v>
      </c>
      <c r="I32" s="30"/>
      <c r="J32" s="30"/>
      <c r="K32" s="34"/>
    </row>
    <row r="33" spans="1:14" x14ac:dyDescent="0.25">
      <c r="C33" s="43"/>
      <c r="D33" s="40"/>
      <c r="E33" s="6"/>
      <c r="F33" s="19"/>
      <c r="G33" s="24"/>
      <c r="H33" s="24"/>
      <c r="I33" s="30"/>
      <c r="J33" s="30"/>
      <c r="K33" s="34"/>
    </row>
    <row r="34" spans="1:14" x14ac:dyDescent="0.25">
      <c r="C34" s="44" t="s">
        <v>14</v>
      </c>
      <c r="D34" s="40"/>
      <c r="E34" s="6"/>
      <c r="F34" s="19"/>
      <c r="G34" s="24" t="s">
        <v>2</v>
      </c>
      <c r="H34" s="24" t="s">
        <v>2</v>
      </c>
      <c r="I34" s="30"/>
      <c r="J34" s="30"/>
      <c r="K34" s="34"/>
    </row>
    <row r="35" spans="1:14" x14ac:dyDescent="0.25">
      <c r="C35" s="43"/>
      <c r="D35" s="40"/>
      <c r="E35" s="6"/>
      <c r="F35" s="19"/>
      <c r="G35" s="24"/>
      <c r="H35" s="24"/>
      <c r="I35" s="30"/>
      <c r="J35" s="30"/>
      <c r="K35" s="34"/>
    </row>
    <row r="36" spans="1:14" x14ac:dyDescent="0.25">
      <c r="C36" s="44" t="s">
        <v>15</v>
      </c>
      <c r="D36" s="40"/>
      <c r="E36" s="6"/>
      <c r="F36" s="19"/>
      <c r="G36" s="24" t="s">
        <v>2</v>
      </c>
      <c r="H36" s="24" t="s">
        <v>2</v>
      </c>
      <c r="I36" s="30"/>
      <c r="J36" s="30"/>
      <c r="K36" s="34"/>
    </row>
    <row r="37" spans="1:14" x14ac:dyDescent="0.25">
      <c r="C37" s="43"/>
      <c r="D37" s="40"/>
      <c r="E37" s="6"/>
      <c r="F37" s="19"/>
      <c r="G37" s="24"/>
      <c r="H37" s="24"/>
      <c r="I37" s="30"/>
      <c r="J37" s="30"/>
      <c r="K37" s="34"/>
    </row>
    <row r="38" spans="1:14" x14ac:dyDescent="0.25">
      <c r="C38" s="44" t="s">
        <v>16</v>
      </c>
      <c r="D38" s="40"/>
      <c r="E38" s="6"/>
      <c r="F38" s="19"/>
      <c r="G38" s="24" t="s">
        <v>2</v>
      </c>
      <c r="H38" s="24" t="s">
        <v>2</v>
      </c>
      <c r="I38" s="30"/>
      <c r="J38" s="30"/>
      <c r="K38" s="34"/>
    </row>
    <row r="39" spans="1:14" x14ac:dyDescent="0.25">
      <c r="C39" s="43"/>
      <c r="D39" s="40"/>
      <c r="E39" s="6"/>
      <c r="F39" s="19"/>
      <c r="G39" s="24"/>
      <c r="H39" s="24"/>
      <c r="I39" s="30"/>
      <c r="J39" s="30"/>
      <c r="K39" s="34"/>
    </row>
    <row r="40" spans="1:14" x14ac:dyDescent="0.25">
      <c r="A40" s="10"/>
      <c r="B40" s="27"/>
      <c r="C40" s="44" t="s">
        <v>17</v>
      </c>
      <c r="D40" s="40"/>
      <c r="E40" s="6"/>
      <c r="F40" s="19"/>
      <c r="G40" s="24"/>
      <c r="H40" s="24"/>
      <c r="I40" s="30"/>
      <c r="J40" s="30"/>
      <c r="K40" s="34"/>
    </row>
    <row r="41" spans="1:14" x14ac:dyDescent="0.25">
      <c r="A41" s="27"/>
      <c r="B41" s="27"/>
      <c r="C41" s="44" t="s">
        <v>18</v>
      </c>
      <c r="D41" s="40"/>
      <c r="E41" s="6"/>
      <c r="F41" s="19"/>
      <c r="G41" s="24" t="s">
        <v>2</v>
      </c>
      <c r="H41" s="24" t="s">
        <v>2</v>
      </c>
      <c r="I41" s="30"/>
      <c r="J41" s="30"/>
      <c r="K41" s="34"/>
    </row>
    <row r="42" spans="1:14" x14ac:dyDescent="0.25">
      <c r="A42" s="27"/>
      <c r="B42" s="27"/>
      <c r="C42" s="44"/>
      <c r="D42" s="40"/>
      <c r="E42" s="6"/>
      <c r="F42" s="19"/>
      <c r="G42" s="24"/>
      <c r="H42" s="24"/>
      <c r="I42" s="30"/>
      <c r="J42" s="30"/>
      <c r="K42" s="34"/>
    </row>
    <row r="43" spans="1:14" x14ac:dyDescent="0.25">
      <c r="A43" s="27"/>
      <c r="B43" s="27"/>
      <c r="C43" s="44" t="s">
        <v>19</v>
      </c>
      <c r="D43" s="40"/>
      <c r="E43" s="6"/>
      <c r="F43" s="19"/>
      <c r="G43" s="24" t="s">
        <v>2</v>
      </c>
      <c r="H43" s="24" t="s">
        <v>2</v>
      </c>
      <c r="I43" s="30"/>
      <c r="J43" s="30"/>
      <c r="K43" s="34"/>
    </row>
    <row r="44" spans="1:14" x14ac:dyDescent="0.25">
      <c r="A44" s="27"/>
      <c r="B44" s="27"/>
      <c r="C44" s="44"/>
      <c r="D44" s="40"/>
      <c r="E44" s="6"/>
      <c r="F44" s="19"/>
      <c r="G44" s="24"/>
      <c r="H44" s="24"/>
      <c r="I44" s="30"/>
      <c r="J44" s="30"/>
      <c r="K44" s="34"/>
    </row>
    <row r="45" spans="1:14" x14ac:dyDescent="0.25">
      <c r="C45" s="45" t="s">
        <v>20</v>
      </c>
      <c r="D45" s="40"/>
      <c r="E45" s="6"/>
      <c r="F45" s="19"/>
      <c r="G45" s="24"/>
      <c r="H45" s="24"/>
      <c r="I45" s="30"/>
      <c r="J45" s="30"/>
      <c r="K45" s="34"/>
    </row>
    <row r="46" spans="1:14" x14ac:dyDescent="0.25">
      <c r="B46" s="8" t="s">
        <v>39</v>
      </c>
      <c r="C46" s="43" t="s">
        <v>58</v>
      </c>
      <c r="D46" s="40" t="s">
        <v>41</v>
      </c>
      <c r="E46" s="6" t="s">
        <v>40</v>
      </c>
      <c r="F46" s="19">
        <v>35</v>
      </c>
      <c r="G46" s="24">
        <v>5135.72</v>
      </c>
      <c r="H46" s="24">
        <v>96.82</v>
      </c>
      <c r="I46" s="30"/>
      <c r="J46" s="30"/>
      <c r="K46" s="34"/>
      <c r="N46" s="63"/>
    </row>
    <row r="47" spans="1:14" x14ac:dyDescent="0.25">
      <c r="B47" s="8" t="s">
        <v>42</v>
      </c>
      <c r="C47" s="43" t="s">
        <v>59</v>
      </c>
      <c r="D47" s="40" t="s">
        <v>43</v>
      </c>
      <c r="E47" s="6" t="s">
        <v>40</v>
      </c>
      <c r="F47" s="62">
        <v>0.3</v>
      </c>
      <c r="G47" s="24">
        <v>44.2</v>
      </c>
      <c r="H47" s="24">
        <v>0.83</v>
      </c>
      <c r="I47" s="30"/>
      <c r="J47" s="30"/>
      <c r="K47" s="34"/>
      <c r="N47" s="63"/>
    </row>
    <row r="48" spans="1:14" x14ac:dyDescent="0.25">
      <c r="C48" s="44" t="s">
        <v>44</v>
      </c>
      <c r="D48" s="40"/>
      <c r="E48" s="6"/>
      <c r="F48" s="19"/>
      <c r="G48" s="25">
        <v>5179.92</v>
      </c>
      <c r="H48" s="25">
        <v>97.65</v>
      </c>
      <c r="I48" s="30"/>
      <c r="J48" s="30"/>
      <c r="K48" s="34"/>
      <c r="N48" s="63"/>
    </row>
    <row r="49" spans="1:14" x14ac:dyDescent="0.25">
      <c r="C49" s="43"/>
      <c r="D49" s="40"/>
      <c r="E49" s="6"/>
      <c r="F49" s="19"/>
      <c r="G49" s="24"/>
      <c r="H49" s="24"/>
      <c r="I49" s="30"/>
      <c r="J49" s="30"/>
      <c r="K49" s="34"/>
      <c r="N49" s="63"/>
    </row>
    <row r="50" spans="1:14" x14ac:dyDescent="0.25">
      <c r="C50" s="45" t="s">
        <v>45</v>
      </c>
      <c r="D50" s="40"/>
      <c r="E50" s="6"/>
      <c r="F50" s="19"/>
      <c r="G50" s="24"/>
      <c r="H50" s="24"/>
      <c r="I50" s="30"/>
      <c r="J50" s="30"/>
      <c r="K50" s="34"/>
      <c r="N50" s="63"/>
    </row>
    <row r="51" spans="1:14" x14ac:dyDescent="0.25">
      <c r="B51" s="8" t="s">
        <v>46</v>
      </c>
      <c r="C51" s="43" t="s">
        <v>47</v>
      </c>
      <c r="D51" s="40"/>
      <c r="E51" s="6"/>
      <c r="F51" s="19"/>
      <c r="G51" s="24">
        <v>11.11</v>
      </c>
      <c r="H51" s="24">
        <v>0.21</v>
      </c>
      <c r="I51" s="47">
        <v>5.3</v>
      </c>
      <c r="J51" s="61"/>
      <c r="K51" s="34"/>
      <c r="N51" s="63"/>
    </row>
    <row r="52" spans="1:14" x14ac:dyDescent="0.25">
      <c r="C52" s="44" t="s">
        <v>44</v>
      </c>
      <c r="D52" s="40"/>
      <c r="E52" s="6"/>
      <c r="F52" s="19"/>
      <c r="G52" s="25">
        <v>11.11</v>
      </c>
      <c r="H52" s="25">
        <v>0.21</v>
      </c>
      <c r="I52" s="30"/>
      <c r="J52" s="30"/>
      <c r="K52" s="34"/>
      <c r="N52" s="63"/>
    </row>
    <row r="53" spans="1:14" x14ac:dyDescent="0.25">
      <c r="C53" s="43"/>
      <c r="D53" s="40"/>
      <c r="E53" s="6"/>
      <c r="F53" s="19"/>
      <c r="G53" s="24"/>
      <c r="H53" s="24"/>
      <c r="I53" s="30"/>
      <c r="J53" s="30"/>
      <c r="K53" s="34"/>
      <c r="N53" s="63"/>
    </row>
    <row r="54" spans="1:14" x14ac:dyDescent="0.25">
      <c r="C54" s="44" t="s">
        <v>21</v>
      </c>
      <c r="D54" s="40"/>
      <c r="E54" s="6"/>
      <c r="F54" s="19"/>
      <c r="G54" s="24" t="s">
        <v>2</v>
      </c>
      <c r="H54" s="24" t="s">
        <v>2</v>
      </c>
      <c r="I54" s="30"/>
      <c r="J54" s="30"/>
      <c r="K54" s="34"/>
      <c r="N54" s="63"/>
    </row>
    <row r="55" spans="1:14" x14ac:dyDescent="0.25">
      <c r="C55" s="43"/>
      <c r="D55" s="40"/>
      <c r="E55" s="6"/>
      <c r="F55" s="19"/>
      <c r="G55" s="24"/>
      <c r="H55" s="24"/>
      <c r="I55" s="30"/>
      <c r="J55" s="30"/>
      <c r="K55" s="34"/>
      <c r="N55" s="63"/>
    </row>
    <row r="56" spans="1:14" x14ac:dyDescent="0.25">
      <c r="C56" s="44" t="s">
        <v>22</v>
      </c>
      <c r="D56" s="40"/>
      <c r="E56" s="6"/>
      <c r="F56" s="19"/>
      <c r="G56" s="24" t="s">
        <v>2</v>
      </c>
      <c r="H56" s="24" t="s">
        <v>2</v>
      </c>
      <c r="I56" s="30"/>
      <c r="J56" s="30"/>
      <c r="K56" s="34"/>
      <c r="N56" s="63"/>
    </row>
    <row r="57" spans="1:14" x14ac:dyDescent="0.25">
      <c r="C57" s="43"/>
      <c r="D57" s="40"/>
      <c r="E57" s="6"/>
      <c r="F57" s="19"/>
      <c r="G57" s="24"/>
      <c r="H57" s="24"/>
      <c r="I57" s="30"/>
      <c r="J57" s="30"/>
      <c r="K57" s="34"/>
      <c r="N57" s="63"/>
    </row>
    <row r="58" spans="1:14" x14ac:dyDescent="0.25">
      <c r="C58" s="44" t="s">
        <v>23</v>
      </c>
      <c r="D58" s="40"/>
      <c r="E58" s="6"/>
      <c r="F58" s="19"/>
      <c r="G58" s="24" t="s">
        <v>2</v>
      </c>
      <c r="H58" s="24" t="s">
        <v>2</v>
      </c>
      <c r="I58" s="30"/>
      <c r="J58" s="30"/>
      <c r="K58" s="34"/>
      <c r="N58" s="63"/>
    </row>
    <row r="59" spans="1:14" x14ac:dyDescent="0.25">
      <c r="C59" s="43"/>
      <c r="D59" s="40"/>
      <c r="E59" s="6"/>
      <c r="F59" s="19"/>
      <c r="G59" s="24"/>
      <c r="H59" s="24"/>
      <c r="I59" s="30"/>
      <c r="J59" s="30"/>
      <c r="K59" s="34"/>
      <c r="N59" s="63"/>
    </row>
    <row r="60" spans="1:14" x14ac:dyDescent="0.25">
      <c r="A60" s="10"/>
      <c r="B60" s="27"/>
      <c r="C60" s="44" t="s">
        <v>24</v>
      </c>
      <c r="D60" s="40"/>
      <c r="E60" s="6"/>
      <c r="F60" s="19"/>
      <c r="G60" s="24"/>
      <c r="H60" s="24"/>
      <c r="I60" s="30"/>
      <c r="J60" s="30"/>
      <c r="K60" s="34"/>
      <c r="N60" s="63"/>
    </row>
    <row r="61" spans="1:14" x14ac:dyDescent="0.25">
      <c r="A61" s="27"/>
      <c r="B61" s="27"/>
      <c r="C61" s="43" t="s">
        <v>57</v>
      </c>
      <c r="D61" s="40"/>
      <c r="E61" s="6"/>
      <c r="F61" s="19"/>
      <c r="G61" s="24" t="s">
        <v>2</v>
      </c>
      <c r="H61" s="24" t="s">
        <v>2</v>
      </c>
      <c r="I61" s="30"/>
      <c r="J61" s="30"/>
      <c r="K61" s="34"/>
      <c r="N61" s="63"/>
    </row>
    <row r="62" spans="1:14" x14ac:dyDescent="0.25">
      <c r="B62" s="8"/>
      <c r="C62" s="43" t="s">
        <v>48</v>
      </c>
      <c r="D62" s="40"/>
      <c r="E62" s="6"/>
      <c r="F62" s="19"/>
      <c r="G62" s="24">
        <v>113.15</v>
      </c>
      <c r="H62" s="24">
        <v>2.1399999999999997</v>
      </c>
      <c r="I62" s="30"/>
      <c r="J62" s="30"/>
      <c r="K62" s="34"/>
      <c r="N62" s="63"/>
    </row>
    <row r="63" spans="1:14" x14ac:dyDescent="0.25">
      <c r="C63" s="44" t="s">
        <v>44</v>
      </c>
      <c r="D63" s="40"/>
      <c r="E63" s="6"/>
      <c r="F63" s="19"/>
      <c r="G63" s="25">
        <v>113.15</v>
      </c>
      <c r="H63" s="25">
        <v>2.1399999999999997</v>
      </c>
      <c r="I63" s="30"/>
      <c r="J63" s="30"/>
      <c r="K63" s="34"/>
    </row>
    <row r="64" spans="1:14" x14ac:dyDescent="0.25">
      <c r="C64" s="43"/>
      <c r="D64" s="40"/>
      <c r="E64" s="6"/>
      <c r="F64" s="19"/>
      <c r="G64" s="24"/>
      <c r="H64" s="24"/>
      <c r="I64" s="30"/>
      <c r="J64" s="30"/>
      <c r="K64" s="34"/>
    </row>
    <row r="65" spans="3:11" x14ac:dyDescent="0.25">
      <c r="C65" s="46" t="s">
        <v>49</v>
      </c>
      <c r="D65" s="41"/>
      <c r="E65" s="5"/>
      <c r="F65" s="20"/>
      <c r="G65" s="26">
        <v>5304.18</v>
      </c>
      <c r="H65" s="26">
        <f>SUMIFS(H:H,C:C,"Total")</f>
        <v>100</v>
      </c>
      <c r="I65" s="31"/>
      <c r="J65" s="31"/>
      <c r="K65" s="35"/>
    </row>
    <row r="68" spans="3:11" x14ac:dyDescent="0.25">
      <c r="C68" s="1" t="s">
        <v>50</v>
      </c>
    </row>
    <row r="69" spans="3:11" ht="15" customHeight="1" x14ac:dyDescent="0.25">
      <c r="C69" s="36" t="s">
        <v>51</v>
      </c>
      <c r="D69" s="36"/>
      <c r="E69" s="36"/>
      <c r="F69" s="36"/>
      <c r="G69" s="36"/>
      <c r="H69" s="36"/>
      <c r="I69" s="36"/>
      <c r="J69" s="36"/>
      <c r="K69" s="36"/>
    </row>
    <row r="70" spans="3:11" ht="15" customHeight="1" x14ac:dyDescent="0.25">
      <c r="C70" s="2" t="s">
        <v>52</v>
      </c>
    </row>
    <row r="71" spans="3:11" ht="15" customHeight="1" x14ac:dyDescent="0.25">
      <c r="C71" s="2" t="s">
        <v>53</v>
      </c>
    </row>
    <row r="72" spans="3:11" ht="54" customHeight="1" x14ac:dyDescent="0.25">
      <c r="C72" s="64" t="s">
        <v>54</v>
      </c>
      <c r="D72" s="65"/>
      <c r="E72" s="65"/>
      <c r="F72" s="65"/>
      <c r="G72" s="65"/>
      <c r="H72" s="65"/>
      <c r="I72" s="65"/>
      <c r="J72" s="65"/>
      <c r="K72" s="65"/>
    </row>
    <row r="73" spans="3:11" ht="15" customHeight="1" x14ac:dyDescent="0.25">
      <c r="C73" s="2" t="s">
        <v>55</v>
      </c>
    </row>
    <row r="74" spans="3:11" ht="15" customHeight="1" x14ac:dyDescent="0.25">
      <c r="C74" s="2" t="s">
        <v>60</v>
      </c>
      <c r="E74" s="2" t="s">
        <v>2</v>
      </c>
    </row>
    <row r="75" spans="3:11" ht="15" customHeight="1" x14ac:dyDescent="0.25">
      <c r="C75" s="48" t="s">
        <v>61</v>
      </c>
      <c r="D75" s="48"/>
      <c r="E75" s="48"/>
      <c r="F75" s="59"/>
    </row>
    <row r="76" spans="3:11" ht="27" x14ac:dyDescent="0.25">
      <c r="C76" s="49" t="s">
        <v>62</v>
      </c>
      <c r="D76" s="50" t="s">
        <v>63</v>
      </c>
      <c r="E76" s="50" t="s">
        <v>75</v>
      </c>
      <c r="F76" s="60"/>
    </row>
    <row r="77" spans="3:11" x14ac:dyDescent="0.25">
      <c r="C77" s="51" t="s">
        <v>64</v>
      </c>
      <c r="D77" s="52">
        <v>156.9556</v>
      </c>
      <c r="E77" s="52">
        <v>145.32839999999999</v>
      </c>
      <c r="F77" s="60"/>
    </row>
    <row r="78" spans="3:11" x14ac:dyDescent="0.25">
      <c r="C78" s="53"/>
      <c r="D78" s="54"/>
      <c r="E78" s="54"/>
      <c r="F78" s="60"/>
    </row>
    <row r="79" spans="3:11" x14ac:dyDescent="0.25">
      <c r="C79" s="48" t="s">
        <v>65</v>
      </c>
      <c r="D79" s="48"/>
      <c r="E79" s="55" t="s">
        <v>66</v>
      </c>
      <c r="F79" s="59"/>
    </row>
    <row r="80" spans="3:11" x14ac:dyDescent="0.25">
      <c r="C80" s="48" t="s">
        <v>67</v>
      </c>
      <c r="D80" s="48"/>
      <c r="E80" s="56">
        <v>100</v>
      </c>
      <c r="F80" s="59"/>
    </row>
    <row r="81" spans="3:6" x14ac:dyDescent="0.25">
      <c r="C81" s="48" t="s">
        <v>68</v>
      </c>
      <c r="D81" s="48"/>
      <c r="E81" s="48" t="s">
        <v>2</v>
      </c>
      <c r="F81" s="59"/>
    </row>
    <row r="82" spans="3:6" x14ac:dyDescent="0.25">
      <c r="C82" s="48" t="s">
        <v>69</v>
      </c>
      <c r="D82" s="48"/>
      <c r="E82" s="48" t="s">
        <v>2</v>
      </c>
      <c r="F82" s="59"/>
    </row>
    <row r="83" spans="3:6" x14ac:dyDescent="0.25">
      <c r="C83" s="48" t="s">
        <v>70</v>
      </c>
      <c r="D83" s="48"/>
      <c r="E83" s="48" t="s">
        <v>2</v>
      </c>
      <c r="F83" s="59"/>
    </row>
    <row r="84" spans="3:6" x14ac:dyDescent="0.25">
      <c r="C84" s="48" t="s">
        <v>71</v>
      </c>
      <c r="D84" s="48"/>
      <c r="E84" s="48" t="s">
        <v>2</v>
      </c>
      <c r="F84" s="59"/>
    </row>
    <row r="85" spans="3:6" x14ac:dyDescent="0.25">
      <c r="C85" s="48"/>
      <c r="D85" s="48"/>
      <c r="E85" s="48"/>
      <c r="F85" s="59"/>
    </row>
    <row r="86" spans="3:6" x14ac:dyDescent="0.25">
      <c r="C86" s="57" t="s">
        <v>72</v>
      </c>
      <c r="D86" s="48"/>
      <c r="E86" s="58" t="s">
        <v>73</v>
      </c>
      <c r="F86" s="59"/>
    </row>
    <row r="87" spans="3:6" x14ac:dyDescent="0.25">
      <c r="C87" s="48"/>
      <c r="D87" s="48"/>
      <c r="E87" s="48" t="s">
        <v>74</v>
      </c>
      <c r="F87" s="59"/>
    </row>
  </sheetData>
  <mergeCells count="1">
    <mergeCell ref="C72:K72"/>
  </mergeCells>
  <hyperlinks>
    <hyperlink ref="J2" location="'Index'!A1" display="'Index'!A1" xr:uid="{3A1FA19E-A1B7-426D-A804-18FC4D394FCD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CGETF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XDO_?YTM?</vt:lpstr>
      <vt:lpstr>XDO_GROUP_?G_2?</vt:lpstr>
      <vt:lpstr>XDO_GROUP_?G_3?</vt:lpstr>
      <vt:lpstr>XDO_GROUP_?G_4?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Shruti Shukla</cp:lastModifiedBy>
  <cp:lastPrinted>2013-11-30T11:49:41Z</cp:lastPrinted>
  <dcterms:created xsi:type="dcterms:W3CDTF">2010-04-14T16:02:20Z</dcterms:created>
  <dcterms:modified xsi:type="dcterms:W3CDTF">2026-04-08T11:43:56Z</dcterms:modified>
</cp:coreProperties>
</file>