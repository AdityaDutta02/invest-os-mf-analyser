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0.09.2015" sheetId="1" r:id="rId1"/>
  </sheets>
  <definedNames>
    <definedName name="_xlnm.Print_Titles" localSheetId="0">'30.09.2015'!$1:$5</definedName>
  </definedNames>
  <calcPr calcId="125725"/>
</workbook>
</file>

<file path=xl/calcChain.xml><?xml version="1.0" encoding="utf-8"?>
<calcChain xmlns="http://schemas.openxmlformats.org/spreadsheetml/2006/main">
  <c r="H99" i="1"/>
  <c r="G99"/>
  <c r="G96"/>
  <c r="H91"/>
  <c r="H96" s="1"/>
  <c r="G91"/>
  <c r="H80"/>
  <c r="H85" s="1"/>
  <c r="G80"/>
  <c r="G85" s="1"/>
  <c r="G67"/>
  <c r="G101" s="1"/>
  <c r="H64"/>
  <c r="H67" s="1"/>
  <c r="G64"/>
  <c r="H101" l="1"/>
</calcChain>
</file>

<file path=xl/sharedStrings.xml><?xml version="1.0" encoding="utf-8"?>
<sst xmlns="http://schemas.openxmlformats.org/spreadsheetml/2006/main" count="282" uniqueCount="212">
  <si>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</si>
  <si>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</si>
  <si>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</si>
  <si>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</si>
  <si>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</si>
  <si>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</si>
  <si>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</si>
  <si>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</si>
  <si>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</si>
  <si>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</si>
  <si>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</si>
  <si>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</si>
  <si>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</si>
  <si>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</si>
  <si>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</si>
  <si>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</si>
  <si>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</si>
  <si>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</si>
  <si>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</si>
  <si>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</si>
  <si>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</si>
  <si>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</si>
  <si>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</si>
  <si>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</si>
  <si>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</si>
  <si>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</si>
  <si>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</si>
  <si>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</si>
  <si>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</si>
  <si>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</si>
  <si>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</si>
  <si>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</si>
  <si>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</si>
  <si>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</si>
  <si>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</si>
  <si>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</si>
  <si>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</si>
  <si>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</si>
  <si>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</si>
  <si>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</si>
  <si>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</si>
  <si>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</si>
  <si>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</si>
  <si>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</si>
  <si>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</si>
  <si>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</si>
  <si>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</si>
  <si>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</si>
  <si>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</si>
  <si>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</si>
  <si>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</si>
  <si>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</si>
  <si>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STATE BANK OF INDIA</t>
  </si>
  <si>
    <t>INE081A01012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</si>
  <si>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</si>
  <si>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</si>
  <si>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</si>
  <si>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</si>
  <si>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</si>
  <si>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</si>
  <si>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</si>
  <si>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</si>
  <si>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</si>
  <si>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</si>
  <si>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</si>
  <si>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</si>
  <si>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</si>
  <si>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</si>
  <si>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</si>
  <si>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</si>
  <si>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</si>
  <si>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</si>
  <si>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</si>
  <si>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INE171A01029</t>
  </si>
  <si>
    <t>INE752E01010</t>
  </si>
  <si>
    <t>POWER</t>
  </si>
  <si>
    <t>INE176A01010</t>
  </si>
  <si>
    <t>BATA INDIA LTD.</t>
  </si>
  <si>
    <t>CONSUMER DURABLES</t>
  </si>
  <si>
    <t>INE129A01019</t>
  </si>
  <si>
    <t>GAS</t>
  </si>
  <si>
    <t>INE095A01012</t>
  </si>
  <si>
    <t>INE115A01026</t>
  </si>
  <si>
    <t>INE216A01022</t>
  </si>
  <si>
    <t>BRITANNIA INDUSTRIES LTD.</t>
  </si>
  <si>
    <t>INE237A01028</t>
  </si>
  <si>
    <t>KOTAK MAHINDRA BANK LTD.</t>
  </si>
  <si>
    <t>INE043D01016</t>
  </si>
  <si>
    <t>INE987B01018</t>
  </si>
  <si>
    <t>NATCO PHARMA LTD.</t>
  </si>
  <si>
    <t>INE628A01036</t>
  </si>
  <si>
    <t>PESTICIDES</t>
  </si>
  <si>
    <t>INE465A01025</t>
  </si>
  <si>
    <t>INDUSTRIAL PRODUCTS</t>
  </si>
  <si>
    <t>INE212H01026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</si>
  <si>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</si>
  <si>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</si>
  <si>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</si>
  <si>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</si>
  <si>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</si>
  <si>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</si>
  <si>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</si>
  <si>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</si>
  <si>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</si>
  <si>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</si>
  <si>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</si>
  <si>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</si>
  <si>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</si>
  <si>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</si>
  <si>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</si>
  <si>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</si>
  <si>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</si>
  <si>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</si>
  <si>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</si>
  <si>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</si>
  <si>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</si>
  <si>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</si>
  <si>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</si>
  <si>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</si>
  <si>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</si>
  <si>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</si>
  <si>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</si>
  <si>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</si>
  <si>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</si>
  <si>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</si>
  <si>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</si>
  <si>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</si>
  <si>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</si>
  <si>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</si>
  <si>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</si>
  <si>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</si>
  <si>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</si>
  <si>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Products</t>
  </si>
  <si>
    <t>Oil</t>
  </si>
  <si>
    <t>Pesticides</t>
  </si>
  <si>
    <t>Petroleum Products</t>
  </si>
  <si>
    <t>Pharmaceuticals</t>
  </si>
  <si>
    <t>Power</t>
  </si>
  <si>
    <t>Software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</si>
  <si>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</si>
  <si>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</si>
  <si>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</si>
  <si>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</si>
  <si>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</si>
  <si>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</si>
  <si>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HOUSING DEVELOPMENT FINANCE CORPORATION LTD.**</t>
  </si>
  <si>
    <t>ICRA - A1+</t>
  </si>
  <si>
    <t>Industrial Capital Goods</t>
  </si>
  <si>
    <t>INE018I01017</t>
  </si>
  <si>
    <t>MINDTREE LTD.</t>
  </si>
  <si>
    <t>INE262H01013</t>
  </si>
  <si>
    <t>PERSISTENT SYSTEMS LTD.</t>
  </si>
  <si>
    <t>INE158A01026</t>
  </si>
  <si>
    <t>HERO MOTOCORP LTD.</t>
  </si>
  <si>
    <t>INE062A01020</t>
  </si>
  <si>
    <t>INE155A01022</t>
  </si>
  <si>
    <t>TATA MOTORS LIMITED</t>
  </si>
  <si>
    <t>INE406A01037</t>
  </si>
  <si>
    <t>INE494B01023</t>
  </si>
  <si>
    <t>TVS MOTOR COMPANY LTD.</t>
  </si>
  <si>
    <t>INE883A01011</t>
  </si>
  <si>
    <t>MRF LTD.</t>
  </si>
  <si>
    <t>INE090A01021</t>
  </si>
  <si>
    <t>INE761H01022</t>
  </si>
  <si>
    <t>TEXTILE PRODUCTS</t>
  </si>
  <si>
    <t>Textile Products</t>
  </si>
  <si>
    <t>Notes :</t>
  </si>
  <si>
    <t>1) Total NPAs provided for and its percentage to NAV : Nil</t>
  </si>
  <si>
    <t>2) Total value and percentage of Illiquid Equity Shares : Nil</t>
  </si>
  <si>
    <t>3) NAV History</t>
  </si>
  <si>
    <t>NAVs per unit (Rs.)</t>
  </si>
  <si>
    <t>Growth Option</t>
  </si>
  <si>
    <t>Dividend Option</t>
  </si>
  <si>
    <t>Growth Option - Direct Plan</t>
  </si>
  <si>
    <t>Dividend Option - Direct Plan</t>
  </si>
  <si>
    <t>Dividend History</t>
  </si>
  <si>
    <t xml:space="preserve">Dividend Per Unit (Rs) for </t>
  </si>
  <si>
    <t>Plan Name</t>
  </si>
  <si>
    <t>Record Date</t>
  </si>
  <si>
    <t>Nav as on Record Date</t>
  </si>
  <si>
    <t>Individuals and HUF</t>
  </si>
  <si>
    <t>Shriram Equity and Debt Opportunities Fund - Direct Plan - Dividend Option</t>
  </si>
  <si>
    <t>Shriram Equity and Debt Opportunities Fund - Regular Plan - Dividend Option</t>
  </si>
  <si>
    <t>INE669C01036</t>
  </si>
  <si>
    <t>6) Total investments in Foreign Securities / Overseas ETFs / ADRs / GDRs : Nil</t>
  </si>
  <si>
    <t>10) Repo in Corporate Debt : Nil</t>
  </si>
  <si>
    <t>LIC HOUSING FINANCE LTD.</t>
  </si>
  <si>
    <t>THE FEDERAL BANK  LTD.</t>
  </si>
  <si>
    <t>AUROBINDO PHARMA LTD.</t>
  </si>
  <si>
    <t>IDFC LTD.</t>
  </si>
  <si>
    <t>INDUSIND BANK LTD.</t>
  </si>
  <si>
    <t>TATA STEEL LTD.</t>
  </si>
  <si>
    <t>BHARAT FORGE LTD.</t>
  </si>
  <si>
    <t>UPL LTD.</t>
  </si>
  <si>
    <t>POWER GRID CORPORATION OF INDIA LTD.</t>
  </si>
  <si>
    <t>AIA ENGINEERING LTD.</t>
  </si>
  <si>
    <t>GAIL (INDIA) LTD.</t>
  </si>
  <si>
    <t>PAGE INDUSTRIES LTD.</t>
  </si>
  <si>
    <t>INE001A07MG9</t>
  </si>
  <si>
    <t>INE001A14LP8</t>
  </si>
  <si>
    <t>INE298A01020</t>
  </si>
  <si>
    <t>CUMMINS INDIA LTD.</t>
  </si>
  <si>
    <t>INE296A01016</t>
  </si>
  <si>
    <t>BAJAJ FINANCE LTD.</t>
  </si>
  <si>
    <t>INE612J01015</t>
  </si>
  <si>
    <t>REPCO HOME FINANCE LIMITED</t>
  </si>
  <si>
    <t>4) No Bonus declared during the month ended September 30,2015.</t>
  </si>
  <si>
    <t>5) Total outstanding exposure in Derivative Instruments as on September 30,2015 : Nil</t>
  </si>
  <si>
    <t>7) Portfolio Turnover Ratio: 2.151</t>
  </si>
  <si>
    <t>8) Funds Parked in Short Term Deposits as on September 30,2015: Rs.Nil</t>
  </si>
  <si>
    <t>9) Term Deposits placed as Margin for trading in Cash &amp; Derivative Market as on September 30,2015 : Nil.</t>
  </si>
  <si>
    <t>Portfolio as on September 30,2015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</si>
</sst>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0.0000"/>
    <numFmt numFmtId="165" formatCode="[$-409]mmmm\ d\,\ yyyy;@"/>
    <numFmt numFmtId="166" formatCode="0.000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  <font>
      <sz val="10"/>
      <color theme="1"/>
      <name val="Tahoma"/>
      <family val="2"/>
    </font>
    <font>
      <sz val="10"/>
      <name val="Arial Unicode MS"/>
      <family val="2"/>
    </font>
    <font>
      <b/>
      <sz val="12"/>
      <color rgb="FF000000"/>
      <name val="Arial Narrow"/>
      <family val="2"/>
    </font>
    <font>
      <sz val="11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B2B2B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0" fontId="3" fillId="0" borderId="0" xfId="0" applyFont="1" applyFill="1" applyAlignment="1">
      <alignment horizontal="left"/>
    </xf>
    <xf numFmtId="0" fontId="14" fillId="0" borderId="0" xfId="0" applyFont="1"/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164" fontId="15" fillId="0" borderId="0" xfId="0" applyNumberFormat="1" applyFont="1" applyAlignment="1"/>
    <xf numFmtId="15" fontId="9" fillId="0" borderId="0" xfId="0" applyNumberFormat="1" applyFont="1" applyAlignment="1"/>
    <xf numFmtId="15" fontId="0" fillId="0" borderId="0" xfId="0" applyNumberFormat="1" applyAlignment="1"/>
    <xf numFmtId="0" fontId="4" fillId="4" borderId="0" xfId="0" applyFont="1" applyFill="1" applyAlignment="1">
      <alignment horizontal="center"/>
    </xf>
    <xf numFmtId="0" fontId="0" fillId="0" borderId="0" xfId="0" applyAlignment="1"/>
    <xf numFmtId="4" fontId="9" fillId="0" borderId="0" xfId="0" applyNumberFormat="1" applyFont="1" applyAlignment="1">
      <alignment horizontal="left"/>
    </xf>
    <xf numFmtId="0" fontId="16" fillId="0" borderId="0" xfId="0" applyFont="1" applyAlignment="1">
      <alignment wrapText="1"/>
    </xf>
    <xf numFmtId="165" fontId="5" fillId="4" borderId="0" xfId="0" applyNumberFormat="1" applyFont="1" applyFill="1" applyAlignment="1">
      <alignment horizontal="center"/>
    </xf>
    <xf numFmtId="0" fontId="9" fillId="0" borderId="0" xfId="0" applyFont="1" applyFill="1" applyAlignment="1"/>
    <xf numFmtId="0" fontId="17" fillId="0" borderId="0" xfId="0" applyFont="1" applyAlignment="1">
      <alignment wrapText="1"/>
    </xf>
    <xf numFmtId="43" fontId="5" fillId="0" borderId="0" xfId="1" applyNumberFormat="1" applyFont="1" applyAlignment="1">
      <alignment horizontal="right"/>
    </xf>
    <xf numFmtId="43" fontId="0" fillId="0" borderId="0" xfId="1" applyFont="1" applyAlignment="1"/>
    <xf numFmtId="4" fontId="9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/>
    <xf numFmtId="0" fontId="9" fillId="0" borderId="0" xfId="0" applyFont="1" applyAlignment="1"/>
    <xf numFmtId="0" fontId="15" fillId="0" borderId="0" xfId="0" applyFont="1" applyAlignment="1"/>
    <xf numFmtId="0" fontId="0" fillId="0" borderId="0" xfId="0" applyFill="1" applyAlignment="1"/>
    <xf numFmtId="0" fontId="6" fillId="0" borderId="0" xfId="0" applyFont="1" applyFill="1" applyAlignment="1"/>
    <xf numFmtId="10" fontId="0" fillId="0" borderId="0" xfId="2" applyNumberFormat="1" applyFont="1" applyAlignment="1"/>
    <xf numFmtId="164" fontId="0" fillId="0" borderId="0" xfId="0" applyNumberFormat="1" applyFill="1" applyAlignment="1"/>
    <xf numFmtId="2" fontId="0" fillId="0" borderId="0" xfId="0" applyNumberFormat="1" applyFill="1" applyAlignment="1"/>
    <xf numFmtId="10" fontId="0" fillId="0" borderId="0" xfId="0" applyNumberFormat="1" applyAlignment="1"/>
    <xf numFmtId="166" fontId="0" fillId="0" borderId="0" xfId="2" applyNumberFormat="1" applyFont="1" applyAlignment="1"/>
    <xf numFmtId="2" fontId="0" fillId="0" borderId="0" xfId="0" applyNumberFormat="1"/>
    <xf numFmtId="166" fontId="0" fillId="0" borderId="0" xfId="2" applyNumberFormat="1" applyFont="1" applyFill="1" applyAlignment="1"/>
    <xf numFmtId="10" fontId="0" fillId="0" borderId="0" xfId="2" applyNumberFormat="1" applyFont="1" applyFill="1" applyAlignment="1"/>
    <xf numFmtId="4" fontId="9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4" fillId="0" borderId="0" xfId="0" applyFont="1" applyAlignment="1"/>
    <xf numFmtId="0" fontId="9" fillId="0" borderId="0" xfId="0" applyFont="1" applyAlignment="1"/>
    <xf numFmtId="0" fontId="15" fillId="0" borderId="0" xfId="0" applyFont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2"/>
  <sheetViews>
    <sheetView tabSelected="1" workbookViewId="0">
      <selection activeCell="E10" sqref="E10"/>
    </sheetView>
  </sheetViews>
  <sheetFormatPr defaultRowHeight="15"/>
  <cols>
    <col min="1" max="1" width="3.28515625" style="48" bestFit="1" customWidth="1"/>
    <col min="2" max="2" width="13.85546875" style="48" bestFit="1" customWidth="1"/>
    <col min="3" max="3" width="7.28515625" style="48" customWidth="1"/>
    <col min="4" max="4" width="50.85546875" style="48" customWidth="1"/>
    <col min="5" max="5" width="25.7109375" style="2" bestFit="1" customWidth="1"/>
    <col min="6" max="6" width="28.5703125" style="2" bestFit="1" customWidth="1"/>
    <col min="7" max="7" width="18.5703125" style="2" bestFit="1" customWidth="1"/>
    <col min="8" max="8" width="24.7109375" style="2" customWidth="1"/>
    <col min="9" max="9" width="9.5703125" style="48" bestFit="1" customWidth="1"/>
    <col min="10" max="10" width="9.140625" style="48"/>
    <col min="11" max="11" width="10.28515625" style="61" customWidth="1"/>
    <col min="12" max="16384" width="9.140625" style="48"/>
  </cols>
  <sheetData>
    <row r="1" spans="1:11" ht="21.75">
      <c r="A1" s="74" t="s">
        <v>0</v>
      </c>
      <c r="B1" s="74"/>
      <c r="C1" s="74"/>
      <c r="D1" s="74"/>
      <c r="E1" s="74"/>
      <c r="F1" s="74"/>
      <c r="G1" s="74"/>
      <c r="H1" s="74"/>
    </row>
    <row r="3" spans="1:11">
      <c r="B3" s="1"/>
      <c r="C3" s="1"/>
      <c r="D3" s="33" t="s">
        <v>211</v>
      </c>
      <c r="E3" s="48"/>
    </row>
    <row r="5" spans="1:11" ht="26.25">
      <c r="A5" s="3"/>
      <c r="B5" s="3" t="s">
        <v>1</v>
      </c>
      <c r="C5" s="4" t="s">
        <v>2</v>
      </c>
      <c r="D5" s="3" t="s">
        <v>3</v>
      </c>
      <c r="E5" s="4" t="s">
        <v>4</v>
      </c>
      <c r="F5" s="5" t="s">
        <v>5</v>
      </c>
      <c r="G5" s="6" t="s">
        <v>6</v>
      </c>
      <c r="H5" s="7" t="s">
        <v>7</v>
      </c>
    </row>
    <row r="6" spans="1:11" s="10" customFormat="1" ht="12.75">
      <c r="A6" s="8"/>
      <c r="B6" s="73" t="s">
        <v>8</v>
      </c>
      <c r="C6" s="73"/>
      <c r="D6" s="73"/>
      <c r="E6" s="9"/>
      <c r="F6" s="9"/>
      <c r="G6" s="9"/>
      <c r="H6" s="9"/>
      <c r="K6" s="62"/>
    </row>
    <row r="7" spans="1:11">
      <c r="A7" s="11"/>
      <c r="B7" s="73" t="s">
        <v>9</v>
      </c>
      <c r="C7" s="73"/>
      <c r="D7" s="73"/>
      <c r="E7" s="12"/>
      <c r="F7" s="12"/>
      <c r="G7" s="12"/>
      <c r="H7" s="12"/>
    </row>
    <row r="8" spans="1:11">
      <c r="A8" s="11"/>
      <c r="B8" s="73" t="s">
        <v>10</v>
      </c>
      <c r="C8" s="73"/>
      <c r="D8" s="73"/>
      <c r="E8" s="12"/>
      <c r="F8" s="12"/>
      <c r="G8" s="12"/>
      <c r="H8" s="12"/>
    </row>
    <row r="9" spans="1:11">
      <c r="A9" s="13"/>
      <c r="B9" s="34" t="s">
        <v>14</v>
      </c>
      <c r="C9"/>
      <c r="D9" s="14" t="s">
        <v>15</v>
      </c>
      <c r="E9" s="49" t="s">
        <v>16</v>
      </c>
      <c r="F9" s="15">
        <v>15604</v>
      </c>
      <c r="G9" s="15">
        <v>166.78</v>
      </c>
      <c r="H9" s="16">
        <v>4.6399999999999997</v>
      </c>
      <c r="I9" s="63"/>
      <c r="J9" s="17"/>
      <c r="K9" s="64"/>
    </row>
    <row r="10" spans="1:11">
      <c r="A10" s="13"/>
      <c r="B10" s="34" t="s">
        <v>31</v>
      </c>
      <c r="C10"/>
      <c r="D10" s="14" t="s">
        <v>32</v>
      </c>
      <c r="E10" s="49" t="s">
        <v>33</v>
      </c>
      <c r="F10" s="15">
        <v>3248</v>
      </c>
      <c r="G10" s="15">
        <v>152.19</v>
      </c>
      <c r="H10" s="16">
        <v>4.24</v>
      </c>
      <c r="I10" s="63"/>
      <c r="J10" s="17"/>
      <c r="K10" s="64"/>
    </row>
    <row r="11" spans="1:11">
      <c r="A11" s="13"/>
      <c r="B11" s="34" t="s">
        <v>17</v>
      </c>
      <c r="C11"/>
      <c r="D11" s="14" t="s">
        <v>18</v>
      </c>
      <c r="E11" s="49" t="s">
        <v>19</v>
      </c>
      <c r="F11" s="15">
        <v>11826</v>
      </c>
      <c r="G11" s="15">
        <v>143.41999999999999</v>
      </c>
      <c r="H11" s="16">
        <v>3.99</v>
      </c>
      <c r="I11" s="63"/>
      <c r="J11" s="17"/>
      <c r="K11" s="64"/>
    </row>
    <row r="12" spans="1:11">
      <c r="A12" s="13"/>
      <c r="B12" s="34" t="s">
        <v>28</v>
      </c>
      <c r="C12"/>
      <c r="D12" s="14" t="s">
        <v>29</v>
      </c>
      <c r="E12" s="49" t="s">
        <v>13</v>
      </c>
      <c r="F12" s="15">
        <v>14162</v>
      </c>
      <c r="G12" s="15">
        <v>139.09</v>
      </c>
      <c r="H12" s="16">
        <v>3.87</v>
      </c>
      <c r="I12" s="63"/>
      <c r="J12" s="17"/>
      <c r="K12" s="64"/>
    </row>
    <row r="13" spans="1:11">
      <c r="A13" s="13"/>
      <c r="B13" s="34" t="s">
        <v>24</v>
      </c>
      <c r="C13"/>
      <c r="D13" s="14" t="s">
        <v>25</v>
      </c>
      <c r="E13" s="49" t="s">
        <v>26</v>
      </c>
      <c r="F13" s="15">
        <v>3297</v>
      </c>
      <c r="G13" s="15">
        <v>137.22999999999999</v>
      </c>
      <c r="H13" s="16">
        <v>3.82</v>
      </c>
      <c r="I13" s="63"/>
      <c r="J13" s="17"/>
      <c r="K13" s="64"/>
    </row>
    <row r="14" spans="1:11">
      <c r="A14" s="13"/>
      <c r="B14" s="34" t="s">
        <v>139</v>
      </c>
      <c r="C14"/>
      <c r="D14" s="14" t="s">
        <v>30</v>
      </c>
      <c r="E14" s="49" t="s">
        <v>16</v>
      </c>
      <c r="F14" s="15">
        <v>27149</v>
      </c>
      <c r="G14" s="15">
        <v>134.56</v>
      </c>
      <c r="H14" s="16">
        <v>3.75</v>
      </c>
      <c r="I14" s="63"/>
      <c r="J14" s="17"/>
      <c r="K14" s="64"/>
    </row>
    <row r="15" spans="1:11">
      <c r="A15" s="13"/>
      <c r="B15" s="34" t="s">
        <v>11</v>
      </c>
      <c r="C15"/>
      <c r="D15" s="14" t="s">
        <v>12</v>
      </c>
      <c r="E15" s="49" t="s">
        <v>13</v>
      </c>
      <c r="F15" s="15">
        <v>5046</v>
      </c>
      <c r="G15" s="15">
        <v>130.59</v>
      </c>
      <c r="H15" s="16">
        <v>3.63</v>
      </c>
      <c r="I15" s="63"/>
      <c r="J15" s="17"/>
      <c r="K15" s="64"/>
    </row>
    <row r="16" spans="1:11">
      <c r="A16" s="13"/>
      <c r="B16" s="34" t="s">
        <v>59</v>
      </c>
      <c r="C16"/>
      <c r="D16" s="14" t="s">
        <v>60</v>
      </c>
      <c r="E16" s="49" t="s">
        <v>13</v>
      </c>
      <c r="F16" s="15">
        <v>10734</v>
      </c>
      <c r="G16" s="15">
        <v>124.72</v>
      </c>
      <c r="H16" s="16">
        <v>3.47</v>
      </c>
      <c r="I16" s="63"/>
      <c r="J16" s="17"/>
      <c r="K16" s="64"/>
    </row>
    <row r="17" spans="1:11">
      <c r="A17" s="13"/>
      <c r="B17" s="34" t="s">
        <v>162</v>
      </c>
      <c r="C17"/>
      <c r="D17" s="14" t="s">
        <v>20</v>
      </c>
      <c r="E17" s="49" t="s">
        <v>16</v>
      </c>
      <c r="F17" s="15">
        <v>44617</v>
      </c>
      <c r="G17" s="15">
        <v>120.62</v>
      </c>
      <c r="H17" s="16">
        <v>3.36</v>
      </c>
      <c r="I17" s="63"/>
      <c r="J17" s="65"/>
      <c r="K17" s="64"/>
    </row>
    <row r="18" spans="1:11">
      <c r="A18" s="18"/>
      <c r="B18" s="34" t="s">
        <v>82</v>
      </c>
      <c r="C18"/>
      <c r="D18" s="14" t="s">
        <v>186</v>
      </c>
      <c r="E18" s="49" t="s">
        <v>19</v>
      </c>
      <c r="F18" s="15">
        <v>24674</v>
      </c>
      <c r="G18" s="15">
        <v>116.1</v>
      </c>
      <c r="H18" s="16">
        <v>3.23</v>
      </c>
      <c r="I18" s="63"/>
      <c r="J18" s="17"/>
      <c r="K18" s="64"/>
    </row>
    <row r="19" spans="1:11">
      <c r="A19" s="19"/>
      <c r="B19" s="34" t="s">
        <v>157</v>
      </c>
      <c r="C19"/>
      <c r="D19" s="14" t="s">
        <v>188</v>
      </c>
      <c r="E19" s="49" t="s">
        <v>26</v>
      </c>
      <c r="F19" s="15">
        <v>12648</v>
      </c>
      <c r="G19" s="15">
        <v>97.29</v>
      </c>
      <c r="H19" s="16">
        <v>2.71</v>
      </c>
      <c r="I19" s="63"/>
      <c r="J19" s="17"/>
      <c r="K19" s="64"/>
    </row>
    <row r="20" spans="1:11">
      <c r="A20" s="13"/>
      <c r="B20" s="34" t="s">
        <v>83</v>
      </c>
      <c r="C20"/>
      <c r="D20" s="14" t="s">
        <v>84</v>
      </c>
      <c r="E20" s="49" t="s">
        <v>39</v>
      </c>
      <c r="F20" s="15">
        <v>2411</v>
      </c>
      <c r="G20" s="15">
        <v>74.31</v>
      </c>
      <c r="H20" s="16">
        <v>2.0699999999999998</v>
      </c>
      <c r="I20" s="63"/>
      <c r="J20" s="17"/>
      <c r="K20" s="64"/>
    </row>
    <row r="21" spans="1:11">
      <c r="A21" s="19"/>
      <c r="B21" s="34" t="s">
        <v>85</v>
      </c>
      <c r="C21"/>
      <c r="D21" s="14" t="s">
        <v>86</v>
      </c>
      <c r="E21" s="49" t="s">
        <v>16</v>
      </c>
      <c r="F21" s="15">
        <v>11400</v>
      </c>
      <c r="G21" s="15">
        <v>73.88</v>
      </c>
      <c r="H21" s="16">
        <v>2.06</v>
      </c>
      <c r="I21" s="63"/>
      <c r="J21" s="17"/>
      <c r="K21" s="64"/>
    </row>
    <row r="22" spans="1:11">
      <c r="A22" s="19"/>
      <c r="B22" s="34" t="s">
        <v>21</v>
      </c>
      <c r="C22"/>
      <c r="D22" s="14" t="s">
        <v>22</v>
      </c>
      <c r="E22" s="49" t="s">
        <v>23</v>
      </c>
      <c r="F22" s="15">
        <v>5037</v>
      </c>
      <c r="G22" s="15">
        <v>73.86</v>
      </c>
      <c r="H22" s="16">
        <v>2.06</v>
      </c>
      <c r="I22" s="63"/>
      <c r="J22" s="17"/>
      <c r="K22" s="64"/>
    </row>
    <row r="23" spans="1:11">
      <c r="A23" s="19"/>
      <c r="B23" s="34" t="s">
        <v>81</v>
      </c>
      <c r="C23"/>
      <c r="D23" s="14" t="s">
        <v>190</v>
      </c>
      <c r="E23" s="49" t="s">
        <v>16</v>
      </c>
      <c r="F23" s="15">
        <v>7534</v>
      </c>
      <c r="G23" s="15">
        <v>71</v>
      </c>
      <c r="H23" s="16">
        <v>1.98</v>
      </c>
      <c r="I23" s="63"/>
      <c r="J23" s="17"/>
      <c r="K23" s="64"/>
    </row>
    <row r="24" spans="1:11">
      <c r="A24" s="19"/>
      <c r="B24" s="34" t="s">
        <v>154</v>
      </c>
      <c r="C24"/>
      <c r="D24" s="14" t="s">
        <v>52</v>
      </c>
      <c r="E24" s="49" t="s">
        <v>16</v>
      </c>
      <c r="F24" s="15">
        <v>28557</v>
      </c>
      <c r="G24" s="15">
        <v>67.72</v>
      </c>
      <c r="H24" s="16">
        <v>1.88</v>
      </c>
      <c r="I24" s="63"/>
      <c r="J24" s="17"/>
      <c r="K24" s="64"/>
    </row>
    <row r="25" spans="1:11">
      <c r="A25" s="19"/>
      <c r="B25" s="34" t="s">
        <v>63</v>
      </c>
      <c r="C25"/>
      <c r="D25" s="14" t="s">
        <v>64</v>
      </c>
      <c r="E25" s="49" t="s">
        <v>33</v>
      </c>
      <c r="F25" s="15">
        <v>367</v>
      </c>
      <c r="G25" s="15">
        <v>65.3</v>
      </c>
      <c r="H25" s="16">
        <v>1.82</v>
      </c>
      <c r="I25" s="63"/>
      <c r="J25" s="17"/>
      <c r="K25" s="64"/>
    </row>
    <row r="26" spans="1:11">
      <c r="A26" s="19"/>
      <c r="B26" s="34" t="s">
        <v>46</v>
      </c>
      <c r="C26"/>
      <c r="D26" s="14" t="s">
        <v>47</v>
      </c>
      <c r="E26" s="49" t="s">
        <v>36</v>
      </c>
      <c r="F26" s="15">
        <v>7446</v>
      </c>
      <c r="G26" s="15">
        <v>63.34</v>
      </c>
      <c r="H26" s="16">
        <v>1.76</v>
      </c>
      <c r="I26" s="63"/>
      <c r="J26" s="17"/>
      <c r="K26" s="64"/>
    </row>
    <row r="27" spans="1:11">
      <c r="A27" s="19"/>
      <c r="B27" s="34" t="s">
        <v>142</v>
      </c>
      <c r="C27"/>
      <c r="D27" s="14" t="s">
        <v>143</v>
      </c>
      <c r="E27" s="49" t="s">
        <v>144</v>
      </c>
      <c r="F27" s="15">
        <v>5540</v>
      </c>
      <c r="G27" s="15">
        <v>62.9</v>
      </c>
      <c r="H27" s="16">
        <v>1.75</v>
      </c>
      <c r="I27" s="63"/>
      <c r="J27" s="17"/>
      <c r="K27" s="64"/>
    </row>
    <row r="28" spans="1:11">
      <c r="A28" s="19"/>
      <c r="B28" s="34" t="s">
        <v>67</v>
      </c>
      <c r="C28"/>
      <c r="D28" s="14" t="s">
        <v>68</v>
      </c>
      <c r="E28" s="49" t="s">
        <v>69</v>
      </c>
      <c r="F28" s="15">
        <v>4246</v>
      </c>
      <c r="G28" s="15">
        <v>61.21</v>
      </c>
      <c r="H28" s="16">
        <v>1.7</v>
      </c>
      <c r="I28" s="63"/>
      <c r="J28" s="17"/>
      <c r="K28" s="64"/>
    </row>
    <row r="29" spans="1:11">
      <c r="A29" s="19"/>
      <c r="B29" s="34" t="s">
        <v>73</v>
      </c>
      <c r="C29"/>
      <c r="D29" s="14" t="s">
        <v>187</v>
      </c>
      <c r="E29" s="49" t="s">
        <v>16</v>
      </c>
      <c r="F29" s="15">
        <v>95349</v>
      </c>
      <c r="G29" s="15">
        <v>60.98</v>
      </c>
      <c r="H29" s="16">
        <v>1.7</v>
      </c>
      <c r="I29" s="63"/>
      <c r="J29" s="17"/>
      <c r="K29" s="64"/>
    </row>
    <row r="30" spans="1:11">
      <c r="A30" s="19"/>
      <c r="B30" s="34" t="s">
        <v>87</v>
      </c>
      <c r="C30"/>
      <c r="D30" s="14" t="s">
        <v>189</v>
      </c>
      <c r="E30" s="49" t="s">
        <v>19</v>
      </c>
      <c r="F30" s="15">
        <v>40695</v>
      </c>
      <c r="G30" s="15">
        <v>57.4</v>
      </c>
      <c r="H30" s="16">
        <v>1.6</v>
      </c>
      <c r="I30" s="63"/>
      <c r="J30" s="17"/>
      <c r="K30" s="64"/>
    </row>
    <row r="31" spans="1:11">
      <c r="A31" s="19"/>
      <c r="B31" s="34" t="s">
        <v>37</v>
      </c>
      <c r="C31"/>
      <c r="D31" s="14" t="s">
        <v>38</v>
      </c>
      <c r="E31" s="49" t="s">
        <v>39</v>
      </c>
      <c r="F31" s="15">
        <v>14566</v>
      </c>
      <c r="G31" s="15">
        <v>47.89</v>
      </c>
      <c r="H31" s="16">
        <v>1.33</v>
      </c>
      <c r="I31" s="63"/>
      <c r="J31" s="65"/>
      <c r="K31" s="64"/>
    </row>
    <row r="32" spans="1:11">
      <c r="A32" s="19"/>
      <c r="B32" s="34" t="s">
        <v>70</v>
      </c>
      <c r="C32"/>
      <c r="D32" s="14" t="s">
        <v>71</v>
      </c>
      <c r="E32" s="49" t="s">
        <v>72</v>
      </c>
      <c r="F32" s="15">
        <v>4607</v>
      </c>
      <c r="G32" s="15">
        <v>47.44</v>
      </c>
      <c r="H32" s="16">
        <v>1.32</v>
      </c>
      <c r="I32" s="63"/>
      <c r="J32" s="65"/>
      <c r="K32" s="64"/>
    </row>
    <row r="33" spans="1:11">
      <c r="A33" s="19"/>
      <c r="B33" s="34" t="s">
        <v>183</v>
      </c>
      <c r="C33"/>
      <c r="D33" s="14" t="s">
        <v>27</v>
      </c>
      <c r="E33" s="49" t="s">
        <v>13</v>
      </c>
      <c r="F33" s="15">
        <v>7853</v>
      </c>
      <c r="G33" s="15">
        <v>43.77</v>
      </c>
      <c r="H33" s="16">
        <v>1.22</v>
      </c>
      <c r="I33" s="63"/>
      <c r="J33" s="17"/>
      <c r="K33" s="64"/>
    </row>
    <row r="34" spans="1:11">
      <c r="A34" s="19"/>
      <c r="B34" s="34" t="s">
        <v>61</v>
      </c>
      <c r="C34"/>
      <c r="D34" s="14" t="s">
        <v>62</v>
      </c>
      <c r="E34" s="49" t="s">
        <v>39</v>
      </c>
      <c r="F34" s="15">
        <v>4810</v>
      </c>
      <c r="G34" s="15">
        <v>40.479999999999997</v>
      </c>
      <c r="H34" s="16">
        <v>1.1299999999999999</v>
      </c>
      <c r="I34" s="63"/>
      <c r="J34" s="17"/>
      <c r="K34" s="64"/>
    </row>
    <row r="35" spans="1:11">
      <c r="A35" s="19"/>
      <c r="B35" s="34" t="s">
        <v>43</v>
      </c>
      <c r="C35"/>
      <c r="D35" s="14" t="s">
        <v>44</v>
      </c>
      <c r="E35" s="49" t="s">
        <v>45</v>
      </c>
      <c r="F35" s="15">
        <v>1459</v>
      </c>
      <c r="G35" s="15">
        <v>39.01</v>
      </c>
      <c r="H35" s="16">
        <v>1.0900000000000001</v>
      </c>
      <c r="I35" s="63"/>
      <c r="J35" s="65"/>
      <c r="K35" s="64"/>
    </row>
    <row r="36" spans="1:11">
      <c r="A36" s="19"/>
      <c r="B36" s="34" t="s">
        <v>55</v>
      </c>
      <c r="C36"/>
      <c r="D36" s="14" t="s">
        <v>56</v>
      </c>
      <c r="E36" s="49" t="s">
        <v>26</v>
      </c>
      <c r="F36" s="15">
        <v>1756</v>
      </c>
      <c r="G36" s="15">
        <v>35.72</v>
      </c>
      <c r="H36" s="16">
        <v>0.99</v>
      </c>
      <c r="I36" s="63"/>
      <c r="J36" s="17"/>
      <c r="K36" s="64"/>
    </row>
    <row r="37" spans="1:11">
      <c r="A37" s="19"/>
      <c r="B37" s="34" t="s">
        <v>65</v>
      </c>
      <c r="C37"/>
      <c r="D37" s="14" t="s">
        <v>66</v>
      </c>
      <c r="E37" s="49" t="s">
        <v>45</v>
      </c>
      <c r="F37" s="15">
        <v>294</v>
      </c>
      <c r="G37" s="15">
        <v>34.520000000000003</v>
      </c>
      <c r="H37" s="16">
        <v>0.96</v>
      </c>
      <c r="I37" s="63"/>
      <c r="J37" s="17"/>
      <c r="K37" s="64"/>
    </row>
    <row r="38" spans="1:11">
      <c r="A38" s="19"/>
      <c r="B38" s="34" t="s">
        <v>34</v>
      </c>
      <c r="C38"/>
      <c r="D38" s="14" t="s">
        <v>35</v>
      </c>
      <c r="E38" s="49" t="s">
        <v>36</v>
      </c>
      <c r="F38" s="15">
        <v>3807</v>
      </c>
      <c r="G38" s="15">
        <v>32.83</v>
      </c>
      <c r="H38" s="16">
        <v>0.91</v>
      </c>
      <c r="I38" s="63"/>
      <c r="J38" s="65"/>
      <c r="K38" s="64"/>
    </row>
    <row r="39" spans="1:11">
      <c r="A39" s="19"/>
      <c r="B39" s="34" t="s">
        <v>88</v>
      </c>
      <c r="C39"/>
      <c r="D39" s="14" t="s">
        <v>89</v>
      </c>
      <c r="E39" s="49" t="s">
        <v>26</v>
      </c>
      <c r="F39" s="15">
        <v>1265</v>
      </c>
      <c r="G39" s="15">
        <v>31.26</v>
      </c>
      <c r="H39" s="16">
        <v>0.87</v>
      </c>
      <c r="I39" s="63"/>
      <c r="J39" s="17"/>
      <c r="K39" s="64"/>
    </row>
    <row r="40" spans="1:11">
      <c r="A40" s="19"/>
      <c r="B40" s="34" t="s">
        <v>48</v>
      </c>
      <c r="C40"/>
      <c r="D40" s="14" t="s">
        <v>49</v>
      </c>
      <c r="E40" s="49" t="s">
        <v>33</v>
      </c>
      <c r="F40" s="15">
        <v>2319</v>
      </c>
      <c r="G40" s="15">
        <v>29.31</v>
      </c>
      <c r="H40" s="16">
        <v>0.82</v>
      </c>
      <c r="I40" s="63"/>
      <c r="J40" s="17"/>
      <c r="K40" s="64"/>
    </row>
    <row r="41" spans="1:11">
      <c r="A41" s="19"/>
      <c r="B41" s="34" t="s">
        <v>90</v>
      </c>
      <c r="C41"/>
      <c r="D41" s="14" t="s">
        <v>193</v>
      </c>
      <c r="E41" s="49" t="s">
        <v>91</v>
      </c>
      <c r="F41" s="15">
        <v>6149</v>
      </c>
      <c r="G41" s="15">
        <v>28.18</v>
      </c>
      <c r="H41" s="16">
        <v>0.78</v>
      </c>
      <c r="I41" s="63"/>
      <c r="J41" s="65"/>
      <c r="K41" s="64"/>
    </row>
    <row r="42" spans="1:11">
      <c r="A42" s="19"/>
      <c r="B42" s="34" t="s">
        <v>50</v>
      </c>
      <c r="C42"/>
      <c r="D42" s="14" t="s">
        <v>51</v>
      </c>
      <c r="E42" s="49" t="s">
        <v>26</v>
      </c>
      <c r="F42" s="15">
        <v>3227</v>
      </c>
      <c r="G42" s="15">
        <v>28.02</v>
      </c>
      <c r="H42" s="16">
        <v>0.78</v>
      </c>
      <c r="I42" s="63"/>
      <c r="J42" s="17"/>
      <c r="K42" s="64"/>
    </row>
    <row r="43" spans="1:11">
      <c r="A43" s="19"/>
      <c r="B43" s="34" t="s">
        <v>92</v>
      </c>
      <c r="C43"/>
      <c r="D43" s="14" t="s">
        <v>192</v>
      </c>
      <c r="E43" s="49" t="s">
        <v>93</v>
      </c>
      <c r="F43" s="15">
        <v>3019</v>
      </c>
      <c r="G43" s="15">
        <v>27.4</v>
      </c>
      <c r="H43" s="16">
        <v>0.76</v>
      </c>
      <c r="I43" s="63"/>
      <c r="J43" s="17"/>
      <c r="K43" s="64"/>
    </row>
    <row r="44" spans="1:11">
      <c r="A44" s="19"/>
      <c r="B44" s="34" t="s">
        <v>74</v>
      </c>
      <c r="C44"/>
      <c r="D44" s="14" t="s">
        <v>194</v>
      </c>
      <c r="E44" s="49" t="s">
        <v>75</v>
      </c>
      <c r="F44" s="15">
        <v>19747</v>
      </c>
      <c r="G44" s="15">
        <v>26.14</v>
      </c>
      <c r="H44" s="16">
        <v>0.73</v>
      </c>
      <c r="I44" s="63"/>
      <c r="J44" s="17"/>
      <c r="K44" s="64"/>
    </row>
    <row r="45" spans="1:11">
      <c r="A45" s="19"/>
      <c r="B45" s="34" t="s">
        <v>155</v>
      </c>
      <c r="C45"/>
      <c r="D45" s="14" t="s">
        <v>156</v>
      </c>
      <c r="E45" s="49" t="s">
        <v>33</v>
      </c>
      <c r="F45" s="15">
        <v>7785</v>
      </c>
      <c r="G45" s="15">
        <v>23.25</v>
      </c>
      <c r="H45" s="16">
        <v>0.65</v>
      </c>
      <c r="I45" s="63"/>
      <c r="J45" s="17"/>
      <c r="K45" s="64"/>
    </row>
    <row r="46" spans="1:11">
      <c r="A46" s="19"/>
      <c r="B46" s="34" t="s">
        <v>94</v>
      </c>
      <c r="C46"/>
      <c r="D46" s="14" t="s">
        <v>195</v>
      </c>
      <c r="E46" s="49" t="s">
        <v>93</v>
      </c>
      <c r="F46" s="15">
        <v>2325</v>
      </c>
      <c r="G46" s="15">
        <v>23.06</v>
      </c>
      <c r="H46" s="16">
        <v>0.64</v>
      </c>
      <c r="I46" s="63"/>
      <c r="J46" s="65"/>
      <c r="K46" s="64"/>
    </row>
    <row r="47" spans="1:11">
      <c r="A47" s="19"/>
      <c r="B47" s="34" t="s">
        <v>53</v>
      </c>
      <c r="C47"/>
      <c r="D47" s="14" t="s">
        <v>191</v>
      </c>
      <c r="E47" s="49" t="s">
        <v>54</v>
      </c>
      <c r="F47" s="15">
        <v>10113</v>
      </c>
      <c r="G47" s="15">
        <v>21.5</v>
      </c>
      <c r="H47" s="16">
        <v>0.6</v>
      </c>
      <c r="I47" s="63"/>
      <c r="J47" s="17"/>
      <c r="K47" s="64"/>
    </row>
    <row r="48" spans="1:11">
      <c r="A48" s="19"/>
      <c r="B48" s="34" t="s">
        <v>76</v>
      </c>
      <c r="C48"/>
      <c r="D48" s="14" t="s">
        <v>77</v>
      </c>
      <c r="E48" s="49" t="s">
        <v>78</v>
      </c>
      <c r="F48" s="15">
        <v>1945</v>
      </c>
      <c r="G48" s="15">
        <v>20.97</v>
      </c>
      <c r="H48" s="16">
        <v>0.57999999999999996</v>
      </c>
      <c r="I48" s="63"/>
      <c r="J48" s="17"/>
      <c r="K48" s="64"/>
    </row>
    <row r="49" spans="1:14">
      <c r="A49" s="19"/>
      <c r="B49" s="34" t="s">
        <v>160</v>
      </c>
      <c r="C49"/>
      <c r="D49" s="14" t="s">
        <v>161</v>
      </c>
      <c r="E49" s="49" t="s">
        <v>72</v>
      </c>
      <c r="F49" s="15">
        <v>43</v>
      </c>
      <c r="G49" s="15">
        <v>18.03</v>
      </c>
      <c r="H49" s="16">
        <v>0.5</v>
      </c>
      <c r="I49" s="63"/>
      <c r="J49" s="17"/>
      <c r="K49" s="64"/>
    </row>
    <row r="50" spans="1:14">
      <c r="A50" s="19"/>
      <c r="B50" s="34" t="s">
        <v>57</v>
      </c>
      <c r="C50"/>
      <c r="D50" s="14" t="s">
        <v>58</v>
      </c>
      <c r="E50" s="49" t="s">
        <v>33</v>
      </c>
      <c r="F50" s="15">
        <v>710</v>
      </c>
      <c r="G50" s="15">
        <v>16.420000000000002</v>
      </c>
      <c r="H50" s="16">
        <v>0.46</v>
      </c>
      <c r="I50" s="63"/>
      <c r="J50" s="65"/>
      <c r="K50" s="64"/>
    </row>
    <row r="51" spans="1:14">
      <c r="A51" s="19"/>
      <c r="B51" s="34" t="s">
        <v>40</v>
      </c>
      <c r="C51"/>
      <c r="D51" s="14" t="s">
        <v>41</v>
      </c>
      <c r="E51" s="49" t="s">
        <v>42</v>
      </c>
      <c r="F51" s="15">
        <v>6189</v>
      </c>
      <c r="G51" s="15">
        <v>14.19</v>
      </c>
      <c r="H51" s="16">
        <v>0.39</v>
      </c>
      <c r="I51" s="63"/>
      <c r="J51" s="65"/>
      <c r="K51" s="64"/>
    </row>
    <row r="52" spans="1:14">
      <c r="A52" s="19"/>
      <c r="B52" s="34" t="s">
        <v>152</v>
      </c>
      <c r="C52"/>
      <c r="D52" s="14" t="s">
        <v>153</v>
      </c>
      <c r="E52" s="49" t="s">
        <v>33</v>
      </c>
      <c r="F52" s="15">
        <v>571</v>
      </c>
      <c r="G52" s="15">
        <v>13.67</v>
      </c>
      <c r="H52" s="16">
        <v>0.38</v>
      </c>
      <c r="I52" s="63"/>
      <c r="J52" s="17"/>
      <c r="K52" s="64"/>
      <c r="N52" s="17"/>
    </row>
    <row r="53" spans="1:14">
      <c r="A53" s="19"/>
      <c r="B53" s="34" t="s">
        <v>79</v>
      </c>
      <c r="C53"/>
      <c r="D53" s="14" t="s">
        <v>196</v>
      </c>
      <c r="E53" s="49" t="s">
        <v>80</v>
      </c>
      <c r="F53" s="15">
        <v>4481</v>
      </c>
      <c r="G53" s="15">
        <v>13.55</v>
      </c>
      <c r="H53" s="16">
        <v>0.38</v>
      </c>
      <c r="I53" s="63"/>
      <c r="J53" s="65"/>
      <c r="K53" s="64"/>
    </row>
    <row r="54" spans="1:14">
      <c r="A54" s="19"/>
      <c r="B54" s="34" t="s">
        <v>163</v>
      </c>
      <c r="C54"/>
      <c r="D54" s="14" t="s">
        <v>197</v>
      </c>
      <c r="E54" s="49" t="s">
        <v>164</v>
      </c>
      <c r="F54" s="15">
        <v>78</v>
      </c>
      <c r="G54" s="15">
        <v>10.35</v>
      </c>
      <c r="H54" s="16">
        <v>0.28999999999999998</v>
      </c>
      <c r="I54" s="63"/>
      <c r="J54" s="17"/>
      <c r="K54" s="64"/>
    </row>
    <row r="55" spans="1:14">
      <c r="A55" s="19"/>
      <c r="B55" s="34" t="s">
        <v>158</v>
      </c>
      <c r="C55"/>
      <c r="D55" s="14" t="s">
        <v>159</v>
      </c>
      <c r="E55" s="49" t="s">
        <v>33</v>
      </c>
      <c r="F55" s="15">
        <v>3831</v>
      </c>
      <c r="G55" s="15">
        <v>8.81</v>
      </c>
      <c r="H55" s="16">
        <v>0.25</v>
      </c>
      <c r="I55" s="63"/>
      <c r="J55" s="17"/>
      <c r="K55" s="64"/>
    </row>
    <row r="56" spans="1:14">
      <c r="A56" s="19"/>
      <c r="B56" t="s">
        <v>200</v>
      </c>
      <c r="D56" s="14" t="s">
        <v>201</v>
      </c>
      <c r="E56" s="14" t="s">
        <v>93</v>
      </c>
      <c r="F56" s="15">
        <v>784</v>
      </c>
      <c r="G56" s="15">
        <v>8.59</v>
      </c>
      <c r="H56" s="16">
        <v>0.24</v>
      </c>
      <c r="I56" s="63"/>
      <c r="J56" s="17"/>
      <c r="K56" s="64"/>
    </row>
    <row r="57" spans="1:14">
      <c r="A57" s="19"/>
      <c r="B57" t="s">
        <v>202</v>
      </c>
      <c r="D57" s="14" t="s">
        <v>203</v>
      </c>
      <c r="E57" s="14" t="s">
        <v>19</v>
      </c>
      <c r="F57" s="15">
        <v>159</v>
      </c>
      <c r="G57" s="15">
        <v>8.16</v>
      </c>
      <c r="H57" s="16">
        <v>0.23</v>
      </c>
      <c r="I57" s="63"/>
      <c r="J57" s="17"/>
      <c r="K57" s="64"/>
    </row>
    <row r="58" spans="1:14">
      <c r="A58" s="19"/>
      <c r="B58" s="34" t="s">
        <v>140</v>
      </c>
      <c r="C58"/>
      <c r="D58" s="14" t="s">
        <v>141</v>
      </c>
      <c r="E58" s="49" t="s">
        <v>72</v>
      </c>
      <c r="F58" s="15">
        <v>4514</v>
      </c>
      <c r="G58" s="15">
        <v>8.1199999999999992</v>
      </c>
      <c r="H58" s="16">
        <v>0.23</v>
      </c>
      <c r="I58" s="63"/>
      <c r="J58" s="17"/>
      <c r="K58" s="64"/>
    </row>
    <row r="59" spans="1:14">
      <c r="A59" s="19"/>
      <c r="B59" s="34" t="s">
        <v>148</v>
      </c>
      <c r="C59"/>
      <c r="D59" s="14" t="s">
        <v>149</v>
      </c>
      <c r="E59" s="49" t="s">
        <v>13</v>
      </c>
      <c r="F59" s="15">
        <v>485</v>
      </c>
      <c r="G59" s="15">
        <v>7.35</v>
      </c>
      <c r="H59" s="16">
        <v>0.2</v>
      </c>
      <c r="I59" s="63"/>
      <c r="J59" s="17"/>
      <c r="K59" s="64"/>
    </row>
    <row r="60" spans="1:14">
      <c r="A60" s="19"/>
      <c r="B60" t="s">
        <v>204</v>
      </c>
      <c r="D60" s="14" t="s">
        <v>205</v>
      </c>
      <c r="E60" s="14" t="s">
        <v>19</v>
      </c>
      <c r="F60" s="15">
        <v>761</v>
      </c>
      <c r="G60" s="15">
        <v>5.6</v>
      </c>
      <c r="H60" s="16">
        <v>0.16</v>
      </c>
      <c r="I60" s="63"/>
      <c r="J60" s="17"/>
      <c r="K60" s="64"/>
    </row>
    <row r="61" spans="1:14">
      <c r="A61" s="19"/>
      <c r="B61" s="34" t="s">
        <v>150</v>
      </c>
      <c r="C61"/>
      <c r="D61" s="14" t="s">
        <v>151</v>
      </c>
      <c r="E61" s="49" t="s">
        <v>13</v>
      </c>
      <c r="F61" s="15">
        <v>714</v>
      </c>
      <c r="G61" s="15">
        <v>4.75</v>
      </c>
      <c r="H61" s="16">
        <v>0.13</v>
      </c>
      <c r="I61" s="63"/>
      <c r="J61" s="17"/>
      <c r="K61" s="64"/>
    </row>
    <row r="62" spans="1:14">
      <c r="A62" s="19"/>
      <c r="B62"/>
      <c r="D62" s="14"/>
      <c r="E62" s="14"/>
      <c r="F62" s="15"/>
      <c r="G62" s="15"/>
      <c r="H62" s="16"/>
      <c r="I62" s="66"/>
      <c r="J62" s="17"/>
    </row>
    <row r="63" spans="1:14">
      <c r="A63" s="19"/>
      <c r="B63"/>
      <c r="D63" s="14"/>
      <c r="E63" s="14"/>
      <c r="F63" s="15"/>
      <c r="G63" s="15"/>
      <c r="H63" s="16"/>
    </row>
    <row r="64" spans="1:14">
      <c r="A64" s="20"/>
      <c r="B64" s="57" t="s">
        <v>95</v>
      </c>
      <c r="C64" s="57"/>
      <c r="D64" s="20"/>
      <c r="E64" s="12"/>
      <c r="F64" s="12"/>
      <c r="G64" s="21">
        <f>SUM(G9:G61)</f>
        <v>2912.8299999999995</v>
      </c>
      <c r="H64" s="54">
        <f>SUM(H9:H61)</f>
        <v>81.089999999999989</v>
      </c>
      <c r="I64" s="63"/>
      <c r="J64" s="17"/>
    </row>
    <row r="65" spans="1:11">
      <c r="A65" s="22"/>
      <c r="B65" s="75" t="s">
        <v>96</v>
      </c>
      <c r="C65" s="75"/>
      <c r="D65" s="75"/>
      <c r="E65" s="23"/>
      <c r="F65" s="24"/>
      <c r="G65" s="24" t="s">
        <v>97</v>
      </c>
      <c r="H65" s="24" t="s">
        <v>97</v>
      </c>
      <c r="I65" s="63"/>
    </row>
    <row r="66" spans="1:11" s="10" customFormat="1" ht="12.75">
      <c r="A66" s="20"/>
      <c r="B66" s="57" t="s">
        <v>95</v>
      </c>
      <c r="C66" s="57"/>
      <c r="D66" s="20"/>
      <c r="E66" s="12"/>
      <c r="F66" s="12"/>
      <c r="G66" s="9">
        <v>0</v>
      </c>
      <c r="H66" s="9">
        <v>0</v>
      </c>
      <c r="K66" s="62"/>
    </row>
    <row r="67" spans="1:11">
      <c r="A67" s="20"/>
      <c r="B67" s="57" t="s">
        <v>98</v>
      </c>
      <c r="C67" s="57"/>
      <c r="D67" s="20"/>
      <c r="E67" s="12"/>
      <c r="F67" s="12"/>
      <c r="G67" s="9">
        <f>+G64</f>
        <v>2912.8299999999995</v>
      </c>
      <c r="H67" s="9">
        <f>+H64</f>
        <v>81.089999999999989</v>
      </c>
      <c r="I67" s="63"/>
      <c r="J67" s="17"/>
    </row>
    <row r="68" spans="1:11">
      <c r="A68" s="11"/>
      <c r="B68" s="73" t="s">
        <v>99</v>
      </c>
      <c r="C68" s="73"/>
      <c r="D68" s="73"/>
      <c r="E68" s="12"/>
      <c r="F68" s="12"/>
      <c r="G68" s="12"/>
      <c r="H68" s="12"/>
    </row>
    <row r="69" spans="1:11">
      <c r="A69" s="11"/>
      <c r="B69" s="73" t="s">
        <v>100</v>
      </c>
      <c r="C69" s="73"/>
      <c r="D69" s="73"/>
      <c r="E69" s="12"/>
      <c r="F69" s="12"/>
      <c r="G69" s="24" t="s">
        <v>97</v>
      </c>
      <c r="H69" s="24" t="s">
        <v>97</v>
      </c>
    </row>
    <row r="70" spans="1:11">
      <c r="A70" s="20"/>
      <c r="B70" s="57" t="s">
        <v>95</v>
      </c>
      <c r="C70" s="57"/>
      <c r="D70" s="20"/>
      <c r="E70" s="12"/>
      <c r="F70" s="12"/>
      <c r="G70" s="9">
        <v>0</v>
      </c>
      <c r="H70" s="9">
        <v>0</v>
      </c>
    </row>
    <row r="71" spans="1:11">
      <c r="A71" s="11"/>
      <c r="B71" s="73" t="s">
        <v>101</v>
      </c>
      <c r="C71" s="73"/>
      <c r="D71" s="73"/>
      <c r="E71" s="12"/>
      <c r="F71" s="12"/>
      <c r="G71" s="24" t="s">
        <v>97</v>
      </c>
      <c r="H71" s="24" t="s">
        <v>97</v>
      </c>
    </row>
    <row r="72" spans="1:11">
      <c r="A72" s="20"/>
      <c r="B72" s="57" t="s">
        <v>95</v>
      </c>
      <c r="C72" s="57"/>
      <c r="D72" s="20"/>
      <c r="E72" s="12"/>
      <c r="F72" s="12"/>
      <c r="G72" s="9">
        <v>0</v>
      </c>
      <c r="H72" s="9">
        <v>0</v>
      </c>
    </row>
    <row r="73" spans="1:11">
      <c r="A73" s="22"/>
      <c r="B73" s="75" t="s">
        <v>102</v>
      </c>
      <c r="C73" s="75"/>
      <c r="D73" s="75"/>
      <c r="E73" s="23"/>
      <c r="F73" s="24"/>
      <c r="G73" s="24" t="s">
        <v>97</v>
      </c>
      <c r="H73" s="24" t="s">
        <v>97</v>
      </c>
    </row>
    <row r="74" spans="1:11" s="10" customFormat="1" ht="12.75">
      <c r="A74" s="20"/>
      <c r="B74" s="57" t="s">
        <v>95</v>
      </c>
      <c r="C74" s="57"/>
      <c r="D74" s="20"/>
      <c r="E74" s="12"/>
      <c r="F74" s="12"/>
      <c r="G74" s="9">
        <v>0</v>
      </c>
      <c r="H74" s="9">
        <v>0</v>
      </c>
      <c r="K74" s="62"/>
    </row>
    <row r="75" spans="1:11">
      <c r="A75" s="11"/>
      <c r="B75" s="73" t="s">
        <v>103</v>
      </c>
      <c r="C75" s="73"/>
      <c r="D75" s="73"/>
      <c r="E75" s="12"/>
      <c r="F75" s="12"/>
      <c r="G75" s="12"/>
      <c r="H75" s="12"/>
    </row>
    <row r="76" spans="1:11">
      <c r="A76" s="11"/>
      <c r="B76" s="73" t="s">
        <v>101</v>
      </c>
      <c r="C76" s="73"/>
      <c r="D76" s="73"/>
      <c r="E76" s="12"/>
      <c r="F76" s="12"/>
      <c r="G76" s="24"/>
      <c r="H76" s="24"/>
    </row>
    <row r="77" spans="1:11">
      <c r="A77" s="11"/>
      <c r="B77" t="s">
        <v>104</v>
      </c>
      <c r="C77" s="48">
        <v>9.74</v>
      </c>
      <c r="D77" t="s">
        <v>105</v>
      </c>
      <c r="E77" s="25" t="s">
        <v>106</v>
      </c>
      <c r="F77" s="15">
        <v>2</v>
      </c>
      <c r="G77" s="15">
        <v>21.52</v>
      </c>
      <c r="H77" s="55">
        <v>0.6</v>
      </c>
      <c r="I77" s="67"/>
      <c r="J77" s="17"/>
    </row>
    <row r="78" spans="1:11">
      <c r="A78" s="11"/>
      <c r="B78" t="s">
        <v>107</v>
      </c>
      <c r="C78" s="48">
        <v>9.39</v>
      </c>
      <c r="D78" t="s">
        <v>108</v>
      </c>
      <c r="E78" s="25" t="s">
        <v>106</v>
      </c>
      <c r="F78" s="15">
        <v>7</v>
      </c>
      <c r="G78" s="15">
        <v>70.150000000000006</v>
      </c>
      <c r="H78" s="55">
        <v>1.95</v>
      </c>
      <c r="I78" s="67"/>
      <c r="J78" s="17"/>
    </row>
    <row r="79" spans="1:11">
      <c r="A79" s="11"/>
      <c r="B79" t="s">
        <v>198</v>
      </c>
      <c r="C79" s="48">
        <v>9.65</v>
      </c>
      <c r="D79" t="s">
        <v>145</v>
      </c>
      <c r="E79" s="25" t="s">
        <v>106</v>
      </c>
      <c r="F79" s="15">
        <v>5</v>
      </c>
      <c r="G79">
        <v>51.68</v>
      </c>
      <c r="H79" s="55">
        <v>1.44</v>
      </c>
      <c r="I79" s="69"/>
      <c r="J79" s="17"/>
    </row>
    <row r="80" spans="1:11">
      <c r="A80" s="20"/>
      <c r="B80" s="57" t="s">
        <v>95</v>
      </c>
      <c r="C80" s="57"/>
      <c r="D80" s="20"/>
      <c r="E80" s="12"/>
      <c r="F80" s="12"/>
      <c r="G80" s="9">
        <f>SUM(G77:G79)</f>
        <v>143.35</v>
      </c>
      <c r="H80" s="9">
        <f>SUM(H77:H79)</f>
        <v>3.9899999999999998</v>
      </c>
      <c r="I80" s="63"/>
      <c r="J80" s="2"/>
    </row>
    <row r="81" spans="1:11">
      <c r="A81" s="22"/>
      <c r="B81" s="75" t="s">
        <v>102</v>
      </c>
      <c r="C81" s="75"/>
      <c r="D81" s="75"/>
      <c r="E81" s="23"/>
      <c r="F81" s="24"/>
      <c r="G81" s="24" t="s">
        <v>97</v>
      </c>
      <c r="H81" s="24" t="s">
        <v>97</v>
      </c>
    </row>
    <row r="82" spans="1:11" s="10" customFormat="1" ht="12.75">
      <c r="A82" s="20"/>
      <c r="B82" s="57" t="s">
        <v>95</v>
      </c>
      <c r="C82" s="57"/>
      <c r="D82" s="20"/>
      <c r="E82" s="12"/>
      <c r="F82" s="12"/>
      <c r="G82" s="9">
        <v>0</v>
      </c>
      <c r="H82" s="9">
        <v>0</v>
      </c>
      <c r="K82" s="62"/>
    </row>
    <row r="83" spans="1:11">
      <c r="A83" s="11"/>
      <c r="B83" s="73" t="s">
        <v>109</v>
      </c>
      <c r="C83" s="73"/>
      <c r="D83" s="73"/>
      <c r="E83" s="12"/>
      <c r="F83" s="12"/>
      <c r="G83" s="12"/>
      <c r="H83" s="12"/>
    </row>
    <row r="84" spans="1:11">
      <c r="A84" s="20"/>
      <c r="B84" s="57" t="s">
        <v>95</v>
      </c>
      <c r="C84" s="57"/>
      <c r="D84" s="20"/>
      <c r="E84" s="12"/>
      <c r="F84" s="12"/>
      <c r="G84" s="9">
        <v>0</v>
      </c>
      <c r="H84" s="9">
        <v>0</v>
      </c>
    </row>
    <row r="85" spans="1:11">
      <c r="A85" s="20"/>
      <c r="B85" s="57" t="s">
        <v>98</v>
      </c>
      <c r="C85" s="57"/>
      <c r="D85" s="20"/>
      <c r="E85" s="12"/>
      <c r="F85" s="12"/>
      <c r="G85" s="9">
        <f>+G80</f>
        <v>143.35</v>
      </c>
      <c r="H85" s="9">
        <f>+H80</f>
        <v>3.9899999999999998</v>
      </c>
      <c r="I85" s="63"/>
      <c r="J85" s="2"/>
    </row>
    <row r="86" spans="1:11">
      <c r="A86" s="11"/>
      <c r="B86" s="73" t="s">
        <v>110</v>
      </c>
      <c r="C86" s="73"/>
      <c r="D86" s="73"/>
      <c r="E86" s="12"/>
      <c r="F86" s="12"/>
      <c r="G86" s="12"/>
      <c r="H86" s="12"/>
    </row>
    <row r="87" spans="1:11">
      <c r="A87" s="22"/>
      <c r="B87" s="75" t="s">
        <v>111</v>
      </c>
      <c r="C87" s="75"/>
      <c r="D87" s="75"/>
      <c r="E87" s="23"/>
      <c r="F87" s="24"/>
      <c r="G87" s="24" t="s">
        <v>97</v>
      </c>
      <c r="H87" s="24" t="s">
        <v>97</v>
      </c>
    </row>
    <row r="88" spans="1:11" s="10" customFormat="1" ht="12.75">
      <c r="A88" s="20"/>
      <c r="B88" s="57" t="s">
        <v>95</v>
      </c>
      <c r="C88" s="57"/>
      <c r="D88" s="20"/>
      <c r="E88" s="12"/>
      <c r="F88" s="12"/>
      <c r="G88" s="9">
        <v>0</v>
      </c>
      <c r="H88" s="9">
        <v>0</v>
      </c>
      <c r="K88" s="62"/>
    </row>
    <row r="89" spans="1:11">
      <c r="A89" s="22"/>
      <c r="B89" s="75" t="s">
        <v>112</v>
      </c>
      <c r="C89" s="75"/>
      <c r="D89" s="75"/>
      <c r="E89" s="23"/>
      <c r="F89" s="24"/>
      <c r="G89" s="24"/>
      <c r="H89" s="24"/>
    </row>
    <row r="90" spans="1:11" s="10" customFormat="1">
      <c r="A90" s="22"/>
      <c r="B90" t="s">
        <v>199</v>
      </c>
      <c r="D90" t="s">
        <v>145</v>
      </c>
      <c r="E90" s="25" t="s">
        <v>146</v>
      </c>
      <c r="F90">
        <v>100</v>
      </c>
      <c r="G90" s="15">
        <v>496.45</v>
      </c>
      <c r="H90" s="55">
        <v>13.82</v>
      </c>
      <c r="I90" s="63"/>
      <c r="K90" s="62"/>
    </row>
    <row r="91" spans="1:11" s="10" customFormat="1">
      <c r="A91" s="20"/>
      <c r="B91" s="57" t="s">
        <v>95</v>
      </c>
      <c r="C91" s="57"/>
      <c r="D91" s="20"/>
      <c r="E91" s="12"/>
      <c r="F91" s="12"/>
      <c r="G91" s="9">
        <f>SUM(G90)</f>
        <v>496.45</v>
      </c>
      <c r="H91" s="21">
        <f>SUM(H90)</f>
        <v>13.82</v>
      </c>
      <c r="I91" s="63"/>
      <c r="J91" s="2"/>
      <c r="K91" s="62"/>
    </row>
    <row r="92" spans="1:11">
      <c r="A92" s="22"/>
      <c r="B92" s="75" t="s">
        <v>113</v>
      </c>
      <c r="C92" s="75"/>
      <c r="D92" s="75"/>
      <c r="E92" s="23"/>
      <c r="F92" s="24"/>
      <c r="G92" s="24" t="s">
        <v>97</v>
      </c>
      <c r="H92" s="24" t="s">
        <v>97</v>
      </c>
    </row>
    <row r="93" spans="1:11" s="10" customFormat="1" ht="12.75">
      <c r="A93" s="20"/>
      <c r="B93" s="57" t="s">
        <v>95</v>
      </c>
      <c r="C93" s="57"/>
      <c r="D93" s="20"/>
      <c r="E93" s="12"/>
      <c r="F93" s="12"/>
      <c r="G93" s="9">
        <v>0</v>
      </c>
      <c r="H93" s="9">
        <v>0</v>
      </c>
      <c r="K93" s="62"/>
    </row>
    <row r="94" spans="1:11">
      <c r="A94" s="22"/>
      <c r="B94" s="75" t="s">
        <v>114</v>
      </c>
      <c r="C94" s="75"/>
      <c r="D94" s="75"/>
      <c r="E94" s="23"/>
      <c r="F94" s="24"/>
      <c r="G94" s="24" t="s">
        <v>97</v>
      </c>
      <c r="H94" s="24" t="s">
        <v>97</v>
      </c>
    </row>
    <row r="95" spans="1:11" s="10" customFormat="1" ht="12.75">
      <c r="A95" s="20"/>
      <c r="B95" s="57" t="s">
        <v>95</v>
      </c>
      <c r="C95" s="57"/>
      <c r="D95" s="20"/>
      <c r="E95" s="12"/>
      <c r="F95" s="12"/>
      <c r="G95" s="9">
        <v>0</v>
      </c>
      <c r="H95" s="9">
        <v>0</v>
      </c>
      <c r="K95" s="62"/>
    </row>
    <row r="96" spans="1:11">
      <c r="A96" s="20"/>
      <c r="B96" s="57" t="s">
        <v>98</v>
      </c>
      <c r="C96" s="57"/>
      <c r="D96" s="20"/>
      <c r="E96" s="12"/>
      <c r="F96" s="12"/>
      <c r="G96" s="9">
        <f>+G91+G93+G95</f>
        <v>496.45</v>
      </c>
      <c r="H96" s="9">
        <f>+H91+H93+H95</f>
        <v>13.82</v>
      </c>
      <c r="I96" s="63"/>
      <c r="J96" s="2"/>
    </row>
    <row r="97" spans="1:11">
      <c r="A97" s="11"/>
      <c r="B97" s="73" t="s">
        <v>115</v>
      </c>
      <c r="C97" s="73"/>
      <c r="D97" s="73"/>
      <c r="E97" s="12"/>
      <c r="F97" s="12"/>
      <c r="G97" s="24"/>
      <c r="H97" s="15"/>
    </row>
    <row r="98" spans="1:11">
      <c r="A98" s="11"/>
      <c r="B98" s="57" t="s">
        <v>116</v>
      </c>
      <c r="C98" s="57"/>
      <c r="D98" s="57"/>
      <c r="E98" s="12"/>
      <c r="F98" s="12"/>
      <c r="G98" s="17">
        <v>39.590000000000003</v>
      </c>
      <c r="H98" s="26">
        <v>1.1000000000000001</v>
      </c>
      <c r="I98" s="63"/>
    </row>
    <row r="99" spans="1:11">
      <c r="A99" s="20"/>
      <c r="B99" s="57" t="s">
        <v>95</v>
      </c>
      <c r="C99" s="57"/>
      <c r="D99" s="20"/>
      <c r="E99" s="12"/>
      <c r="F99" s="12"/>
      <c r="G99" s="24">
        <f>+G98</f>
        <v>39.590000000000003</v>
      </c>
      <c r="H99" s="31">
        <f>+H98</f>
        <v>1.1000000000000001</v>
      </c>
      <c r="I99" s="70"/>
      <c r="J99" s="2"/>
    </row>
    <row r="100" spans="1:11">
      <c r="A100" s="20"/>
      <c r="B100" s="57" t="s">
        <v>98</v>
      </c>
      <c r="C100" s="57"/>
      <c r="D100" s="20"/>
      <c r="E100" s="12"/>
      <c r="F100" s="12"/>
      <c r="G100" s="24">
        <v>0</v>
      </c>
      <c r="H100" s="15">
        <v>0</v>
      </c>
    </row>
    <row r="101" spans="1:11">
      <c r="A101" s="58"/>
      <c r="B101" s="58" t="s">
        <v>117</v>
      </c>
      <c r="C101" s="58"/>
      <c r="D101" s="58"/>
      <c r="E101" s="23"/>
      <c r="F101" s="23"/>
      <c r="G101" s="24">
        <f>+G67+G85+G96+G99</f>
        <v>3592.2199999999993</v>
      </c>
      <c r="H101" s="31">
        <f>+H67+H85+H96+H99</f>
        <v>99.999999999999972</v>
      </c>
      <c r="I101" s="63"/>
      <c r="J101" s="2"/>
    </row>
    <row r="102" spans="1:11" s="10" customFormat="1">
      <c r="A102" s="59"/>
      <c r="B102" s="48"/>
      <c r="C102" s="48"/>
      <c r="D102" s="27" t="s">
        <v>118</v>
      </c>
      <c r="E102" s="27"/>
      <c r="F102" s="27"/>
      <c r="G102" s="28"/>
      <c r="H102" s="28"/>
      <c r="K102" s="62"/>
    </row>
    <row r="103" spans="1:11" ht="15.75">
      <c r="A103" s="59"/>
      <c r="D103" s="32" t="s">
        <v>119</v>
      </c>
      <c r="E103" s="32"/>
      <c r="F103" s="32"/>
      <c r="G103" s="50"/>
      <c r="H103" s="53"/>
    </row>
    <row r="104" spans="1:11">
      <c r="A104" s="59"/>
      <c r="D104" s="32"/>
      <c r="E104" s="32"/>
      <c r="F104" s="32"/>
      <c r="G104" s="32"/>
      <c r="H104" s="32"/>
    </row>
    <row r="105" spans="1:11">
      <c r="A105" s="59"/>
      <c r="D105" s="32"/>
      <c r="E105" s="32"/>
      <c r="F105" s="32"/>
      <c r="G105" s="32"/>
      <c r="H105" s="32"/>
      <c r="J105" s="2"/>
    </row>
    <row r="106" spans="1:11">
      <c r="A106" s="76"/>
      <c r="B106" s="72" t="s">
        <v>120</v>
      </c>
      <c r="C106" s="72"/>
      <c r="D106" s="72"/>
      <c r="E106" s="29"/>
      <c r="F106" s="29"/>
      <c r="G106" s="29"/>
      <c r="H106" s="29"/>
    </row>
    <row r="107" spans="1:11">
      <c r="A107" s="76"/>
      <c r="B107" s="71" t="s">
        <v>121</v>
      </c>
      <c r="C107" s="71"/>
      <c r="D107" s="71"/>
      <c r="E107" s="29"/>
      <c r="F107" s="29"/>
      <c r="G107" s="29"/>
      <c r="H107" s="30">
        <v>8.620000000000001</v>
      </c>
      <c r="I107" s="68"/>
    </row>
    <row r="108" spans="1:11">
      <c r="A108" s="76"/>
      <c r="B108" s="71" t="s">
        <v>122</v>
      </c>
      <c r="C108" s="71"/>
      <c r="D108" s="71"/>
      <c r="E108" s="29"/>
      <c r="F108" s="29"/>
      <c r="G108" s="29"/>
      <c r="H108" s="30">
        <v>2.0500000000000003</v>
      </c>
      <c r="I108" s="68"/>
    </row>
    <row r="109" spans="1:11">
      <c r="A109" s="76"/>
      <c r="B109" s="71" t="s">
        <v>123</v>
      </c>
      <c r="C109" s="71"/>
      <c r="D109" s="71"/>
      <c r="E109" s="29"/>
      <c r="F109" s="29"/>
      <c r="G109" s="29"/>
      <c r="H109" s="30">
        <v>19.37</v>
      </c>
      <c r="I109" s="68"/>
    </row>
    <row r="110" spans="1:11">
      <c r="A110" s="76"/>
      <c r="B110" s="71" t="s">
        <v>124</v>
      </c>
      <c r="C110" s="71"/>
      <c r="D110" s="71"/>
      <c r="E110" s="29"/>
      <c r="F110" s="29"/>
      <c r="G110" s="29"/>
      <c r="H110" s="30">
        <v>2.0499999999999998</v>
      </c>
      <c r="I110" s="68"/>
    </row>
    <row r="111" spans="1:11">
      <c r="A111" s="76"/>
      <c r="B111" s="71" t="s">
        <v>125</v>
      </c>
      <c r="C111" s="71"/>
      <c r="D111" s="71"/>
      <c r="E111" s="29"/>
      <c r="F111" s="29"/>
      <c r="G111" s="29"/>
      <c r="H111" s="30">
        <v>2.06</v>
      </c>
      <c r="I111" s="68"/>
    </row>
    <row r="112" spans="1:11">
      <c r="A112" s="76"/>
      <c r="B112" s="71" t="s">
        <v>126</v>
      </c>
      <c r="C112" s="71"/>
      <c r="D112" s="71"/>
      <c r="E112" s="29"/>
      <c r="F112" s="29"/>
      <c r="G112" s="29"/>
      <c r="H112" s="30">
        <v>0.57999999999999996</v>
      </c>
      <c r="I112" s="68"/>
    </row>
    <row r="113" spans="1:9">
      <c r="A113" s="76"/>
      <c r="B113" s="71" t="s">
        <v>127</v>
      </c>
      <c r="C113" s="71"/>
      <c r="D113" s="71"/>
      <c r="E113" s="29"/>
      <c r="F113" s="29"/>
      <c r="G113" s="29"/>
      <c r="H113" s="30">
        <v>4.5299999999999994</v>
      </c>
      <c r="I113" s="68"/>
    </row>
    <row r="114" spans="1:9">
      <c r="A114" s="76"/>
      <c r="B114" s="71" t="s">
        <v>128</v>
      </c>
      <c r="C114" s="71"/>
      <c r="D114" s="71"/>
      <c r="E114" s="29"/>
      <c r="F114" s="29"/>
      <c r="G114" s="29"/>
      <c r="H114" s="30">
        <v>0.6</v>
      </c>
      <c r="I114" s="68"/>
    </row>
    <row r="115" spans="1:9">
      <c r="A115" s="76"/>
      <c r="B115" s="71" t="s">
        <v>129</v>
      </c>
      <c r="C115" s="71"/>
      <c r="D115" s="71"/>
      <c r="E115" s="29"/>
      <c r="F115" s="29"/>
      <c r="G115" s="29"/>
      <c r="H115" s="30">
        <v>9.2100000000000009</v>
      </c>
      <c r="I115" s="68"/>
    </row>
    <row r="116" spans="1:9">
      <c r="A116" s="76"/>
      <c r="B116" s="71" t="s">
        <v>130</v>
      </c>
      <c r="C116" s="71"/>
      <c r="D116" s="71"/>
      <c r="E116" s="29"/>
      <c r="F116" s="29"/>
      <c r="G116" s="29"/>
      <c r="H116" s="30">
        <v>0.38</v>
      </c>
      <c r="I116" s="68"/>
    </row>
    <row r="117" spans="1:9">
      <c r="A117" s="76"/>
      <c r="B117" s="71" t="s">
        <v>131</v>
      </c>
      <c r="C117" s="71"/>
      <c r="D117" s="71"/>
      <c r="E117" s="29"/>
      <c r="F117" s="29"/>
      <c r="G117" s="29"/>
      <c r="H117" s="30">
        <v>1.7</v>
      </c>
      <c r="I117" s="68"/>
    </row>
    <row r="118" spans="1:9">
      <c r="A118" s="76"/>
      <c r="B118" s="71" t="s">
        <v>147</v>
      </c>
      <c r="C118" s="71"/>
      <c r="D118" s="71"/>
      <c r="E118" s="29"/>
      <c r="F118" s="29"/>
      <c r="G118" s="29"/>
      <c r="H118" s="30">
        <v>1.75</v>
      </c>
      <c r="I118" s="68"/>
    </row>
    <row r="119" spans="1:9">
      <c r="A119" s="76"/>
      <c r="B119" s="56" t="s">
        <v>132</v>
      </c>
      <c r="C119" s="56"/>
      <c r="D119" s="56"/>
      <c r="E119" s="29"/>
      <c r="F119" s="29"/>
      <c r="G119" s="29"/>
      <c r="H119" s="30">
        <v>1.64</v>
      </c>
      <c r="I119" s="68"/>
    </row>
    <row r="120" spans="1:9">
      <c r="A120" s="76"/>
      <c r="B120" s="71" t="s">
        <v>133</v>
      </c>
      <c r="C120" s="71"/>
      <c r="D120" s="71"/>
      <c r="E120" s="29"/>
      <c r="F120" s="29"/>
      <c r="G120" s="29"/>
      <c r="H120" s="30">
        <v>0.39</v>
      </c>
      <c r="I120" s="68"/>
    </row>
    <row r="121" spans="1:9">
      <c r="A121" s="76"/>
      <c r="B121" s="56" t="s">
        <v>134</v>
      </c>
      <c r="C121" s="56"/>
      <c r="D121" s="56"/>
      <c r="E121" s="29"/>
      <c r="F121" s="29"/>
      <c r="G121" s="29"/>
      <c r="H121" s="30">
        <v>0.78</v>
      </c>
      <c r="I121" s="68"/>
    </row>
    <row r="122" spans="1:9">
      <c r="B122" s="71" t="s">
        <v>135</v>
      </c>
      <c r="C122" s="71"/>
      <c r="D122" s="71"/>
      <c r="E122" s="29"/>
      <c r="F122" s="29"/>
      <c r="G122" s="29"/>
      <c r="H122" s="30">
        <v>2.67</v>
      </c>
      <c r="I122" s="68"/>
    </row>
    <row r="123" spans="1:9">
      <c r="B123" s="71" t="s">
        <v>136</v>
      </c>
      <c r="C123" s="71"/>
      <c r="D123" s="71"/>
      <c r="E123" s="29"/>
      <c r="F123" s="29"/>
      <c r="G123" s="29"/>
      <c r="H123" s="30">
        <v>9.1699999999999982</v>
      </c>
      <c r="I123" s="68"/>
    </row>
    <row r="124" spans="1:9">
      <c r="B124" s="71" t="s">
        <v>137</v>
      </c>
      <c r="C124" s="71"/>
      <c r="D124" s="71"/>
      <c r="E124" s="29"/>
      <c r="F124" s="29"/>
      <c r="G124" s="29"/>
      <c r="H124" s="30">
        <v>0.73</v>
      </c>
      <c r="I124" s="68"/>
    </row>
    <row r="125" spans="1:9">
      <c r="B125" s="71" t="s">
        <v>138</v>
      </c>
      <c r="C125" s="71"/>
      <c r="D125" s="71"/>
      <c r="E125" s="29"/>
      <c r="F125" s="29"/>
      <c r="G125" s="29"/>
      <c r="H125" s="30">
        <v>12.520000000000001</v>
      </c>
      <c r="I125" s="68"/>
    </row>
    <row r="126" spans="1:9">
      <c r="B126" s="71" t="s">
        <v>165</v>
      </c>
      <c r="C126" s="71"/>
      <c r="D126" s="71"/>
      <c r="E126" s="29"/>
      <c r="F126" s="29"/>
      <c r="G126" s="29"/>
      <c r="H126" s="30">
        <v>0.28999999999999998</v>
      </c>
      <c r="I126" s="68"/>
    </row>
    <row r="128" spans="1:9" ht="15.75">
      <c r="D128" s="77" t="s">
        <v>166</v>
      </c>
      <c r="E128" s="77"/>
      <c r="F128" s="77"/>
      <c r="G128" s="77"/>
      <c r="H128" s="77"/>
    </row>
    <row r="129" spans="4:8">
      <c r="D129" s="76" t="s">
        <v>167</v>
      </c>
      <c r="E129" s="76"/>
      <c r="F129" s="76"/>
      <c r="G129" s="76"/>
      <c r="H129" s="76"/>
    </row>
    <row r="130" spans="4:8">
      <c r="D130" s="76" t="s">
        <v>168</v>
      </c>
      <c r="E130" s="76"/>
      <c r="F130" s="76"/>
      <c r="G130" s="76"/>
      <c r="H130" s="76"/>
    </row>
    <row r="131" spans="4:8">
      <c r="D131" s="76" t="s">
        <v>169</v>
      </c>
      <c r="E131" s="76"/>
      <c r="F131" s="76"/>
      <c r="G131" s="76"/>
      <c r="H131" s="76"/>
    </row>
    <row r="132" spans="4:8">
      <c r="D132" s="35" t="s">
        <v>170</v>
      </c>
      <c r="E132" s="51">
        <v>42277</v>
      </c>
      <c r="F132" s="51">
        <v>42247</v>
      </c>
      <c r="G132" s="37"/>
      <c r="H132" s="48"/>
    </row>
    <row r="133" spans="4:8" ht="15.75">
      <c r="D133" s="60" t="s">
        <v>171</v>
      </c>
      <c r="E133" s="60">
        <v>13.1127</v>
      </c>
      <c r="F133" s="60">
        <v>12.991300000000001</v>
      </c>
      <c r="G133" s="37"/>
      <c r="H133" s="48"/>
    </row>
    <row r="134" spans="4:8" ht="15.75">
      <c r="D134" s="60" t="s">
        <v>172</v>
      </c>
      <c r="E134" s="60">
        <v>11.668699999999999</v>
      </c>
      <c r="F134" s="44">
        <v>11.560700000000001</v>
      </c>
      <c r="G134" s="37"/>
      <c r="H134" s="48"/>
    </row>
    <row r="135" spans="4:8" ht="15.75">
      <c r="D135" s="60" t="s">
        <v>173</v>
      </c>
      <c r="E135" s="60">
        <v>13.2461</v>
      </c>
      <c r="F135" s="60">
        <v>13.1167</v>
      </c>
      <c r="G135" s="37"/>
      <c r="H135" s="48"/>
    </row>
    <row r="136" spans="4:8" ht="15.75">
      <c r="D136" s="60" t="s">
        <v>174</v>
      </c>
      <c r="E136" s="60">
        <v>11.7621</v>
      </c>
      <c r="F136" s="44">
        <v>11.648899999999999</v>
      </c>
      <c r="G136" s="37"/>
      <c r="H136" s="48"/>
    </row>
    <row r="137" spans="4:8">
      <c r="F137" s="37"/>
      <c r="G137" s="37"/>
      <c r="H137" s="48"/>
    </row>
    <row r="138" spans="4:8">
      <c r="D138" s="38" t="s">
        <v>175</v>
      </c>
      <c r="E138" s="59"/>
      <c r="F138" s="39"/>
      <c r="G138" s="39"/>
      <c r="H138" s="59"/>
    </row>
    <row r="139" spans="4:8" ht="26.25">
      <c r="D139" s="40"/>
      <c r="E139" s="40"/>
      <c r="F139" s="41"/>
      <c r="G139" s="42"/>
      <c r="H139" s="43" t="s">
        <v>176</v>
      </c>
    </row>
    <row r="140" spans="4:8" ht="26.25">
      <c r="D140" s="47" t="s">
        <v>177</v>
      </c>
      <c r="E140" s="47"/>
      <c r="F140" s="47" t="s">
        <v>178</v>
      </c>
      <c r="G140" s="43" t="s">
        <v>179</v>
      </c>
      <c r="H140" s="36" t="s">
        <v>180</v>
      </c>
    </row>
    <row r="141" spans="4:8">
      <c r="D141" s="48" t="s">
        <v>181</v>
      </c>
      <c r="E141" s="48"/>
      <c r="F141" s="45">
        <v>41717</v>
      </c>
      <c r="G141" s="39">
        <v>10.4657</v>
      </c>
      <c r="H141" s="39">
        <v>0.25</v>
      </c>
    </row>
    <row r="142" spans="4:8">
      <c r="D142" s="48" t="s">
        <v>181</v>
      </c>
      <c r="E142" s="48"/>
      <c r="F142" s="46">
        <v>41939</v>
      </c>
      <c r="G142" s="37">
        <v>11.9236</v>
      </c>
      <c r="H142" s="37">
        <v>1.05</v>
      </c>
    </row>
    <row r="143" spans="4:8">
      <c r="D143" s="48" t="s">
        <v>182</v>
      </c>
      <c r="E143" s="48"/>
      <c r="F143" s="45">
        <v>41717</v>
      </c>
      <c r="G143" s="39">
        <v>10.4529</v>
      </c>
      <c r="H143" s="37">
        <v>0.25</v>
      </c>
    </row>
    <row r="144" spans="4:8">
      <c r="D144" s="48" t="s">
        <v>182</v>
      </c>
      <c r="E144" s="48"/>
      <c r="F144" s="46">
        <v>41939</v>
      </c>
      <c r="G144" s="37">
        <v>11.8794</v>
      </c>
      <c r="H144" s="37">
        <v>1.05</v>
      </c>
    </row>
    <row r="145" spans="4:8">
      <c r="E145" s="48"/>
      <c r="F145" s="37"/>
      <c r="G145" s="37"/>
      <c r="H145" s="48"/>
    </row>
    <row r="146" spans="4:8">
      <c r="D146" s="59" t="s">
        <v>206</v>
      </c>
      <c r="E146" s="48"/>
      <c r="F146" s="37"/>
      <c r="G146" s="37"/>
      <c r="H146" s="48"/>
    </row>
    <row r="147" spans="4:8">
      <c r="D147" s="59" t="s">
        <v>207</v>
      </c>
      <c r="E147" s="59"/>
      <c r="F147" s="59"/>
      <c r="G147" s="59"/>
      <c r="H147" s="48"/>
    </row>
    <row r="148" spans="4:8">
      <c r="D148" s="59" t="s">
        <v>184</v>
      </c>
      <c r="E148" s="59"/>
      <c r="F148" s="59"/>
      <c r="G148" s="59"/>
      <c r="H148" s="48"/>
    </row>
    <row r="149" spans="4:8">
      <c r="D149" s="52" t="s">
        <v>208</v>
      </c>
      <c r="E149" s="59"/>
      <c r="F149" s="59"/>
      <c r="G149" s="59"/>
      <c r="H149" s="48"/>
    </row>
    <row r="150" spans="4:8">
      <c r="D150" s="52" t="s">
        <v>209</v>
      </c>
    </row>
    <row r="151" spans="4:8">
      <c r="D151" s="52" t="s">
        <v>210</v>
      </c>
    </row>
    <row r="152" spans="4:8">
      <c r="D152" s="59" t="s">
        <v>185</v>
      </c>
    </row>
  </sheetData>
  <sheetProtection sheet="1" objects="1" scenarios="1" deleteColumns="0" deleteRows="0"/>
  <sortState ref="B9:H67">
    <sortCondition descending="1" ref="H9:H67"/>
  </sortState>
  <mergeCells count="43">
    <mergeCell ref="A106:A121"/>
    <mergeCell ref="B118:D118"/>
    <mergeCell ref="B120:D120"/>
    <mergeCell ref="B126:D126"/>
    <mergeCell ref="D131:H131"/>
    <mergeCell ref="D130:H130"/>
    <mergeCell ref="B117:D117"/>
    <mergeCell ref="B125:D125"/>
    <mergeCell ref="D128:H128"/>
    <mergeCell ref="D129:H129"/>
    <mergeCell ref="B122:D122"/>
    <mergeCell ref="B123:D123"/>
    <mergeCell ref="B124:D124"/>
    <mergeCell ref="B107:D107"/>
    <mergeCell ref="B108:D108"/>
    <mergeCell ref="B109:D109"/>
    <mergeCell ref="B87:D87"/>
    <mergeCell ref="B89:D89"/>
    <mergeCell ref="B92:D92"/>
    <mergeCell ref="B94:D94"/>
    <mergeCell ref="B97:D97"/>
    <mergeCell ref="B75:D75"/>
    <mergeCell ref="B86:D86"/>
    <mergeCell ref="B83:D83"/>
    <mergeCell ref="A1:H1"/>
    <mergeCell ref="B6:D6"/>
    <mergeCell ref="B7:D7"/>
    <mergeCell ref="B8:D8"/>
    <mergeCell ref="B68:D68"/>
    <mergeCell ref="B65:D65"/>
    <mergeCell ref="B69:D69"/>
    <mergeCell ref="B71:D71"/>
    <mergeCell ref="B73:D73"/>
    <mergeCell ref="B76:D76"/>
    <mergeCell ref="B81:D81"/>
    <mergeCell ref="B113:D113"/>
    <mergeCell ref="B114:D114"/>
    <mergeCell ref="B115:D115"/>
    <mergeCell ref="B116:D116"/>
    <mergeCell ref="B106:D106"/>
    <mergeCell ref="B110:D110"/>
    <mergeCell ref="B111:D111"/>
    <mergeCell ref="B112:D112"/>
  </mergeCells>
  <pageMargins left="0.2" right="0" top="0.75" bottom="0.75" header="0.3" footer="0.3"/>
  <pageSetup paperSize="9" scale="5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30.09.2015</vt:lpstr>
      <vt:lpstr>'30.09.2015'!Print_Titles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2015-06-10T10:47:37Z</cp:lastPrinted>
  <dcterms:created xsi:type="dcterms:W3CDTF">2014-07-05T08:25:15Z</dcterms:created>
  <dcterms:modified xsi:type="dcterms:W3CDTF">2015-10-09T13:02:19Z</dcterms:modified>
</cp:coreProperties>
</file>