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0.06.2015" sheetId="1" r:id="rId1"/>
  </sheets>
  <definedNames>
    <definedName name="_xlnm.Print_Titles" localSheetId="0">'30.06.2015'!$1:$5</definedName>
  </definedNames>
  <calcPr calcId="125725"/>
</workbook>
</file>

<file path=xl/calcChain.xml><?xml version="1.0" encoding="utf-8"?>
<calcChain xmlns="http://schemas.openxmlformats.org/spreadsheetml/2006/main">
  <c r="H90" i="1"/>
  <c r="H95" s="1"/>
  <c r="G90"/>
  <c r="G63"/>
  <c r="H98"/>
  <c r="G98"/>
  <c r="G79"/>
  <c r="G84" s="1"/>
  <c r="H63"/>
  <c r="H66" s="1"/>
  <c r="H79" l="1"/>
  <c r="H84" s="1"/>
  <c r="H100" s="1"/>
  <c r="G66"/>
  <c r="G95"/>
  <c r="G100" l="1"/>
</calcChain>
</file>

<file path=xl/sharedStrings.xml><?xml version="1.0" encoding="utf-8"?>
<sst xmlns="http://schemas.openxmlformats.org/spreadsheetml/2006/main" count="279" uniqueCount="210">
  <si>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</si>
  <si>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</si>
  <si>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</si>
  <si>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</si>
  <si>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</si>
  <si>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</si>
  <si>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</si>
  <si>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</si>
  <si>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</si>
  <si>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</si>
  <si>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</si>
  <si>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</si>
  <si>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</si>
  <si>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</si>
  <si>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</si>
  <si>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</si>
  <si>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</si>
  <si>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</si>
  <si>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</si>
  <si>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</si>
  <si>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</si>
  <si>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</si>
  <si>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</si>
  <si>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</si>
  <si>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</si>
  <si>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</si>
  <si>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</si>
  <si>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</si>
  <si>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</si>
  <si>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</si>
  <si>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</si>
  <si>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</si>
  <si>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</si>
  <si>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</si>
  <si>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</si>
  <si>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</si>
  <si>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</si>
  <si>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</si>
  <si>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</si>
  <si>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</si>
  <si>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</si>
  <si>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</si>
  <si>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</si>
  <si>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</si>
  <si>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</si>
  <si>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</si>
  <si>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</si>
  <si>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</si>
  <si>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</si>
  <si>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</si>
  <si>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</si>
  <si>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</si>
  <si>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</si>
  <si>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</si>
  <si>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</si>
  <si>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</si>
  <si>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</si>
  <si>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</si>
  <si>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</si>
  <si>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</si>
  <si>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</si>
  <si>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</si>
  <si>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</si>
  <si>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</si>
  <si>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</si>
  <si>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</si>
  <si>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</si>
  <si>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</si>
  <si>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</si>
  <si>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</si>
  <si>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</si>
  <si>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</si>
  <si>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</si>
  <si>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</si>
  <si>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</si>
  <si>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INE752E01010</t>
  </si>
  <si>
    <t>POWER</t>
  </si>
  <si>
    <t>INE176A01010</t>
  </si>
  <si>
    <t>BATA INDIA LTD.</t>
  </si>
  <si>
    <t>CONSUMER DURABLES</t>
  </si>
  <si>
    <t>INE129A01019</t>
  </si>
  <si>
    <t>GAS</t>
  </si>
  <si>
    <t>INE274J01014</t>
  </si>
  <si>
    <t>OIL INDIA LTD.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</si>
  <si>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</si>
  <si>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</si>
  <si>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</si>
  <si>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</si>
  <si>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</si>
  <si>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</si>
  <si>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</si>
  <si>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INE987B01018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</si>
  <si>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</si>
  <si>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</si>
  <si>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</si>
  <si>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</si>
  <si>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</si>
  <si>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</si>
  <si>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</si>
  <si>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</si>
  <si>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</si>
  <si>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</si>
  <si>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</si>
  <si>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</si>
  <si>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</si>
  <si>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</si>
  <si>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</si>
  <si>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</si>
  <si>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</si>
  <si>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</si>
  <si>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</si>
  <si>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</si>
  <si>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</si>
  <si>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</si>
  <si>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</si>
  <si>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</si>
  <si>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</si>
  <si>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</si>
  <si>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</si>
  <si>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</si>
  <si>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</si>
  <si>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</si>
  <si>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</si>
  <si>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</si>
  <si>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</si>
  <si>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</si>
  <si>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</si>
  <si>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</si>
  <si>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</si>
  <si>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</si>
  <si>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</si>
  <si>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</si>
  <si>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</si>
  <si>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</si>
  <si>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</si>
  <si>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</si>
  <si>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</si>
  <si>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</si>
  <si>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</si>
  <si>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</si>
  <si>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</si>
  <si>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</si>
  <si>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</si>
  <si>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</si>
  <si>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</si>
  <si>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</si>
  <si>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</si>
  <si>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</si>
  <si>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</si>
  <si>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</si>
  <si>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</si>
  <si>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</si>
  <si>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</si>
  <si>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</si>
  <si>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</si>
  <si>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</si>
  <si>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</si>
  <si>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</si>
  <si>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</si>
  <si>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</si>
  <si>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</si>
  <si>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</si>
  <si>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</si>
  <si>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</si>
  <si>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</si>
  <si>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</si>
  <si>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</si>
  <si>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</si>
  <si>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</si>
  <si>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</si>
  <si>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</si>
  <si>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</si>
  <si>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</si>
  <si>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</si>
  <si>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</si>
  <si>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</si>
  <si>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</si>
  <si>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</si>
  <si>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</si>
  <si>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</si>
  <si>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</si>
  <si>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</si>
  <si>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</si>
  <si>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</si>
  <si>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</si>
  <si>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</si>
  <si>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</si>
  <si>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</si>
  <si>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</si>
  <si>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</si>
  <si>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</si>
  <si>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</si>
  <si>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</si>
  <si>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</si>
  <si>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</si>
  <si>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</si>
  <si>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</si>
  <si>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</si>
  <si>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</si>
  <si>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</si>
  <si>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</si>
  <si>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</si>
  <si>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INE001A07MG9</t>
  </si>
  <si>
    <t>INE001A14LP8</t>
  </si>
  <si>
    <t>Portfolio as on June 30,2015</t>
  </si>
  <si>
    <t>4) No Bonus declared during the month ended June 30, 2015.</t>
  </si>
  <si>
    <t>5) Total outstanding exposure in Derivative Instruments as on June 30, 2015 : Nil</t>
  </si>
  <si>
    <t>8) Funds Parked in Short Term Deposits as on June 30, 2015: Rs.Nil</t>
  </si>
  <si>
    <t>9) Term Deposits placed as Margin for trading in Cash &amp; Derivative Market as on June 30, 2015 : Nil.</t>
  </si>
  <si>
    <t>7) Portfolio Turnover Ratio: 15.7206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</si>
</sst>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17" fillId="0" borderId="0" xfId="0" applyFont="1" applyAlignment="1">
      <alignment wrapText="1"/>
    </xf>
    <xf numFmtId="0" fontId="9" fillId="0" borderId="0" xfId="0" applyFont="1" applyAlignment="1"/>
    <xf numFmtId="0" fontId="15" fillId="0" borderId="0" xfId="0" applyFont="1" applyAlignment="1"/>
    <xf numFmtId="0" fontId="7" fillId="0" borderId="0" xfId="0" applyFont="1" applyFill="1" applyAlignment="1"/>
    <xf numFmtId="4" fontId="9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2" fillId="2" borderId="0" xfId="0" applyFont="1" applyFill="1" applyAlignment="1">
      <alignment horizontal="center"/>
    </xf>
    <xf numFmtId="0" fontId="9" fillId="0" borderId="0" xfId="0" applyFont="1" applyAlignment="1"/>
    <xf numFmtId="0" fontId="15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>
      <selection activeCell="E9" sqref="E9"/>
    </sheetView>
  </sheetViews>
  <sheetFormatPr defaultRowHeight="15"/>
  <cols>
    <col min="1" max="1" width="3.28515625" style="48" bestFit="1" customWidth="1"/>
    <col min="2" max="2" width="13.85546875" style="48" bestFit="1" customWidth="1"/>
    <col min="3" max="3" width="7.28515625" style="48" customWidth="1"/>
    <col min="4" max="4" width="50.85546875" style="48" customWidth="1"/>
    <col min="5" max="5" width="25.7109375" style="2" bestFit="1" customWidth="1"/>
    <col min="6" max="6" width="20.140625" style="2" customWidth="1"/>
    <col min="7" max="7" width="18.5703125" style="2" bestFit="1" customWidth="1"/>
    <col min="8" max="8" width="24.7109375" style="2" customWidth="1"/>
    <col min="9" max="16384" width="9.140625" style="48"/>
  </cols>
  <sheetData>
    <row r="1" spans="1:8" ht="21.75">
      <c r="A1" s="66" t="s">
        <v>0</v>
      </c>
      <c r="B1" s="66"/>
      <c r="C1" s="66"/>
      <c r="D1" s="66"/>
      <c r="E1" s="66"/>
      <c r="F1" s="66"/>
      <c r="G1" s="66"/>
      <c r="H1" s="66"/>
    </row>
    <row r="3" spans="1:8">
      <c r="B3" s="1"/>
      <c r="C3" s="1"/>
      <c r="D3" s="33" t="s">
        <v>204</v>
      </c>
      <c r="E3" s="48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4" t="s">
        <v>8</v>
      </c>
      <c r="C6" s="64"/>
      <c r="D6" s="64"/>
      <c r="E6" s="9"/>
      <c r="F6" s="9"/>
      <c r="G6" s="9"/>
      <c r="H6" s="9"/>
    </row>
    <row r="7" spans="1:8">
      <c r="A7" s="11"/>
      <c r="B7" s="64" t="s">
        <v>9</v>
      </c>
      <c r="C7" s="64"/>
      <c r="D7" s="64"/>
      <c r="E7" s="12"/>
      <c r="F7" s="12"/>
      <c r="G7" s="12"/>
      <c r="H7" s="12"/>
    </row>
    <row r="8" spans="1:8">
      <c r="A8" s="11"/>
      <c r="B8" s="64" t="s">
        <v>10</v>
      </c>
      <c r="C8" s="64"/>
      <c r="D8" s="64"/>
      <c r="E8" s="12"/>
      <c r="F8" s="12"/>
      <c r="G8" s="12"/>
      <c r="H8" s="12"/>
    </row>
    <row r="9" spans="1:8">
      <c r="A9" s="13"/>
      <c r="B9" s="34" t="s">
        <v>142</v>
      </c>
      <c r="C9"/>
      <c r="D9" s="14" t="s">
        <v>30</v>
      </c>
      <c r="E9" s="49" t="s">
        <v>16</v>
      </c>
      <c r="F9" s="15">
        <v>26922</v>
      </c>
      <c r="G9" s="15">
        <v>150.47999999999999</v>
      </c>
      <c r="H9" s="15">
        <v>4.43</v>
      </c>
    </row>
    <row r="10" spans="1:8">
      <c r="A10" s="13"/>
      <c r="B10" s="34" t="s">
        <v>24</v>
      </c>
      <c r="C10"/>
      <c r="D10" s="14" t="s">
        <v>25</v>
      </c>
      <c r="E10" s="49" t="s">
        <v>26</v>
      </c>
      <c r="F10" s="15">
        <v>3049</v>
      </c>
      <c r="G10" s="15">
        <v>108.53</v>
      </c>
      <c r="H10" s="15">
        <v>3.2</v>
      </c>
    </row>
    <row r="11" spans="1:8">
      <c r="A11" s="13"/>
      <c r="B11" s="34" t="s">
        <v>17</v>
      </c>
      <c r="C11"/>
      <c r="D11" s="14" t="s">
        <v>18</v>
      </c>
      <c r="E11" s="49" t="s">
        <v>19</v>
      </c>
      <c r="F11" s="15">
        <v>9885</v>
      </c>
      <c r="G11" s="15">
        <v>128.15</v>
      </c>
      <c r="H11" s="15">
        <v>3.7800000000000002</v>
      </c>
    </row>
    <row r="12" spans="1:8">
      <c r="A12" s="13"/>
      <c r="B12" s="34" t="s">
        <v>14</v>
      </c>
      <c r="C12"/>
      <c r="D12" s="14" t="s">
        <v>15</v>
      </c>
      <c r="E12" s="49" t="s">
        <v>16</v>
      </c>
      <c r="F12" s="15">
        <v>13277</v>
      </c>
      <c r="G12" s="15">
        <v>141.69</v>
      </c>
      <c r="H12" s="15">
        <v>4.1800000000000006</v>
      </c>
    </row>
    <row r="13" spans="1:8">
      <c r="A13" s="13"/>
      <c r="B13" s="34" t="s">
        <v>165</v>
      </c>
      <c r="C13"/>
      <c r="D13" s="14" t="s">
        <v>20</v>
      </c>
      <c r="E13" s="49" t="s">
        <v>16</v>
      </c>
      <c r="F13" s="15">
        <v>39004</v>
      </c>
      <c r="G13" s="15">
        <v>120.13</v>
      </c>
      <c r="H13" s="15">
        <v>3.54</v>
      </c>
    </row>
    <row r="14" spans="1:8">
      <c r="A14" s="13"/>
      <c r="B14" s="34" t="s">
        <v>28</v>
      </c>
      <c r="C14"/>
      <c r="D14" s="14" t="s">
        <v>29</v>
      </c>
      <c r="E14" s="49" t="s">
        <v>13</v>
      </c>
      <c r="F14" s="15">
        <v>12157</v>
      </c>
      <c r="G14" s="15">
        <v>111.81</v>
      </c>
      <c r="H14" s="15">
        <v>3.3000000000000003</v>
      </c>
    </row>
    <row r="15" spans="1:8">
      <c r="A15" s="13"/>
      <c r="B15" s="34" t="s">
        <v>11</v>
      </c>
      <c r="C15"/>
      <c r="D15" s="14" t="s">
        <v>12</v>
      </c>
      <c r="E15" s="49" t="s">
        <v>13</v>
      </c>
      <c r="F15" s="15">
        <v>4448</v>
      </c>
      <c r="G15" s="15">
        <v>113.47</v>
      </c>
      <c r="H15" s="15">
        <v>3.34</v>
      </c>
    </row>
    <row r="16" spans="1:8">
      <c r="A16" s="13"/>
      <c r="B16" s="34" t="s">
        <v>31</v>
      </c>
      <c r="C16"/>
      <c r="D16" s="14" t="s">
        <v>32</v>
      </c>
      <c r="E16" s="49" t="s">
        <v>33</v>
      </c>
      <c r="F16" s="15">
        <v>2678</v>
      </c>
      <c r="G16" s="15">
        <v>107.74</v>
      </c>
      <c r="H16" s="15">
        <v>3.17</v>
      </c>
    </row>
    <row r="17" spans="1:8">
      <c r="A17" s="13"/>
      <c r="B17" s="34" t="s">
        <v>59</v>
      </c>
      <c r="C17"/>
      <c r="D17" s="14" t="s">
        <v>60</v>
      </c>
      <c r="E17" s="49" t="s">
        <v>13</v>
      </c>
      <c r="F17" s="15">
        <v>9128</v>
      </c>
      <c r="G17" s="15">
        <v>89.85</v>
      </c>
      <c r="H17" s="15">
        <v>2.65</v>
      </c>
    </row>
    <row r="18" spans="1:8">
      <c r="A18" s="18"/>
      <c r="B18" s="34" t="s">
        <v>85</v>
      </c>
      <c r="C18"/>
      <c r="D18" s="14" t="s">
        <v>190</v>
      </c>
      <c r="E18" s="49" t="s">
        <v>19</v>
      </c>
      <c r="F18" s="15">
        <v>21345</v>
      </c>
      <c r="G18" s="15">
        <v>96.24</v>
      </c>
      <c r="H18" s="15">
        <v>2.8400000000000003</v>
      </c>
    </row>
    <row r="19" spans="1:8">
      <c r="A19" s="19"/>
      <c r="B19" s="34" t="s">
        <v>21</v>
      </c>
      <c r="C19"/>
      <c r="D19" s="14" t="s">
        <v>22</v>
      </c>
      <c r="E19" s="49" t="s">
        <v>23</v>
      </c>
      <c r="F19" s="15">
        <v>4795</v>
      </c>
      <c r="G19" s="15">
        <v>85.48</v>
      </c>
      <c r="H19" s="15">
        <v>2.52</v>
      </c>
    </row>
    <row r="20" spans="1:8">
      <c r="A20" s="13"/>
      <c r="B20" s="34" t="s">
        <v>88</v>
      </c>
      <c r="C20"/>
      <c r="D20" s="14" t="s">
        <v>89</v>
      </c>
      <c r="E20" s="49" t="s">
        <v>16</v>
      </c>
      <c r="F20" s="15">
        <v>5720</v>
      </c>
      <c r="G20" s="15">
        <v>79.27</v>
      </c>
      <c r="H20" s="15">
        <v>2.34</v>
      </c>
    </row>
    <row r="21" spans="1:8">
      <c r="A21" s="19"/>
      <c r="B21" s="34" t="s">
        <v>157</v>
      </c>
      <c r="C21"/>
      <c r="D21" s="14" t="s">
        <v>52</v>
      </c>
      <c r="E21" s="49" t="s">
        <v>16</v>
      </c>
      <c r="F21" s="15">
        <v>25210</v>
      </c>
      <c r="G21" s="15">
        <v>66.239999999999995</v>
      </c>
      <c r="H21" s="15">
        <v>1.95</v>
      </c>
    </row>
    <row r="22" spans="1:8">
      <c r="A22" s="19"/>
      <c r="B22" s="34" t="s">
        <v>74</v>
      </c>
      <c r="C22"/>
      <c r="D22" s="14" t="s">
        <v>191</v>
      </c>
      <c r="E22" s="49" t="s">
        <v>16</v>
      </c>
      <c r="F22" s="15">
        <v>47392</v>
      </c>
      <c r="G22" s="15">
        <v>70.05</v>
      </c>
      <c r="H22" s="15">
        <v>2.06</v>
      </c>
    </row>
    <row r="23" spans="1:8">
      <c r="A23" s="19"/>
      <c r="B23" s="34" t="s">
        <v>160</v>
      </c>
      <c r="C23"/>
      <c r="D23" s="14" t="s">
        <v>192</v>
      </c>
      <c r="E23" s="49" t="s">
        <v>26</v>
      </c>
      <c r="F23" s="15">
        <v>5428</v>
      </c>
      <c r="G23" s="15">
        <v>78.81</v>
      </c>
      <c r="H23" s="15">
        <v>2.3199999999999998</v>
      </c>
    </row>
    <row r="24" spans="1:8">
      <c r="A24" s="19"/>
      <c r="B24" s="34" t="s">
        <v>34</v>
      </c>
      <c r="C24"/>
      <c r="D24" s="14" t="s">
        <v>35</v>
      </c>
      <c r="E24" s="49" t="s">
        <v>36</v>
      </c>
      <c r="F24" s="15">
        <v>7464</v>
      </c>
      <c r="G24" s="15">
        <v>74.650000000000006</v>
      </c>
      <c r="H24" s="15">
        <v>2.1999999999999997</v>
      </c>
    </row>
    <row r="25" spans="1:8">
      <c r="A25" s="19"/>
      <c r="B25" s="34" t="s">
        <v>90</v>
      </c>
      <c r="C25"/>
      <c r="D25" s="14" t="s">
        <v>193</v>
      </c>
      <c r="E25" s="49" t="s">
        <v>19</v>
      </c>
      <c r="F25" s="15">
        <v>38687</v>
      </c>
      <c r="G25" s="15">
        <v>57.14</v>
      </c>
      <c r="H25" s="15">
        <v>1.68</v>
      </c>
    </row>
    <row r="26" spans="1:8">
      <c r="A26" s="19"/>
      <c r="B26" s="34" t="s">
        <v>84</v>
      </c>
      <c r="C26"/>
      <c r="D26" s="14" t="s">
        <v>194</v>
      </c>
      <c r="E26" s="49" t="s">
        <v>16</v>
      </c>
      <c r="F26" s="15">
        <v>6626</v>
      </c>
      <c r="G26" s="15">
        <v>57.82</v>
      </c>
      <c r="H26" s="15">
        <v>1.7000000000000002</v>
      </c>
    </row>
    <row r="27" spans="1:8">
      <c r="A27" s="19"/>
      <c r="B27" s="34" t="s">
        <v>145</v>
      </c>
      <c r="C27"/>
      <c r="D27" s="14" t="s">
        <v>146</v>
      </c>
      <c r="E27" s="49" t="s">
        <v>147</v>
      </c>
      <c r="F27" s="15">
        <v>1606</v>
      </c>
      <c r="G27" s="15">
        <v>54.06</v>
      </c>
      <c r="H27" s="15">
        <v>1.59</v>
      </c>
    </row>
    <row r="28" spans="1:8">
      <c r="A28" s="19"/>
      <c r="B28" s="34" t="s">
        <v>63</v>
      </c>
      <c r="C28"/>
      <c r="D28" s="14" t="s">
        <v>64</v>
      </c>
      <c r="E28" s="49" t="s">
        <v>33</v>
      </c>
      <c r="F28" s="15">
        <v>297</v>
      </c>
      <c r="G28" s="15">
        <v>58.17</v>
      </c>
      <c r="H28" s="15">
        <v>1.71</v>
      </c>
    </row>
    <row r="29" spans="1:8">
      <c r="A29" s="19"/>
      <c r="B29" s="34" t="s">
        <v>46</v>
      </c>
      <c r="C29"/>
      <c r="D29" s="14" t="s">
        <v>47</v>
      </c>
      <c r="E29" s="49" t="s">
        <v>36</v>
      </c>
      <c r="F29" s="15">
        <v>6662</v>
      </c>
      <c r="G29" s="15">
        <v>58.58</v>
      </c>
      <c r="H29" s="15">
        <v>1.73</v>
      </c>
    </row>
    <row r="30" spans="1:8">
      <c r="A30" s="19"/>
      <c r="B30" s="34" t="s">
        <v>166</v>
      </c>
      <c r="C30"/>
      <c r="D30" s="14" t="s">
        <v>73</v>
      </c>
      <c r="E30" s="49" t="s">
        <v>16</v>
      </c>
      <c r="F30" s="15">
        <v>33625</v>
      </c>
      <c r="G30" s="15">
        <v>48.47</v>
      </c>
      <c r="H30" s="15">
        <v>1.43</v>
      </c>
    </row>
    <row r="31" spans="1:8">
      <c r="A31" s="19"/>
      <c r="B31" s="34" t="s">
        <v>86</v>
      </c>
      <c r="C31"/>
      <c r="D31" s="14" t="s">
        <v>87</v>
      </c>
      <c r="E31" s="49" t="s">
        <v>39</v>
      </c>
      <c r="F31" s="15">
        <v>2127</v>
      </c>
      <c r="G31" s="15">
        <v>58.77</v>
      </c>
      <c r="H31" s="15">
        <v>1.73</v>
      </c>
    </row>
    <row r="32" spans="1:8">
      <c r="A32" s="19"/>
      <c r="B32" s="34" t="s">
        <v>37</v>
      </c>
      <c r="C32"/>
      <c r="D32" s="14" t="s">
        <v>38</v>
      </c>
      <c r="E32" s="49" t="s">
        <v>39</v>
      </c>
      <c r="F32" s="15">
        <v>14566</v>
      </c>
      <c r="G32" s="15">
        <v>45.9</v>
      </c>
      <c r="H32" s="15">
        <v>1.35</v>
      </c>
    </row>
    <row r="33" spans="1:8">
      <c r="A33" s="19"/>
      <c r="B33" s="34" t="s">
        <v>158</v>
      </c>
      <c r="C33"/>
      <c r="D33" s="14" t="s">
        <v>159</v>
      </c>
      <c r="E33" s="49" t="s">
        <v>33</v>
      </c>
      <c r="F33" s="15">
        <v>9619</v>
      </c>
      <c r="G33" s="15">
        <v>41.76</v>
      </c>
      <c r="H33" s="15">
        <v>1.23</v>
      </c>
    </row>
    <row r="34" spans="1:8">
      <c r="A34" s="19"/>
      <c r="B34" s="34" t="s">
        <v>67</v>
      </c>
      <c r="C34"/>
      <c r="D34" s="14" t="s">
        <v>68</v>
      </c>
      <c r="E34" s="49" t="s">
        <v>69</v>
      </c>
      <c r="F34" s="15">
        <v>3739</v>
      </c>
      <c r="G34" s="15">
        <v>49.2</v>
      </c>
      <c r="H34" s="15">
        <v>1.4500000000000002</v>
      </c>
    </row>
    <row r="35" spans="1:8">
      <c r="A35" s="19"/>
      <c r="B35" s="34" t="s">
        <v>53</v>
      </c>
      <c r="C35"/>
      <c r="D35" s="14" t="s">
        <v>195</v>
      </c>
      <c r="E35" s="49" t="s">
        <v>54</v>
      </c>
      <c r="F35" s="15">
        <v>13220</v>
      </c>
      <c r="G35" s="15">
        <v>40.270000000000003</v>
      </c>
      <c r="H35" s="15">
        <v>1.1900000000000002</v>
      </c>
    </row>
    <row r="36" spans="1:8">
      <c r="A36" s="19"/>
      <c r="B36" s="34" t="s">
        <v>187</v>
      </c>
      <c r="C36"/>
      <c r="D36" s="14" t="s">
        <v>27</v>
      </c>
      <c r="E36" s="49" t="s">
        <v>13</v>
      </c>
      <c r="F36" s="15">
        <v>7092</v>
      </c>
      <c r="G36" s="15">
        <v>33.89</v>
      </c>
      <c r="H36" s="15">
        <v>1</v>
      </c>
    </row>
    <row r="37" spans="1:8">
      <c r="A37" s="19"/>
      <c r="B37" s="34" t="s">
        <v>43</v>
      </c>
      <c r="C37"/>
      <c r="D37" s="14" t="s">
        <v>44</v>
      </c>
      <c r="E37" s="49" t="s">
        <v>45</v>
      </c>
      <c r="F37" s="15">
        <v>1254</v>
      </c>
      <c r="G37" s="15">
        <v>37.54</v>
      </c>
      <c r="H37" s="15">
        <v>1.1100000000000001</v>
      </c>
    </row>
    <row r="38" spans="1:8">
      <c r="A38" s="19"/>
      <c r="B38" s="34" t="s">
        <v>70</v>
      </c>
      <c r="C38"/>
      <c r="D38" s="14" t="s">
        <v>71</v>
      </c>
      <c r="E38" s="49" t="s">
        <v>72</v>
      </c>
      <c r="F38" s="15">
        <v>3904</v>
      </c>
      <c r="G38" s="15">
        <v>34.49</v>
      </c>
      <c r="H38" s="15">
        <v>1.02</v>
      </c>
    </row>
    <row r="39" spans="1:8">
      <c r="A39" s="19"/>
      <c r="B39" s="34" t="s">
        <v>50</v>
      </c>
      <c r="C39"/>
      <c r="D39" s="14" t="s">
        <v>51</v>
      </c>
      <c r="E39" s="49" t="s">
        <v>26</v>
      </c>
      <c r="F39" s="15">
        <v>3319</v>
      </c>
      <c r="G39" s="15">
        <v>29.03</v>
      </c>
      <c r="H39" s="15">
        <v>0.86</v>
      </c>
    </row>
    <row r="40" spans="1:8">
      <c r="A40" s="19"/>
      <c r="B40" s="34" t="s">
        <v>61</v>
      </c>
      <c r="C40"/>
      <c r="D40" s="14" t="s">
        <v>62</v>
      </c>
      <c r="E40" s="49" t="s">
        <v>39</v>
      </c>
      <c r="F40" s="15">
        <v>3877</v>
      </c>
      <c r="G40" s="15">
        <v>29.28</v>
      </c>
      <c r="H40" s="15">
        <v>0.86</v>
      </c>
    </row>
    <row r="41" spans="1:8">
      <c r="A41" s="19"/>
      <c r="B41" s="34" t="s">
        <v>55</v>
      </c>
      <c r="C41"/>
      <c r="D41" s="14" t="s">
        <v>56</v>
      </c>
      <c r="E41" s="49" t="s">
        <v>26</v>
      </c>
      <c r="F41" s="15">
        <v>1654</v>
      </c>
      <c r="G41" s="15">
        <v>31.2</v>
      </c>
      <c r="H41" s="15">
        <v>0.91999999999999993</v>
      </c>
    </row>
    <row r="42" spans="1:8">
      <c r="A42" s="19"/>
      <c r="B42" s="34" t="s">
        <v>143</v>
      </c>
      <c r="C42"/>
      <c r="D42" s="14" t="s">
        <v>144</v>
      </c>
      <c r="E42" s="49" t="s">
        <v>72</v>
      </c>
      <c r="F42" s="15">
        <v>15581</v>
      </c>
      <c r="G42" s="15">
        <v>26.53</v>
      </c>
      <c r="H42" s="15">
        <v>0.77999999999999992</v>
      </c>
    </row>
    <row r="43" spans="1:8">
      <c r="A43" s="19"/>
      <c r="B43" s="34" t="s">
        <v>65</v>
      </c>
      <c r="C43"/>
      <c r="D43" s="14" t="s">
        <v>66</v>
      </c>
      <c r="E43" s="49" t="s">
        <v>45</v>
      </c>
      <c r="F43" s="15">
        <v>258</v>
      </c>
      <c r="G43" s="15">
        <v>29.26</v>
      </c>
      <c r="H43" s="15">
        <v>0.86</v>
      </c>
    </row>
    <row r="44" spans="1:8">
      <c r="A44" s="19"/>
      <c r="B44" s="34" t="s">
        <v>95</v>
      </c>
      <c r="C44"/>
      <c r="D44" s="14" t="s">
        <v>196</v>
      </c>
      <c r="E44" s="49" t="s">
        <v>96</v>
      </c>
      <c r="F44" s="15">
        <v>2374</v>
      </c>
      <c r="G44" s="15">
        <v>25.24</v>
      </c>
      <c r="H44" s="15">
        <v>0.74</v>
      </c>
    </row>
    <row r="45" spans="1:8">
      <c r="A45" s="19"/>
      <c r="B45" s="34" t="s">
        <v>48</v>
      </c>
      <c r="C45"/>
      <c r="D45" s="14" t="s">
        <v>49</v>
      </c>
      <c r="E45" s="49" t="s">
        <v>33</v>
      </c>
      <c r="F45" s="15">
        <v>2023</v>
      </c>
      <c r="G45" s="15">
        <v>25.94</v>
      </c>
      <c r="H45" s="15">
        <v>0.76</v>
      </c>
    </row>
    <row r="46" spans="1:8">
      <c r="A46" s="19"/>
      <c r="B46" s="34" t="s">
        <v>93</v>
      </c>
      <c r="C46"/>
      <c r="D46" s="14" t="s">
        <v>197</v>
      </c>
      <c r="E46" s="49" t="s">
        <v>94</v>
      </c>
      <c r="F46" s="15">
        <v>4561</v>
      </c>
      <c r="G46" s="15">
        <v>24.43</v>
      </c>
      <c r="H46" s="15">
        <v>0.72</v>
      </c>
    </row>
    <row r="47" spans="1:8">
      <c r="A47" s="19"/>
      <c r="B47" s="34" t="s">
        <v>75</v>
      </c>
      <c r="C47"/>
      <c r="D47" s="14" t="s">
        <v>198</v>
      </c>
      <c r="E47" s="49" t="s">
        <v>76</v>
      </c>
      <c r="F47" s="15">
        <v>17129</v>
      </c>
      <c r="G47" s="15">
        <v>23.83</v>
      </c>
      <c r="H47" s="15">
        <v>0.70000000000000007</v>
      </c>
    </row>
    <row r="48" spans="1:8">
      <c r="A48" s="19"/>
      <c r="B48" s="34" t="s">
        <v>91</v>
      </c>
      <c r="C48"/>
      <c r="D48" s="14" t="s">
        <v>92</v>
      </c>
      <c r="E48" s="49" t="s">
        <v>26</v>
      </c>
      <c r="F48" s="15">
        <v>1097</v>
      </c>
      <c r="G48" s="15">
        <v>25.05</v>
      </c>
      <c r="H48" s="15">
        <v>0.74</v>
      </c>
    </row>
    <row r="49" spans="1:8">
      <c r="A49" s="19"/>
      <c r="B49" s="34" t="s">
        <v>82</v>
      </c>
      <c r="C49"/>
      <c r="D49" s="14" t="s">
        <v>83</v>
      </c>
      <c r="E49" s="49" t="s">
        <v>42</v>
      </c>
      <c r="F49" s="15">
        <v>4926</v>
      </c>
      <c r="G49" s="15">
        <v>22.01</v>
      </c>
      <c r="H49" s="15">
        <v>0.65</v>
      </c>
    </row>
    <row r="50" spans="1:8">
      <c r="A50" s="19"/>
      <c r="B50" s="34" t="s">
        <v>40</v>
      </c>
      <c r="C50"/>
      <c r="D50" s="14" t="s">
        <v>41</v>
      </c>
      <c r="E50" s="49" t="s">
        <v>42</v>
      </c>
      <c r="F50" s="15">
        <v>6876</v>
      </c>
      <c r="G50" s="15">
        <v>21.29</v>
      </c>
      <c r="H50" s="15">
        <v>0.63</v>
      </c>
    </row>
    <row r="51" spans="1:8">
      <c r="A51" s="19"/>
      <c r="B51" s="34" t="s">
        <v>77</v>
      </c>
      <c r="C51"/>
      <c r="D51" s="14" t="s">
        <v>78</v>
      </c>
      <c r="E51" s="49" t="s">
        <v>79</v>
      </c>
      <c r="F51" s="15">
        <v>1945</v>
      </c>
      <c r="G51" s="15">
        <v>20.57</v>
      </c>
      <c r="H51" s="15">
        <v>0.61</v>
      </c>
    </row>
    <row r="52" spans="1:8">
      <c r="A52" s="19"/>
      <c r="B52" s="34" t="s">
        <v>97</v>
      </c>
      <c r="C52"/>
      <c r="D52" s="14" t="s">
        <v>199</v>
      </c>
      <c r="E52" s="49" t="s">
        <v>147</v>
      </c>
      <c r="F52" s="15">
        <v>2017</v>
      </c>
      <c r="G52" s="15">
        <v>20.32</v>
      </c>
      <c r="H52" s="15">
        <v>0.6</v>
      </c>
    </row>
    <row r="53" spans="1:8">
      <c r="A53" s="19"/>
      <c r="B53" s="34" t="s">
        <v>80</v>
      </c>
      <c r="C53"/>
      <c r="D53" s="14" t="s">
        <v>200</v>
      </c>
      <c r="E53" s="49" t="s">
        <v>81</v>
      </c>
      <c r="F53" s="15">
        <v>4481</v>
      </c>
      <c r="G53" s="15">
        <v>17.57</v>
      </c>
      <c r="H53" s="15">
        <v>0.52</v>
      </c>
    </row>
    <row r="54" spans="1:8">
      <c r="A54" s="19"/>
      <c r="B54" s="34" t="s">
        <v>57</v>
      </c>
      <c r="C54"/>
      <c r="D54" s="14" t="s">
        <v>58</v>
      </c>
      <c r="E54" s="49" t="s">
        <v>33</v>
      </c>
      <c r="F54" s="15">
        <v>692</v>
      </c>
      <c r="G54" s="15">
        <v>17.59</v>
      </c>
      <c r="H54" s="15">
        <v>0.52</v>
      </c>
    </row>
    <row r="55" spans="1:8">
      <c r="A55" s="19"/>
      <c r="B55" s="34" t="s">
        <v>155</v>
      </c>
      <c r="C55"/>
      <c r="D55" s="14" t="s">
        <v>156</v>
      </c>
      <c r="E55" s="49" t="s">
        <v>33</v>
      </c>
      <c r="F55" s="15">
        <v>571</v>
      </c>
      <c r="G55" s="15">
        <v>14.41</v>
      </c>
      <c r="H55" s="15">
        <v>0.42</v>
      </c>
    </row>
    <row r="56" spans="1:8">
      <c r="A56" s="19"/>
      <c r="B56" s="34" t="s">
        <v>163</v>
      </c>
      <c r="C56"/>
      <c r="D56" s="14" t="s">
        <v>164</v>
      </c>
      <c r="E56" s="49" t="s">
        <v>72</v>
      </c>
      <c r="F56" s="15">
        <v>25</v>
      </c>
      <c r="G56" s="15">
        <v>8.56</v>
      </c>
      <c r="H56" s="15">
        <v>0.25</v>
      </c>
    </row>
    <row r="57" spans="1:8">
      <c r="A57" s="19"/>
      <c r="B57" s="34" t="s">
        <v>161</v>
      </c>
      <c r="C57"/>
      <c r="D57" s="14" t="s">
        <v>162</v>
      </c>
      <c r="E57" s="49" t="s">
        <v>33</v>
      </c>
      <c r="F57" s="15">
        <v>3765</v>
      </c>
      <c r="G57" s="15">
        <v>9.19</v>
      </c>
      <c r="H57" s="15">
        <v>0.27</v>
      </c>
    </row>
    <row r="58" spans="1:8">
      <c r="A58" s="19"/>
      <c r="B58" s="34" t="s">
        <v>167</v>
      </c>
      <c r="C58"/>
      <c r="D58" s="14" t="s">
        <v>201</v>
      </c>
      <c r="E58" s="49" t="s">
        <v>168</v>
      </c>
      <c r="F58" s="15">
        <v>50</v>
      </c>
      <c r="G58" s="15">
        <v>7.56</v>
      </c>
      <c r="H58" s="15">
        <v>0.22</v>
      </c>
    </row>
    <row r="59" spans="1:8">
      <c r="A59" s="19"/>
      <c r="B59" s="34" t="s">
        <v>151</v>
      </c>
      <c r="C59"/>
      <c r="D59" s="14" t="s">
        <v>152</v>
      </c>
      <c r="E59" s="49" t="s">
        <v>13</v>
      </c>
      <c r="F59" s="15">
        <v>485</v>
      </c>
      <c r="G59" s="15">
        <v>6.18</v>
      </c>
      <c r="H59" s="15">
        <v>0.18</v>
      </c>
    </row>
    <row r="60" spans="1:8">
      <c r="A60" s="19"/>
      <c r="B60" s="34" t="s">
        <v>153</v>
      </c>
      <c r="C60"/>
      <c r="D60" s="14" t="s">
        <v>154</v>
      </c>
      <c r="E60" s="49" t="s">
        <v>13</v>
      </c>
      <c r="F60" s="15">
        <v>714</v>
      </c>
      <c r="G60" s="15">
        <v>4.29</v>
      </c>
      <c r="H60" s="15">
        <v>0.13</v>
      </c>
    </row>
    <row r="61" spans="1:8">
      <c r="A61" s="19"/>
      <c r="B61"/>
      <c r="D61" s="14"/>
      <c r="E61" s="14"/>
      <c r="F61" s="15"/>
      <c r="G61" s="15"/>
      <c r="H61" s="16"/>
    </row>
    <row r="62" spans="1:8">
      <c r="A62" s="19"/>
      <c r="B62"/>
      <c r="D62" s="14"/>
      <c r="E62" s="14"/>
      <c r="F62" s="15"/>
      <c r="G62" s="15"/>
      <c r="H62" s="16"/>
    </row>
    <row r="63" spans="1:8">
      <c r="A63" s="20"/>
      <c r="B63" s="56" t="s">
        <v>98</v>
      </c>
      <c r="C63" s="56"/>
      <c r="D63" s="20"/>
      <c r="E63" s="12"/>
      <c r="F63" s="12"/>
      <c r="G63" s="21">
        <f>SUM(G9:G62)</f>
        <v>2737.9800000000005</v>
      </c>
      <c r="H63" s="21">
        <f>SUM(H9:H62)</f>
        <v>80.679999999999993</v>
      </c>
    </row>
    <row r="64" spans="1:8">
      <c r="A64" s="22"/>
      <c r="B64" s="65" t="s">
        <v>99</v>
      </c>
      <c r="C64" s="65"/>
      <c r="D64" s="65"/>
      <c r="E64" s="23"/>
      <c r="F64" s="24"/>
      <c r="G64" s="24" t="s">
        <v>100</v>
      </c>
      <c r="H64" s="24" t="s">
        <v>100</v>
      </c>
    </row>
    <row r="65" spans="1:8" s="10" customFormat="1" ht="12.75">
      <c r="A65" s="20"/>
      <c r="B65" s="56" t="s">
        <v>98</v>
      </c>
      <c r="C65" s="56"/>
      <c r="D65" s="20"/>
      <c r="E65" s="12"/>
      <c r="F65" s="12"/>
      <c r="G65" s="9">
        <v>0</v>
      </c>
      <c r="H65" s="9">
        <v>0</v>
      </c>
    </row>
    <row r="66" spans="1:8">
      <c r="A66" s="20"/>
      <c r="B66" s="56" t="s">
        <v>101</v>
      </c>
      <c r="C66" s="56"/>
      <c r="D66" s="20"/>
      <c r="E66" s="12"/>
      <c r="F66" s="12"/>
      <c r="G66" s="9">
        <f>+G63</f>
        <v>2737.9800000000005</v>
      </c>
      <c r="H66" s="9">
        <f>+H63</f>
        <v>80.679999999999993</v>
      </c>
    </row>
    <row r="67" spans="1:8">
      <c r="A67" s="11"/>
      <c r="B67" s="64" t="s">
        <v>102</v>
      </c>
      <c r="C67" s="64"/>
      <c r="D67" s="64"/>
      <c r="E67" s="12"/>
      <c r="F67" s="12"/>
      <c r="G67" s="12"/>
      <c r="H67" s="12"/>
    </row>
    <row r="68" spans="1:8">
      <c r="A68" s="11"/>
      <c r="B68" s="64" t="s">
        <v>103</v>
      </c>
      <c r="C68" s="64"/>
      <c r="D68" s="64"/>
      <c r="E68" s="12"/>
      <c r="F68" s="12"/>
      <c r="G68" s="24" t="s">
        <v>100</v>
      </c>
      <c r="H68" s="24" t="s">
        <v>100</v>
      </c>
    </row>
    <row r="69" spans="1:8">
      <c r="A69" s="20"/>
      <c r="B69" s="56" t="s">
        <v>98</v>
      </c>
      <c r="C69" s="56"/>
      <c r="D69" s="20"/>
      <c r="E69" s="12"/>
      <c r="F69" s="12"/>
      <c r="G69" s="9">
        <v>0</v>
      </c>
      <c r="H69" s="9">
        <v>0</v>
      </c>
    </row>
    <row r="70" spans="1:8">
      <c r="A70" s="11"/>
      <c r="B70" s="64" t="s">
        <v>104</v>
      </c>
      <c r="C70" s="64"/>
      <c r="D70" s="64"/>
      <c r="E70" s="12"/>
      <c r="F70" s="12"/>
      <c r="G70" s="24" t="s">
        <v>100</v>
      </c>
      <c r="H70" s="24" t="s">
        <v>100</v>
      </c>
    </row>
    <row r="71" spans="1:8">
      <c r="A71" s="20"/>
      <c r="B71" s="56" t="s">
        <v>98</v>
      </c>
      <c r="C71" s="56"/>
      <c r="D71" s="20"/>
      <c r="E71" s="12"/>
      <c r="F71" s="12"/>
      <c r="G71" s="9">
        <v>0</v>
      </c>
      <c r="H71" s="9">
        <v>0</v>
      </c>
    </row>
    <row r="72" spans="1:8">
      <c r="A72" s="22"/>
      <c r="B72" s="65" t="s">
        <v>105</v>
      </c>
      <c r="C72" s="65"/>
      <c r="D72" s="65"/>
      <c r="E72" s="23"/>
      <c r="F72" s="24"/>
      <c r="G72" s="24" t="s">
        <v>100</v>
      </c>
      <c r="H72" s="24" t="s">
        <v>100</v>
      </c>
    </row>
    <row r="73" spans="1:8" s="10" customFormat="1" ht="12.75">
      <c r="A73" s="20"/>
      <c r="B73" s="56" t="s">
        <v>98</v>
      </c>
      <c r="C73" s="56"/>
      <c r="D73" s="20"/>
      <c r="E73" s="12"/>
      <c r="F73" s="12"/>
      <c r="G73" s="9">
        <v>0</v>
      </c>
      <c r="H73" s="9">
        <v>0</v>
      </c>
    </row>
    <row r="74" spans="1:8">
      <c r="A74" s="11"/>
      <c r="B74" s="64" t="s">
        <v>106</v>
      </c>
      <c r="C74" s="64"/>
      <c r="D74" s="64"/>
      <c r="E74" s="12"/>
      <c r="F74" s="12"/>
      <c r="G74" s="12"/>
      <c r="H74" s="12"/>
    </row>
    <row r="75" spans="1:8">
      <c r="A75" s="11"/>
      <c r="B75" s="64" t="s">
        <v>104</v>
      </c>
      <c r="C75" s="64"/>
      <c r="D75" s="64"/>
      <c r="E75" s="12"/>
      <c r="F75" s="12"/>
      <c r="G75" s="24"/>
      <c r="H75" s="24"/>
    </row>
    <row r="76" spans="1:8">
      <c r="A76" s="11"/>
      <c r="B76" t="s">
        <v>107</v>
      </c>
      <c r="C76" s="48">
        <v>9.74</v>
      </c>
      <c r="D76" t="s">
        <v>108</v>
      </c>
      <c r="E76" s="25" t="s">
        <v>109</v>
      </c>
      <c r="F76" s="15">
        <v>2</v>
      </c>
      <c r="G76" s="15">
        <v>21.08</v>
      </c>
      <c r="H76" s="15">
        <v>0.62</v>
      </c>
    </row>
    <row r="77" spans="1:8">
      <c r="A77" s="11"/>
      <c r="B77" t="s">
        <v>110</v>
      </c>
      <c r="C77" s="48">
        <v>9.39</v>
      </c>
      <c r="D77" t="s">
        <v>111</v>
      </c>
      <c r="E77" s="25" t="s">
        <v>109</v>
      </c>
      <c r="F77" s="15">
        <v>7</v>
      </c>
      <c r="G77" s="15">
        <v>70.16</v>
      </c>
      <c r="H77" s="15">
        <v>2.0699999999999998</v>
      </c>
    </row>
    <row r="78" spans="1:8">
      <c r="A78" s="11"/>
      <c r="B78" t="s">
        <v>202</v>
      </c>
      <c r="C78" s="48">
        <v>9.65</v>
      </c>
      <c r="D78" t="s">
        <v>148</v>
      </c>
      <c r="E78" s="25" t="s">
        <v>109</v>
      </c>
      <c r="F78" s="15">
        <v>5</v>
      </c>
      <c r="G78" s="15">
        <v>51.27</v>
      </c>
      <c r="H78" s="15">
        <v>1.51</v>
      </c>
    </row>
    <row r="79" spans="1:8">
      <c r="A79" s="20"/>
      <c r="B79" s="56" t="s">
        <v>98</v>
      </c>
      <c r="C79" s="56"/>
      <c r="D79" s="20"/>
      <c r="E79" s="12"/>
      <c r="F79" s="12"/>
      <c r="G79" s="9">
        <f>SUM(G76:G78)</f>
        <v>142.51</v>
      </c>
      <c r="H79" s="9">
        <f>SUM(H76:H78)</f>
        <v>4.2</v>
      </c>
    </row>
    <row r="80" spans="1:8">
      <c r="A80" s="22"/>
      <c r="B80" s="65" t="s">
        <v>105</v>
      </c>
      <c r="C80" s="65"/>
      <c r="D80" s="65"/>
      <c r="E80" s="23"/>
      <c r="F80" s="24"/>
      <c r="G80" s="24" t="s">
        <v>100</v>
      </c>
      <c r="H80" s="24" t="s">
        <v>100</v>
      </c>
    </row>
    <row r="81" spans="1:8" s="10" customFormat="1" ht="12.75">
      <c r="A81" s="20"/>
      <c r="B81" s="56" t="s">
        <v>98</v>
      </c>
      <c r="C81" s="56"/>
      <c r="D81" s="20"/>
      <c r="E81" s="12"/>
      <c r="F81" s="12"/>
      <c r="G81" s="9">
        <v>0</v>
      </c>
      <c r="H81" s="9">
        <v>0</v>
      </c>
    </row>
    <row r="82" spans="1:8">
      <c r="A82" s="11"/>
      <c r="B82" s="64" t="s">
        <v>112</v>
      </c>
      <c r="C82" s="64"/>
      <c r="D82" s="64"/>
      <c r="E82" s="12"/>
      <c r="F82" s="12"/>
      <c r="G82" s="12"/>
      <c r="H82" s="12"/>
    </row>
    <row r="83" spans="1:8">
      <c r="A83" s="20"/>
      <c r="B83" s="56" t="s">
        <v>98</v>
      </c>
      <c r="C83" s="56"/>
      <c r="D83" s="20"/>
      <c r="E83" s="12"/>
      <c r="F83" s="12"/>
      <c r="G83" s="9">
        <v>0</v>
      </c>
      <c r="H83" s="9">
        <v>0</v>
      </c>
    </row>
    <row r="84" spans="1:8">
      <c r="A84" s="20"/>
      <c r="B84" s="56" t="s">
        <v>101</v>
      </c>
      <c r="C84" s="56"/>
      <c r="D84" s="20"/>
      <c r="E84" s="12"/>
      <c r="F84" s="12"/>
      <c r="G84" s="9">
        <f>+G79</f>
        <v>142.51</v>
      </c>
      <c r="H84" s="9">
        <f>+H79</f>
        <v>4.2</v>
      </c>
    </row>
    <row r="85" spans="1:8">
      <c r="A85" s="11"/>
      <c r="B85" s="64" t="s">
        <v>113</v>
      </c>
      <c r="C85" s="64"/>
      <c r="D85" s="64"/>
      <c r="E85" s="12"/>
      <c r="F85" s="12"/>
      <c r="G85" s="12"/>
      <c r="H85" s="12"/>
    </row>
    <row r="86" spans="1:8">
      <c r="A86" s="22"/>
      <c r="B86" s="65" t="s">
        <v>114</v>
      </c>
      <c r="C86" s="65"/>
      <c r="D86" s="65"/>
      <c r="E86" s="23"/>
      <c r="F86" s="24"/>
      <c r="G86" s="24" t="s">
        <v>100</v>
      </c>
      <c r="H86" s="24" t="s">
        <v>100</v>
      </c>
    </row>
    <row r="87" spans="1:8" s="10" customFormat="1" ht="12.75">
      <c r="A87" s="20"/>
      <c r="B87" s="56" t="s">
        <v>98</v>
      </c>
      <c r="C87" s="56"/>
      <c r="D87" s="20"/>
      <c r="E87" s="12"/>
      <c r="F87" s="12"/>
      <c r="G87" s="9">
        <v>0</v>
      </c>
      <c r="H87" s="9">
        <v>0</v>
      </c>
    </row>
    <row r="88" spans="1:8">
      <c r="A88" s="22"/>
      <c r="B88" s="65" t="s">
        <v>115</v>
      </c>
      <c r="C88" s="65"/>
      <c r="D88" s="65"/>
      <c r="E88" s="23"/>
      <c r="F88" s="24"/>
      <c r="G88" s="24"/>
      <c r="H88" s="24"/>
    </row>
    <row r="89" spans="1:8" s="10" customFormat="1">
      <c r="A89" s="22"/>
      <c r="B89" t="s">
        <v>203</v>
      </c>
      <c r="D89" t="s">
        <v>148</v>
      </c>
      <c r="E89" s="25" t="s">
        <v>149</v>
      </c>
      <c r="F89" s="15">
        <v>100</v>
      </c>
      <c r="G89" s="15">
        <v>486.12</v>
      </c>
      <c r="H89" s="15">
        <v>14.32</v>
      </c>
    </row>
    <row r="90" spans="1:8" s="10" customFormat="1" ht="12.75">
      <c r="A90" s="20"/>
      <c r="B90" s="56" t="s">
        <v>98</v>
      </c>
      <c r="C90" s="56"/>
      <c r="D90" s="20"/>
      <c r="E90" s="12"/>
      <c r="F90" s="12"/>
      <c r="G90" s="9">
        <f>SUM(G89)</f>
        <v>486.12</v>
      </c>
      <c r="H90" s="21">
        <f>SUM(H89)</f>
        <v>14.32</v>
      </c>
    </row>
    <row r="91" spans="1:8">
      <c r="A91" s="22"/>
      <c r="B91" s="65" t="s">
        <v>116</v>
      </c>
      <c r="C91" s="65"/>
      <c r="D91" s="65"/>
      <c r="E91" s="23"/>
      <c r="F91" s="24"/>
      <c r="G91" s="24" t="s">
        <v>100</v>
      </c>
      <c r="H91" s="24" t="s">
        <v>100</v>
      </c>
    </row>
    <row r="92" spans="1:8" s="10" customFormat="1" ht="12.75">
      <c r="A92" s="20"/>
      <c r="B92" s="56" t="s">
        <v>98</v>
      </c>
      <c r="C92" s="56"/>
      <c r="D92" s="20"/>
      <c r="E92" s="12"/>
      <c r="F92" s="12"/>
      <c r="G92" s="9">
        <v>0</v>
      </c>
      <c r="H92" s="9">
        <v>0</v>
      </c>
    </row>
    <row r="93" spans="1:8">
      <c r="A93" s="22"/>
      <c r="B93" s="65" t="s">
        <v>117</v>
      </c>
      <c r="C93" s="65"/>
      <c r="D93" s="65"/>
      <c r="E93" s="23"/>
      <c r="F93" s="24"/>
      <c r="G93" s="24" t="s">
        <v>100</v>
      </c>
      <c r="H93" s="24" t="s">
        <v>100</v>
      </c>
    </row>
    <row r="94" spans="1:8" s="10" customFormat="1" ht="12.75">
      <c r="A94" s="20"/>
      <c r="B94" s="56" t="s">
        <v>98</v>
      </c>
      <c r="C94" s="56"/>
      <c r="D94" s="20"/>
      <c r="E94" s="12"/>
      <c r="F94" s="12"/>
      <c r="G94" s="9">
        <v>0</v>
      </c>
      <c r="H94" s="9">
        <v>0</v>
      </c>
    </row>
    <row r="95" spans="1:8">
      <c r="A95" s="20"/>
      <c r="B95" s="56" t="s">
        <v>101</v>
      </c>
      <c r="C95" s="56"/>
      <c r="D95" s="20"/>
      <c r="E95" s="12"/>
      <c r="F95" s="12"/>
      <c r="G95" s="9">
        <f>+G90+G92+G94</f>
        <v>486.12</v>
      </c>
      <c r="H95" s="9">
        <f>+H90+H92+H94</f>
        <v>14.32</v>
      </c>
    </row>
    <row r="96" spans="1:8">
      <c r="A96" s="11"/>
      <c r="B96" s="64" t="s">
        <v>118</v>
      </c>
      <c r="C96" s="64"/>
      <c r="D96" s="64"/>
      <c r="E96" s="12"/>
      <c r="F96" s="12"/>
      <c r="G96" s="24"/>
      <c r="H96" s="15"/>
    </row>
    <row r="97" spans="1:8">
      <c r="A97" s="11"/>
      <c r="B97" s="56" t="s">
        <v>119</v>
      </c>
      <c r="C97" s="56"/>
      <c r="D97" s="56"/>
      <c r="E97" s="12"/>
      <c r="F97" s="12"/>
      <c r="G97" s="17">
        <v>27.08</v>
      </c>
      <c r="H97" s="26">
        <v>0.8</v>
      </c>
    </row>
    <row r="98" spans="1:8">
      <c r="A98" s="20"/>
      <c r="B98" s="56" t="s">
        <v>98</v>
      </c>
      <c r="C98" s="56"/>
      <c r="D98" s="20"/>
      <c r="E98" s="12"/>
      <c r="F98" s="12"/>
      <c r="G98" s="24">
        <f>+G97</f>
        <v>27.08</v>
      </c>
      <c r="H98" s="31">
        <f>+H97</f>
        <v>0.8</v>
      </c>
    </row>
    <row r="99" spans="1:8">
      <c r="A99" s="20"/>
      <c r="B99" s="56" t="s">
        <v>101</v>
      </c>
      <c r="C99" s="56"/>
      <c r="D99" s="20"/>
      <c r="E99" s="12"/>
      <c r="F99" s="12"/>
      <c r="G99" s="24">
        <v>0</v>
      </c>
      <c r="H99" s="15">
        <v>0</v>
      </c>
    </row>
    <row r="100" spans="1:8">
      <c r="A100" s="57"/>
      <c r="B100" s="57" t="s">
        <v>120</v>
      </c>
      <c r="C100" s="57"/>
      <c r="D100" s="57"/>
      <c r="E100" s="23"/>
      <c r="F100" s="23"/>
      <c r="G100" s="24">
        <f>+G66+G84+G95+G98</f>
        <v>3393.6900000000005</v>
      </c>
      <c r="H100" s="31">
        <f>+H66+H84+H95+H98</f>
        <v>99.999999999999986</v>
      </c>
    </row>
    <row r="101" spans="1:8" s="10" customFormat="1">
      <c r="A101" s="53"/>
      <c r="B101" s="48"/>
      <c r="C101" s="48"/>
      <c r="D101" s="27" t="s">
        <v>121</v>
      </c>
      <c r="E101" s="27"/>
      <c r="F101" s="27"/>
      <c r="G101" s="28"/>
      <c r="H101" s="28"/>
    </row>
    <row r="102" spans="1:8" ht="15.75">
      <c r="A102" s="53"/>
      <c r="D102" s="32" t="s">
        <v>122</v>
      </c>
      <c r="E102" s="32"/>
      <c r="F102" s="32"/>
      <c r="G102" s="50"/>
      <c r="H102" s="58"/>
    </row>
    <row r="103" spans="1:8">
      <c r="A103" s="53"/>
      <c r="D103" s="32"/>
      <c r="E103" s="32"/>
      <c r="F103" s="32"/>
      <c r="G103" s="32"/>
      <c r="H103" s="32"/>
    </row>
    <row r="104" spans="1:8">
      <c r="A104" s="53"/>
      <c r="D104" s="32"/>
      <c r="E104" s="32"/>
      <c r="F104" s="32"/>
      <c r="G104" s="32"/>
      <c r="H104" s="32"/>
    </row>
    <row r="105" spans="1:8">
      <c r="A105" s="67"/>
      <c r="B105" s="63" t="s">
        <v>123</v>
      </c>
      <c r="C105" s="63"/>
      <c r="D105" s="63"/>
      <c r="E105" s="29"/>
      <c r="F105" s="29"/>
      <c r="G105" s="29"/>
      <c r="H105" s="29"/>
    </row>
    <row r="106" spans="1:8">
      <c r="A106" s="67"/>
      <c r="B106" s="62" t="s">
        <v>124</v>
      </c>
      <c r="C106" s="62"/>
      <c r="D106" s="62"/>
      <c r="E106" s="29"/>
      <c r="F106" s="29"/>
      <c r="G106" s="29"/>
      <c r="H106" s="30">
        <v>8.08</v>
      </c>
    </row>
    <row r="107" spans="1:8">
      <c r="A107" s="67"/>
      <c r="B107" s="62" t="s">
        <v>125</v>
      </c>
      <c r="C107" s="62"/>
      <c r="D107" s="62"/>
      <c r="E107" s="29"/>
      <c r="F107" s="29"/>
      <c r="G107" s="29"/>
      <c r="H107" s="30">
        <v>2.0499999999999998</v>
      </c>
    </row>
    <row r="108" spans="1:8">
      <c r="A108" s="67"/>
      <c r="B108" s="62" t="s">
        <v>126</v>
      </c>
      <c r="C108" s="62"/>
      <c r="D108" s="62"/>
      <c r="E108" s="29"/>
      <c r="F108" s="29"/>
      <c r="G108" s="29"/>
      <c r="H108" s="30">
        <v>21.63</v>
      </c>
    </row>
    <row r="109" spans="1:8">
      <c r="A109" s="67"/>
      <c r="B109" s="62" t="s">
        <v>127</v>
      </c>
      <c r="C109" s="62"/>
      <c r="D109" s="62"/>
      <c r="E109" s="29"/>
      <c r="F109" s="29"/>
      <c r="G109" s="29"/>
      <c r="H109" s="30">
        <v>1.97</v>
      </c>
    </row>
    <row r="110" spans="1:8">
      <c r="A110" s="67"/>
      <c r="B110" s="62" t="s">
        <v>128</v>
      </c>
      <c r="C110" s="62"/>
      <c r="D110" s="62"/>
      <c r="E110" s="29"/>
      <c r="F110" s="29"/>
      <c r="G110" s="29"/>
      <c r="H110" s="30">
        <v>2.52</v>
      </c>
    </row>
    <row r="111" spans="1:8">
      <c r="A111" s="67"/>
      <c r="B111" s="62" t="s">
        <v>129</v>
      </c>
      <c r="C111" s="62"/>
      <c r="D111" s="62"/>
      <c r="E111" s="29"/>
      <c r="F111" s="29"/>
      <c r="G111" s="29"/>
      <c r="H111" s="30">
        <v>0.61</v>
      </c>
    </row>
    <row r="112" spans="1:8">
      <c r="A112" s="67"/>
      <c r="B112" s="62" t="s">
        <v>130</v>
      </c>
      <c r="C112" s="62"/>
      <c r="D112" s="62"/>
      <c r="E112" s="29"/>
      <c r="F112" s="29"/>
      <c r="G112" s="29"/>
      <c r="H112" s="30">
        <v>3.94</v>
      </c>
    </row>
    <row r="113" spans="1:8">
      <c r="A113" s="67"/>
      <c r="B113" s="62" t="s">
        <v>131</v>
      </c>
      <c r="C113" s="62"/>
      <c r="D113" s="62"/>
      <c r="E113" s="29"/>
      <c r="F113" s="29"/>
      <c r="G113" s="29"/>
      <c r="H113" s="30">
        <v>1.19</v>
      </c>
    </row>
    <row r="114" spans="1:8">
      <c r="A114" s="67"/>
      <c r="B114" s="62" t="s">
        <v>132</v>
      </c>
      <c r="C114" s="62"/>
      <c r="D114" s="62"/>
      <c r="E114" s="29"/>
      <c r="F114" s="29"/>
      <c r="G114" s="29"/>
      <c r="H114" s="30">
        <v>8.3000000000000007</v>
      </c>
    </row>
    <row r="115" spans="1:8">
      <c r="A115" s="67"/>
      <c r="B115" s="62" t="s">
        <v>133</v>
      </c>
      <c r="C115" s="62"/>
      <c r="D115" s="62"/>
      <c r="E115" s="29"/>
      <c r="F115" s="29"/>
      <c r="G115" s="29"/>
      <c r="H115" s="30">
        <v>0.52</v>
      </c>
    </row>
    <row r="116" spans="1:8">
      <c r="A116" s="67"/>
      <c r="B116" s="62" t="s">
        <v>134</v>
      </c>
      <c r="C116" s="62"/>
      <c r="D116" s="62"/>
      <c r="E116" s="29"/>
      <c r="F116" s="29"/>
      <c r="G116" s="29"/>
      <c r="H116" s="30">
        <v>1.45</v>
      </c>
    </row>
    <row r="117" spans="1:8">
      <c r="A117" s="67"/>
      <c r="B117" s="62" t="s">
        <v>150</v>
      </c>
      <c r="C117" s="62"/>
      <c r="D117" s="62"/>
      <c r="E117" s="29"/>
      <c r="F117" s="29"/>
      <c r="G117" s="29"/>
      <c r="H117" s="30">
        <v>2.19</v>
      </c>
    </row>
    <row r="118" spans="1:8">
      <c r="A118" s="67"/>
      <c r="B118" s="54" t="s">
        <v>135</v>
      </c>
      <c r="C118" s="54"/>
      <c r="D118" s="54"/>
      <c r="E118" s="29"/>
      <c r="F118" s="29"/>
      <c r="G118" s="29"/>
      <c r="H118" s="30">
        <v>0.74</v>
      </c>
    </row>
    <row r="119" spans="1:8">
      <c r="A119" s="67"/>
      <c r="B119" s="62" t="s">
        <v>136</v>
      </c>
      <c r="C119" s="62"/>
      <c r="D119" s="62"/>
      <c r="E119" s="29"/>
      <c r="F119" s="29"/>
      <c r="G119" s="29"/>
      <c r="H119" s="30">
        <v>1.28</v>
      </c>
    </row>
    <row r="120" spans="1:8">
      <c r="A120" s="67"/>
      <c r="B120" s="54" t="s">
        <v>137</v>
      </c>
      <c r="C120" s="54"/>
      <c r="D120" s="54"/>
      <c r="E120" s="29"/>
      <c r="F120" s="29"/>
      <c r="G120" s="29"/>
      <c r="H120" s="30">
        <v>0.72</v>
      </c>
    </row>
    <row r="121" spans="1:8">
      <c r="B121" s="62" t="s">
        <v>138</v>
      </c>
      <c r="C121" s="62"/>
      <c r="D121" s="62"/>
      <c r="E121" s="29"/>
      <c r="F121" s="29"/>
      <c r="G121" s="29"/>
      <c r="H121" s="30">
        <v>3.93</v>
      </c>
    </row>
    <row r="122" spans="1:8">
      <c r="B122" s="62" t="s">
        <v>139</v>
      </c>
      <c r="C122" s="62"/>
      <c r="D122" s="62"/>
      <c r="E122" s="29"/>
      <c r="F122" s="29"/>
      <c r="G122" s="29"/>
      <c r="H122" s="30">
        <v>8.0399999999999991</v>
      </c>
    </row>
    <row r="123" spans="1:8">
      <c r="B123" s="62" t="s">
        <v>140</v>
      </c>
      <c r="C123" s="62"/>
      <c r="D123" s="62"/>
      <c r="E123" s="29"/>
      <c r="F123" s="29"/>
      <c r="G123" s="29"/>
      <c r="H123" s="30">
        <v>0.7</v>
      </c>
    </row>
    <row r="124" spans="1:8">
      <c r="B124" s="62" t="s">
        <v>141</v>
      </c>
      <c r="C124" s="62"/>
      <c r="D124" s="62"/>
      <c r="E124" s="29"/>
      <c r="F124" s="29"/>
      <c r="G124" s="29"/>
      <c r="H124" s="30">
        <v>10.6</v>
      </c>
    </row>
    <row r="125" spans="1:8">
      <c r="B125" s="62" t="s">
        <v>169</v>
      </c>
      <c r="C125" s="62"/>
      <c r="D125" s="62"/>
      <c r="E125" s="29"/>
      <c r="F125" s="29"/>
      <c r="G125" s="29"/>
      <c r="H125" s="30">
        <v>0.22</v>
      </c>
    </row>
    <row r="127" spans="1:8" ht="15.75">
      <c r="D127" s="68" t="s">
        <v>170</v>
      </c>
      <c r="E127" s="68"/>
      <c r="F127" s="68"/>
      <c r="G127" s="68"/>
      <c r="H127" s="68"/>
    </row>
    <row r="128" spans="1:8">
      <c r="D128" s="67" t="s">
        <v>171</v>
      </c>
      <c r="E128" s="67"/>
      <c r="F128" s="67"/>
      <c r="G128" s="67"/>
      <c r="H128" s="67"/>
    </row>
    <row r="129" spans="4:8">
      <c r="D129" s="67" t="s">
        <v>172</v>
      </c>
      <c r="E129" s="67"/>
      <c r="F129" s="67"/>
      <c r="G129" s="67"/>
      <c r="H129" s="67"/>
    </row>
    <row r="130" spans="4:8">
      <c r="D130" s="67" t="s">
        <v>173</v>
      </c>
      <c r="E130" s="67"/>
      <c r="F130" s="67"/>
      <c r="G130" s="67"/>
      <c r="H130" s="67"/>
    </row>
    <row r="131" spans="4:8">
      <c r="D131" s="35" t="s">
        <v>174</v>
      </c>
      <c r="E131" s="51">
        <v>42185</v>
      </c>
      <c r="F131" s="51">
        <v>42155</v>
      </c>
      <c r="G131" s="37"/>
      <c r="H131" s="48"/>
    </row>
    <row r="132" spans="4:8" ht="15.75">
      <c r="D132" s="55" t="s">
        <v>175</v>
      </c>
      <c r="E132" s="55">
        <v>13.204800000000001</v>
      </c>
      <c r="F132" s="60">
        <v>13.271699999999999</v>
      </c>
      <c r="G132" s="37"/>
      <c r="H132" s="48"/>
    </row>
    <row r="133" spans="4:8" ht="15.75">
      <c r="D133" s="55" t="s">
        <v>176</v>
      </c>
      <c r="E133" s="44">
        <v>11.749599999999999</v>
      </c>
      <c r="F133" s="44">
        <v>11.809200000000001</v>
      </c>
      <c r="G133" s="37"/>
      <c r="H133" s="48"/>
    </row>
    <row r="134" spans="4:8" ht="15.75">
      <c r="D134" s="55" t="s">
        <v>177</v>
      </c>
      <c r="E134" s="55">
        <v>13.3178</v>
      </c>
      <c r="F134" s="60">
        <v>13.377800000000001</v>
      </c>
      <c r="G134" s="37"/>
      <c r="H134" s="48"/>
    </row>
    <row r="135" spans="4:8" ht="15.75">
      <c r="D135" s="55" t="s">
        <v>178</v>
      </c>
      <c r="E135" s="44">
        <v>11.831200000000001</v>
      </c>
      <c r="F135" s="44">
        <v>11.8864</v>
      </c>
      <c r="G135" s="37"/>
      <c r="H135" s="48"/>
    </row>
    <row r="136" spans="4:8">
      <c r="F136" s="37"/>
      <c r="G136" s="37"/>
      <c r="H136" s="48"/>
    </row>
    <row r="137" spans="4:8">
      <c r="D137" s="38" t="s">
        <v>179</v>
      </c>
      <c r="E137" s="53"/>
      <c r="F137" s="39"/>
      <c r="G137" s="39"/>
      <c r="H137" s="53"/>
    </row>
    <row r="138" spans="4:8" ht="26.25">
      <c r="D138" s="40"/>
      <c r="E138" s="40"/>
      <c r="F138" s="41"/>
      <c r="G138" s="42"/>
      <c r="H138" s="43" t="s">
        <v>180</v>
      </c>
    </row>
    <row r="139" spans="4:8" ht="26.25">
      <c r="D139" s="47" t="s">
        <v>181</v>
      </c>
      <c r="E139" s="47"/>
      <c r="F139" s="47" t="s">
        <v>182</v>
      </c>
      <c r="G139" s="43" t="s">
        <v>183</v>
      </c>
      <c r="H139" s="36" t="s">
        <v>184</v>
      </c>
    </row>
    <row r="140" spans="4:8">
      <c r="D140" s="48" t="s">
        <v>185</v>
      </c>
      <c r="E140" s="48"/>
      <c r="F140" s="45">
        <v>41717</v>
      </c>
      <c r="G140" s="39">
        <v>10.4657</v>
      </c>
      <c r="H140" s="39">
        <v>0.25</v>
      </c>
    </row>
    <row r="141" spans="4:8">
      <c r="D141" s="48" t="s">
        <v>185</v>
      </c>
      <c r="E141" s="48"/>
      <c r="F141" s="46">
        <v>41939</v>
      </c>
      <c r="G141" s="37">
        <v>11.9236</v>
      </c>
      <c r="H141" s="37">
        <v>1.05</v>
      </c>
    </row>
    <row r="142" spans="4:8">
      <c r="D142" s="48" t="s">
        <v>186</v>
      </c>
      <c r="E142" s="48"/>
      <c r="F142" s="45">
        <v>41717</v>
      </c>
      <c r="G142" s="39">
        <v>10.4529</v>
      </c>
      <c r="H142" s="37">
        <v>0.25</v>
      </c>
    </row>
    <row r="143" spans="4:8">
      <c r="D143" s="48" t="s">
        <v>186</v>
      </c>
      <c r="E143" s="48"/>
      <c r="F143" s="46">
        <v>41939</v>
      </c>
      <c r="G143" s="37">
        <v>11.8794</v>
      </c>
      <c r="H143" s="37">
        <v>1.05</v>
      </c>
    </row>
    <row r="144" spans="4:8">
      <c r="E144" s="48"/>
      <c r="F144" s="37"/>
      <c r="G144" s="37"/>
      <c r="H144" s="48"/>
    </row>
    <row r="145" spans="4:8">
      <c r="D145" s="59" t="s">
        <v>205</v>
      </c>
      <c r="E145" s="48"/>
      <c r="F145" s="37"/>
      <c r="G145" s="37"/>
      <c r="H145" s="48"/>
    </row>
    <row r="146" spans="4:8">
      <c r="D146" s="59" t="s">
        <v>206</v>
      </c>
      <c r="E146" s="53"/>
      <c r="F146" s="53"/>
      <c r="G146" s="53"/>
      <c r="H146" s="48"/>
    </row>
    <row r="147" spans="4:8">
      <c r="D147" s="53" t="s">
        <v>188</v>
      </c>
      <c r="E147" s="53"/>
      <c r="F147" s="53"/>
      <c r="G147" s="53"/>
      <c r="H147" s="48"/>
    </row>
    <row r="148" spans="4:8">
      <c r="D148" s="61" t="s">
        <v>209</v>
      </c>
      <c r="E148" s="53"/>
      <c r="F148" s="53"/>
      <c r="G148" s="53"/>
      <c r="H148" s="48"/>
    </row>
    <row r="149" spans="4:8">
      <c r="D149" s="52" t="s">
        <v>207</v>
      </c>
    </row>
    <row r="150" spans="4:8">
      <c r="D150" s="52" t="s">
        <v>208</v>
      </c>
    </row>
    <row r="151" spans="4:8">
      <c r="D151" s="53" t="s">
        <v>189</v>
      </c>
    </row>
  </sheetData>
  <sheetProtection sheet="1" objects="1" scenarios="1" deleteColumns="0" deleteRows="0"/>
  <sortState ref="B9:H67">
    <sortCondition descending="1" ref="H9:H67"/>
  </sortState>
  <mergeCells count="43">
    <mergeCell ref="D130:H130"/>
    <mergeCell ref="B96:D96"/>
    <mergeCell ref="A105:A120"/>
    <mergeCell ref="B117:D117"/>
    <mergeCell ref="B119:D119"/>
    <mergeCell ref="B125:D125"/>
    <mergeCell ref="B121:D121"/>
    <mergeCell ref="D128:H128"/>
    <mergeCell ref="D129:H129"/>
    <mergeCell ref="B122:D122"/>
    <mergeCell ref="B123:D123"/>
    <mergeCell ref="B124:D124"/>
    <mergeCell ref="D127:H127"/>
    <mergeCell ref="B107:D107"/>
    <mergeCell ref="B108:D108"/>
    <mergeCell ref="B109:D109"/>
    <mergeCell ref="A1:H1"/>
    <mergeCell ref="B6:D6"/>
    <mergeCell ref="B7:D7"/>
    <mergeCell ref="B8:D8"/>
    <mergeCell ref="B68:D68"/>
    <mergeCell ref="B64:D64"/>
    <mergeCell ref="B67:D67"/>
    <mergeCell ref="B105:D105"/>
    <mergeCell ref="B110:D110"/>
    <mergeCell ref="B111:D111"/>
    <mergeCell ref="B112:D112"/>
    <mergeCell ref="B70:D70"/>
    <mergeCell ref="B72:D72"/>
    <mergeCell ref="B74:D74"/>
    <mergeCell ref="B75:D75"/>
    <mergeCell ref="B80:D80"/>
    <mergeCell ref="B82:D82"/>
    <mergeCell ref="B86:D86"/>
    <mergeCell ref="B88:D88"/>
    <mergeCell ref="B91:D91"/>
    <mergeCell ref="B93:D93"/>
    <mergeCell ref="B85:D85"/>
    <mergeCell ref="B113:D113"/>
    <mergeCell ref="B114:D114"/>
    <mergeCell ref="B115:D115"/>
    <mergeCell ref="B116:D116"/>
    <mergeCell ref="B106:D106"/>
  </mergeCells>
  <pageMargins left="0.2" right="0" top="0.75" bottom="0.75" header="0.3" footer="0.3"/>
  <pageSetup paperSize="9" scale="57" orientation="portrait" verticalDpi="0" r:id="rId1"/>
  <ignoredErrors>
    <ignoredError sqref="G63:H63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30.06.2015</vt:lpstr>
      <vt:lpstr>'30.06.2015'!Print_Titles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2015-07-09T13:07:06Z</dcterms:modified>
</cp:coreProperties>
</file>