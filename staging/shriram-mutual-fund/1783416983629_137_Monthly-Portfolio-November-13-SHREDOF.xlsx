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935"/>
  </bookViews>
  <sheets>
    <sheet name="PF 30.11.2013" sheetId="1" r:id="rId1"/>
  </sheets>
  <definedNames>
    <definedName name="_xlnm._FilterDatabase" localSheetId="0" hidden="1">'PF 30.11.2013'!$A$3:$H$32</definedName>
  </definedNames>
  <calcPr calcId="124519"/>
</workbook>
</file>

<file path=xl/calcChain.xml><?xml version="1.0" encoding="utf-8"?>
<calcChain xmlns="http://schemas.openxmlformats.org/spreadsheetml/2006/main">
  <c r="G9" i="1"/>
  <c r="G60"/>
  <c r="G59"/>
  <c r="G32"/>
  <c r="G31"/>
  <c r="G30"/>
  <c r="G29"/>
  <c r="G22"/>
  <c r="G21"/>
  <c r="G20"/>
  <c r="G19"/>
  <c r="G18"/>
  <c r="G17"/>
  <c r="G16"/>
  <c r="G15"/>
  <c r="G14"/>
  <c r="G13"/>
  <c r="G12"/>
  <c r="G11"/>
  <c r="G10"/>
  <c r="G61" l="1"/>
  <c r="H57"/>
  <c r="G57"/>
  <c r="H55"/>
  <c r="G55"/>
  <c r="H53"/>
  <c r="G53"/>
  <c r="H51"/>
  <c r="G51"/>
  <c r="G58" s="1"/>
  <c r="H47"/>
  <c r="G47"/>
  <c r="H44"/>
  <c r="G44"/>
  <c r="H42"/>
  <c r="G42"/>
  <c r="H38"/>
  <c r="G38"/>
  <c r="H36"/>
  <c r="G36"/>
  <c r="H25"/>
  <c r="G25"/>
  <c r="G34" l="1"/>
  <c r="G48" s="1"/>
  <c r="H58"/>
  <c r="G23"/>
  <c r="G26" s="1"/>
  <c r="G62" l="1"/>
  <c r="H60" s="1"/>
  <c r="H16" l="1"/>
  <c r="H15"/>
  <c r="H17"/>
  <c r="H21"/>
  <c r="H32"/>
  <c r="H9"/>
  <c r="H30"/>
  <c r="H18"/>
  <c r="H31"/>
  <c r="H29"/>
  <c r="H34" s="1"/>
  <c r="H48" s="1"/>
  <c r="H11"/>
  <c r="H19"/>
  <c r="H12"/>
  <c r="H20"/>
  <c r="H13"/>
  <c r="H10"/>
  <c r="H22"/>
  <c r="H14"/>
  <c r="H59"/>
  <c r="H61"/>
  <c r="H23" l="1"/>
  <c r="H26" s="1"/>
  <c r="H62" s="1"/>
</calcChain>
</file>

<file path=xl/sharedStrings.xml><?xml version="1.0" encoding="utf-8"?>
<sst xmlns="http://schemas.openxmlformats.org/spreadsheetml/2006/main" count="137" uniqueCount="89">
  <si>
    <t>ISIN</t>
  </si>
  <si>
    <t>Coupon (%)</t>
  </si>
  <si>
    <t>Name Of Instrument</t>
  </si>
  <si>
    <t>Industry+ /Rating</t>
  </si>
  <si>
    <t>Quantity</t>
  </si>
  <si>
    <t>% to NAV</t>
  </si>
  <si>
    <t>EQUITY &amp; EQUITY RELATED</t>
  </si>
  <si>
    <t>(a) Listed / awaiting listing on Stock Exchanges</t>
  </si>
  <si>
    <t>Equity</t>
  </si>
  <si>
    <t>INE467B01029</t>
  </si>
  <si>
    <t>Pesticides</t>
  </si>
  <si>
    <t>INE571A01020</t>
  </si>
  <si>
    <t>Industrial Products</t>
  </si>
  <si>
    <t>INE685A01028</t>
  </si>
  <si>
    <t>Petroleum Products</t>
  </si>
  <si>
    <t>INE326A01037</t>
  </si>
  <si>
    <t>Consumer Durables</t>
  </si>
  <si>
    <t>Construction Project</t>
  </si>
  <si>
    <t>Telecom - Services</t>
  </si>
  <si>
    <t>Auto</t>
  </si>
  <si>
    <t>Chemicals</t>
  </si>
  <si>
    <t>Media And Entertainment</t>
  </si>
  <si>
    <t>Industrial Capital Goods</t>
  </si>
  <si>
    <t>Ferrous Metals</t>
  </si>
  <si>
    <t>INE787D01026</t>
  </si>
  <si>
    <t>Transportation</t>
  </si>
  <si>
    <t>Power</t>
  </si>
  <si>
    <t>Sub Total</t>
  </si>
  <si>
    <t>(b) Unlisted</t>
  </si>
  <si>
    <t>Nil</t>
  </si>
  <si>
    <t>Total</t>
  </si>
  <si>
    <t>DEBT INSTRUMENTS</t>
  </si>
  <si>
    <t>Non-Convertible debentures / Bonds</t>
  </si>
  <si>
    <t>Zero Coupon Bonds / Deep Discount Bonds</t>
  </si>
  <si>
    <t>(b) Privately Placed / Unlisted</t>
  </si>
  <si>
    <t>(c) Securitized Debt Instruments</t>
  </si>
  <si>
    <t>MONEY MARKET INSTRUMENTS</t>
  </si>
  <si>
    <t>Bills Rediscounting</t>
  </si>
  <si>
    <t>Commercial Papers (CP) / Certificate Of Deposit (CD)</t>
  </si>
  <si>
    <t>Treasury Bills</t>
  </si>
  <si>
    <t>Collateralised Borrowing &amp; Lending Obligation</t>
  </si>
  <si>
    <t>Grand Total</t>
  </si>
  <si>
    <t>+ Industry Classification as recommended by AMFI</t>
  </si>
  <si>
    <t>Portfolio Classification by Asset Class(%)</t>
  </si>
  <si>
    <t>G-Sec</t>
  </si>
  <si>
    <t>Credit Exposure</t>
  </si>
  <si>
    <t>Cash,Cash Equivalents and Net Current Assets</t>
  </si>
  <si>
    <t> SHRIRAM EQUITY AND DEBT OPPORTUNITIES FUND</t>
  </si>
  <si>
    <t>INE437A01024</t>
  </si>
  <si>
    <t>INE021A01026</t>
  </si>
  <si>
    <t>INE669E01016</t>
  </si>
  <si>
    <t>INE166A01011</t>
  </si>
  <si>
    <t>INE154A01025</t>
  </si>
  <si>
    <t>INE101A01026</t>
  </si>
  <si>
    <t>INE987B01018</t>
  </si>
  <si>
    <t>INE044A01036</t>
  </si>
  <si>
    <t>INE192A01025</t>
  </si>
  <si>
    <t>APOLLO HOSPITALS ENTERPRISE LTD</t>
  </si>
  <si>
    <t>ASIAN PAINTS LTD</t>
  </si>
  <si>
    <t>BALKRISHNA INDUSTRIES LTD</t>
  </si>
  <si>
    <t>IDEA CELLULAR LTD</t>
  </si>
  <si>
    <t>ING VYSYA BANK LTD</t>
  </si>
  <si>
    <t>IPCA LABORATORIES LTD</t>
  </si>
  <si>
    <t>ITC LTD</t>
  </si>
  <si>
    <t>LUPIN LTD (EX LUPIN LABORATORIES LTD)</t>
  </si>
  <si>
    <t>MAHINDRA &amp; MAHINDRA LTD</t>
  </si>
  <si>
    <t>NATCO PHARMA LTD</t>
  </si>
  <si>
    <t>SUN PHARMACEUTICALS INDUSTRIES LTD</t>
  </si>
  <si>
    <t>TATA CONSULTANCY SERVICES LTD</t>
  </si>
  <si>
    <t>TORRENT PHARMACEUTICALS LTD</t>
  </si>
  <si>
    <t>TATA GLOBAL BEVERAGES LTD. (EX- TATA TEA LTD)</t>
  </si>
  <si>
    <t>(a) Mutual Funds</t>
  </si>
  <si>
    <t>INF179K01WT6</t>
  </si>
  <si>
    <t>INF109K01Q49</t>
  </si>
  <si>
    <t>INF200K01UT4</t>
  </si>
  <si>
    <t>INF789F01XI3</t>
  </si>
  <si>
    <t>HDFC LIQUID FUND - DIRECT PLAN - GROWTH OPTION - 8058</t>
  </si>
  <si>
    <t>ICICI PRUDENTIAL LIQUID - DIRECT PLAN - GROWTH</t>
  </si>
  <si>
    <t>SBI PREMIER LIQUID FUND - DIRECT PLAN - GROWTH - LD72SG</t>
  </si>
  <si>
    <t>UTI-TREASURY ADVANTAGE FUND - INSTITUTIONAL PLAN - DIRECT PLAN - GROWTH</t>
  </si>
  <si>
    <t>Automobile</t>
  </si>
  <si>
    <t>Consumer</t>
  </si>
  <si>
    <t>Banks/Financial Services</t>
  </si>
  <si>
    <t>Software/Information Technology</t>
  </si>
  <si>
    <t>Mutual Fund</t>
  </si>
  <si>
    <t>OTHERS (Cash)</t>
  </si>
  <si>
    <t>Portfolio as on November 30, 2013</t>
  </si>
  <si>
    <t>Market/ Fair Value (Rs. in lacs)</t>
  </si>
  <si>
    <t xml:space="preserve">Pharmaceuticals/Healtcare 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</si>
</sst>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7"/>
      <color indexed="8"/>
      <name val="Tahoma"/>
      <family val="2"/>
    </font>
    <font>
      <b/>
      <sz val="10"/>
      <color rgb="FF000000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sz val="10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b/>
      <sz val="10"/>
      <color rgb="FFFF0000"/>
      <name val="Wingdings"/>
      <charset val="2"/>
    </font>
    <font>
      <sz val="7"/>
      <color rgb="FFFF0000"/>
      <name val="Wingdings"/>
      <charset val="2"/>
    </font>
    <font>
      <sz val="7"/>
      <color rgb="FF000000"/>
      <name val="Tahoma"/>
      <family val="2"/>
    </font>
    <font>
      <sz val="10"/>
      <color rgb="FF00B0F0"/>
      <name val="Wingdings"/>
      <charset val="2"/>
    </font>
    <font>
      <b/>
      <sz val="10"/>
      <color theme="3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rgb="FFFFFFBB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/>
    <xf numFmtId="4" fontId="0" fillId="0" borderId="0" xfId="0" applyNumberFormat="1" applyAlignment="1"/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4" fontId="2" fillId="2" borderId="0" xfId="0" applyNumberFormat="1" applyFont="1" applyFill="1" applyAlignment="1">
      <alignment horizontal="center"/>
    </xf>
    <xf numFmtId="0" fontId="3" fillId="0" borderId="0" xfId="0" applyFont="1" applyAlignment="1"/>
    <xf numFmtId="4" fontId="3" fillId="0" borderId="0" xfId="0" applyNumberFormat="1" applyFont="1" applyAlignment="1">
      <alignment horizontal="right"/>
    </xf>
    <xf numFmtId="0" fontId="4" fillId="0" borderId="0" xfId="0" applyFont="1" applyAlignment="1"/>
    <xf numFmtId="0" fontId="5" fillId="0" borderId="0" xfId="0" applyFont="1" applyAlignment="1"/>
    <xf numFmtId="4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/>
    <xf numFmtId="4" fontId="7" fillId="0" borderId="0" xfId="0" applyNumberFormat="1" applyFont="1" applyAlignment="1"/>
    <xf numFmtId="4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4" fontId="2" fillId="0" borderId="0" xfId="0" applyNumberFormat="1" applyFont="1" applyAlignment="1"/>
    <xf numFmtId="4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4" fontId="5" fillId="0" borderId="0" xfId="0" applyNumberFormat="1" applyFont="1" applyAlignment="1">
      <alignment horizontal="left"/>
    </xf>
    <xf numFmtId="0" fontId="2" fillId="0" borderId="0" xfId="0" applyFont="1" applyAlignment="1"/>
    <xf numFmtId="0" fontId="9" fillId="0" borderId="0" xfId="0" applyFont="1" applyAlignment="1">
      <alignment horizontal="left"/>
    </xf>
    <xf numFmtId="4" fontId="7" fillId="3" borderId="0" xfId="0" applyNumberFormat="1" applyFont="1" applyFill="1" applyAlignment="1">
      <alignment horizontal="right"/>
    </xf>
    <xf numFmtId="4" fontId="7" fillId="3" borderId="0" xfId="0" applyNumberFormat="1" applyFont="1" applyFill="1" applyAlignment="1"/>
    <xf numFmtId="4" fontId="7" fillId="4" borderId="0" xfId="0" applyNumberFormat="1" applyFont="1" applyFill="1" applyAlignment="1"/>
    <xf numFmtId="0" fontId="7" fillId="0" borderId="0" xfId="0" applyFont="1" applyFill="1" applyAlignment="1"/>
    <xf numFmtId="4" fontId="7" fillId="0" borderId="0" xfId="0" applyNumberFormat="1" applyFont="1" applyFill="1" applyAlignment="1"/>
    <xf numFmtId="0" fontId="7" fillId="4" borderId="0" xfId="0" applyFont="1" applyFill="1" applyAlignment="1"/>
    <xf numFmtId="4" fontId="7" fillId="4" borderId="0" xfId="0" applyNumberFormat="1" applyFont="1" applyFill="1" applyAlignment="1">
      <alignment horizontal="right"/>
    </xf>
    <xf numFmtId="4" fontId="2" fillId="4" borderId="0" xfId="0" applyNumberFormat="1" applyFont="1" applyFill="1" applyAlignment="1">
      <alignment horizontal="left"/>
    </xf>
    <xf numFmtId="0" fontId="11" fillId="0" borderId="0" xfId="0" applyFont="1" applyAlignment="1">
      <alignment horizontal="left"/>
    </xf>
    <xf numFmtId="4" fontId="2" fillId="2" borderId="0" xfId="0" applyNumberFormat="1" applyFont="1" applyFill="1" applyAlignment="1">
      <alignment horizontal="center" wrapText="1"/>
    </xf>
    <xf numFmtId="0" fontId="2" fillId="4" borderId="0" xfId="0" applyFont="1" applyFill="1" applyAlignment="1">
      <alignment horizontal="left"/>
    </xf>
    <xf numFmtId="0" fontId="7" fillId="3" borderId="0" xfId="0" applyFont="1" applyFill="1" applyAlignment="1"/>
    <xf numFmtId="0" fontId="7" fillId="4" borderId="0" xfId="0" applyFont="1" applyFill="1" applyAlignment="1"/>
    <xf numFmtId="0" fontId="7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4" borderId="0" xfId="0" applyFont="1" applyFill="1" applyAlignment="1">
      <alignment horizontal="center"/>
    </xf>
    <xf numFmtId="0" fontId="1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7"/>
  <sheetViews>
    <sheetView tabSelected="1" workbookViewId="0">
      <selection activeCell="B69" sqref="B69:D69"/>
    </sheetView>
  </sheetViews>
  <sheetFormatPr defaultRowHeight="15"/>
  <cols>
    <col min="1" max="1" width="3.28515625" style="1" bestFit="1" customWidth="1"/>
    <col min="2" max="2" width="13.85546875" style="1" bestFit="1" customWidth="1"/>
    <col min="3" max="3" width="10.5703125" style="2" customWidth="1"/>
    <col min="4" max="4" width="44.140625" style="1" customWidth="1"/>
    <col min="5" max="5" width="25" style="2" customWidth="1"/>
    <col min="6" max="6" width="11.7109375" style="2" bestFit="1" customWidth="1"/>
    <col min="7" max="7" width="16.5703125" style="2" customWidth="1"/>
    <col min="8" max="8" width="10" style="2" bestFit="1" customWidth="1"/>
    <col min="9" max="10" width="9.140625" style="1"/>
    <col min="11" max="11" width="13.85546875" style="1" bestFit="1" customWidth="1"/>
    <col min="12" max="16384" width="9.140625" style="1"/>
  </cols>
  <sheetData>
    <row r="1" spans="1:8" ht="21.75">
      <c r="A1" s="42" t="s">
        <v>47</v>
      </c>
      <c r="B1" s="42"/>
      <c r="C1" s="42"/>
      <c r="D1" s="42"/>
      <c r="E1" s="42"/>
      <c r="F1" s="42"/>
      <c r="G1" s="42"/>
      <c r="H1" s="42"/>
    </row>
    <row r="3" spans="1:8">
      <c r="A3" s="43" t="s">
        <v>86</v>
      </c>
      <c r="B3" s="43"/>
      <c r="C3" s="43"/>
      <c r="D3" s="43"/>
    </row>
    <row r="5" spans="1:8" ht="43.5" customHeight="1">
      <c r="A5" s="3"/>
      <c r="B5" s="3" t="s">
        <v>0</v>
      </c>
      <c r="C5" s="4" t="s">
        <v>1</v>
      </c>
      <c r="D5" s="3" t="s">
        <v>2</v>
      </c>
      <c r="E5" s="4" t="s">
        <v>3</v>
      </c>
      <c r="F5" s="5" t="s">
        <v>4</v>
      </c>
      <c r="G5" s="34" t="s">
        <v>87</v>
      </c>
      <c r="H5" s="6" t="s">
        <v>5</v>
      </c>
    </row>
    <row r="6" spans="1:8" s="9" customFormat="1" ht="12.75">
      <c r="A6" s="7"/>
      <c r="B6" s="40" t="s">
        <v>6</v>
      </c>
      <c r="C6" s="40"/>
      <c r="D6" s="40"/>
      <c r="E6" s="8"/>
      <c r="F6" s="8"/>
      <c r="G6" s="8"/>
      <c r="H6" s="8"/>
    </row>
    <row r="7" spans="1:8">
      <c r="A7" s="10"/>
      <c r="B7" s="40" t="s">
        <v>7</v>
      </c>
      <c r="C7" s="40"/>
      <c r="D7" s="40"/>
      <c r="E7" s="11"/>
      <c r="F7" s="11"/>
      <c r="G7" s="11"/>
      <c r="H7" s="11"/>
    </row>
    <row r="8" spans="1:8">
      <c r="A8" s="10"/>
      <c r="B8" s="40" t="s">
        <v>8</v>
      </c>
      <c r="C8" s="40"/>
      <c r="D8" s="40"/>
      <c r="E8" s="11"/>
      <c r="F8" s="11"/>
      <c r="G8" s="11"/>
      <c r="H8" s="11"/>
    </row>
    <row r="9" spans="1:8">
      <c r="A9" s="33"/>
      <c r="B9" t="s">
        <v>48</v>
      </c>
      <c r="C9" s="14"/>
      <c r="D9" s="28" t="s">
        <v>57</v>
      </c>
      <c r="E9" s="29" t="s">
        <v>88</v>
      </c>
      <c r="F9" s="15">
        <v>338</v>
      </c>
      <c r="G9" s="15">
        <f>281925.8/100000</f>
        <v>2.819258</v>
      </c>
      <c r="H9" s="15">
        <f t="shared" ref="H9:H22" si="0">ROUND(G9/$G$62%,2)</f>
        <v>0.12</v>
      </c>
    </row>
    <row r="10" spans="1:8">
      <c r="A10" s="33"/>
      <c r="B10" t="s">
        <v>49</v>
      </c>
      <c r="C10" s="14"/>
      <c r="D10" s="28" t="s">
        <v>58</v>
      </c>
      <c r="E10" s="29" t="s">
        <v>81</v>
      </c>
      <c r="F10" s="15">
        <v>1726</v>
      </c>
      <c r="G10" s="15">
        <f>869299.9/100000</f>
        <v>8.6929990000000004</v>
      </c>
      <c r="H10" s="15">
        <f t="shared" si="0"/>
        <v>0.36</v>
      </c>
    </row>
    <row r="11" spans="1:8">
      <c r="A11" s="33"/>
      <c r="B11" t="s">
        <v>24</v>
      </c>
      <c r="C11" s="14"/>
      <c r="D11" s="28" t="s">
        <v>59</v>
      </c>
      <c r="E11" s="29" t="s">
        <v>80</v>
      </c>
      <c r="F11" s="15">
        <v>400</v>
      </c>
      <c r="G11" s="15">
        <f>114120/100000</f>
        <v>1.1412</v>
      </c>
      <c r="H11" s="15">
        <f t="shared" si="0"/>
        <v>0.05</v>
      </c>
    </row>
    <row r="12" spans="1:8">
      <c r="A12" s="33"/>
      <c r="B12" t="s">
        <v>50</v>
      </c>
      <c r="C12" s="14"/>
      <c r="D12" s="28" t="s">
        <v>60</v>
      </c>
      <c r="E12" s="29" t="s">
        <v>18</v>
      </c>
      <c r="F12" s="15">
        <v>4000</v>
      </c>
      <c r="G12" s="15">
        <f>701800/100000</f>
        <v>7.0179999999999998</v>
      </c>
      <c r="H12" s="15">
        <f t="shared" si="0"/>
        <v>0.28999999999999998</v>
      </c>
    </row>
    <row r="13" spans="1:8">
      <c r="A13" s="33"/>
      <c r="B13" t="s">
        <v>51</v>
      </c>
      <c r="C13" s="14"/>
      <c r="D13" s="28" t="s">
        <v>61</v>
      </c>
      <c r="E13" s="29" t="s">
        <v>82</v>
      </c>
      <c r="F13" s="15">
        <v>320</v>
      </c>
      <c r="G13" s="15">
        <f>182384/100000</f>
        <v>1.8238399999999999</v>
      </c>
      <c r="H13" s="15">
        <f t="shared" si="0"/>
        <v>0.08</v>
      </c>
    </row>
    <row r="14" spans="1:8">
      <c r="A14" s="33"/>
      <c r="B14" t="s">
        <v>11</v>
      </c>
      <c r="C14" s="14"/>
      <c r="D14" s="28" t="s">
        <v>62</v>
      </c>
      <c r="E14" s="29" t="s">
        <v>88</v>
      </c>
      <c r="F14" s="15">
        <v>475</v>
      </c>
      <c r="G14" s="15">
        <f>313120/100000</f>
        <v>3.1312000000000002</v>
      </c>
      <c r="H14" s="15">
        <f t="shared" si="0"/>
        <v>0.13</v>
      </c>
    </row>
    <row r="15" spans="1:8">
      <c r="A15" s="33"/>
      <c r="B15" t="s">
        <v>52</v>
      </c>
      <c r="C15" s="14"/>
      <c r="D15" s="28" t="s">
        <v>63</v>
      </c>
      <c r="E15" s="29" t="s">
        <v>81</v>
      </c>
      <c r="F15" s="15">
        <v>2000</v>
      </c>
      <c r="G15" s="15">
        <f>640800/100000</f>
        <v>6.4080000000000004</v>
      </c>
      <c r="H15" s="15">
        <f t="shared" si="0"/>
        <v>0.26</v>
      </c>
    </row>
    <row r="16" spans="1:8">
      <c r="A16" s="33"/>
      <c r="B16" t="s">
        <v>15</v>
      </c>
      <c r="C16" s="14"/>
      <c r="D16" s="28" t="s">
        <v>64</v>
      </c>
      <c r="E16" s="29" t="s">
        <v>88</v>
      </c>
      <c r="F16" s="15">
        <v>1125</v>
      </c>
      <c r="G16" s="15">
        <f>962831.25/100000</f>
        <v>9.6283124999999998</v>
      </c>
      <c r="H16" s="15">
        <f t="shared" si="0"/>
        <v>0.4</v>
      </c>
    </row>
    <row r="17" spans="1:8">
      <c r="A17" s="33"/>
      <c r="B17" t="s">
        <v>53</v>
      </c>
      <c r="C17" s="14"/>
      <c r="D17" s="28" t="s">
        <v>65</v>
      </c>
      <c r="E17" s="29" t="s">
        <v>80</v>
      </c>
      <c r="F17" s="15">
        <v>600</v>
      </c>
      <c r="G17" s="15">
        <f>567150/100000</f>
        <v>5.6715</v>
      </c>
      <c r="H17" s="15">
        <f t="shared" si="0"/>
        <v>0.23</v>
      </c>
    </row>
    <row r="18" spans="1:8">
      <c r="A18" s="33"/>
      <c r="B18" t="s">
        <v>54</v>
      </c>
      <c r="C18" s="14"/>
      <c r="D18" s="28" t="s">
        <v>66</v>
      </c>
      <c r="E18" s="29" t="s">
        <v>88</v>
      </c>
      <c r="F18" s="15">
        <v>200</v>
      </c>
      <c r="G18" s="15">
        <f>155480/100000</f>
        <v>1.5548</v>
      </c>
      <c r="H18" s="15">
        <f t="shared" si="0"/>
        <v>0.06</v>
      </c>
    </row>
    <row r="19" spans="1:8">
      <c r="A19" s="24"/>
      <c r="B19" t="s">
        <v>55</v>
      </c>
      <c r="C19" s="14"/>
      <c r="D19" s="28" t="s">
        <v>67</v>
      </c>
      <c r="E19" s="29" t="s">
        <v>88</v>
      </c>
      <c r="F19" s="15">
        <v>2000</v>
      </c>
      <c r="G19" s="15">
        <f>1144000/100000</f>
        <v>11.44</v>
      </c>
      <c r="H19" s="15">
        <f t="shared" si="0"/>
        <v>0.47</v>
      </c>
    </row>
    <row r="20" spans="1:8">
      <c r="A20" s="12"/>
      <c r="B20" t="s">
        <v>9</v>
      </c>
      <c r="C20" s="14"/>
      <c r="D20" s="28" t="s">
        <v>68</v>
      </c>
      <c r="E20" s="29" t="s">
        <v>83</v>
      </c>
      <c r="F20" s="15">
        <v>1130</v>
      </c>
      <c r="G20" s="15">
        <f>2264915.5/100000</f>
        <v>22.649155</v>
      </c>
      <c r="H20" s="15">
        <f t="shared" si="0"/>
        <v>0.93</v>
      </c>
    </row>
    <row r="21" spans="1:8">
      <c r="A21" s="12"/>
      <c r="B21" t="s">
        <v>56</v>
      </c>
      <c r="C21" s="14"/>
      <c r="D21" s="28" t="s">
        <v>70</v>
      </c>
      <c r="E21" s="29" t="s">
        <v>81</v>
      </c>
      <c r="F21" s="15">
        <v>4475</v>
      </c>
      <c r="G21" s="15">
        <f>666327.5/100000</f>
        <v>6.6632749999999996</v>
      </c>
      <c r="H21" s="15">
        <f t="shared" si="0"/>
        <v>0.27</v>
      </c>
    </row>
    <row r="22" spans="1:8">
      <c r="A22" s="12"/>
      <c r="B22" t="s">
        <v>13</v>
      </c>
      <c r="C22" s="14"/>
      <c r="D22" s="28" t="s">
        <v>69</v>
      </c>
      <c r="E22" s="29" t="s">
        <v>88</v>
      </c>
      <c r="F22" s="15">
        <v>411</v>
      </c>
      <c r="G22" s="15">
        <f>189902.55/100000</f>
        <v>1.8990254999999998</v>
      </c>
      <c r="H22" s="15">
        <f t="shared" si="0"/>
        <v>0.08</v>
      </c>
    </row>
    <row r="23" spans="1:8">
      <c r="A23" s="16"/>
      <c r="B23" s="17" t="s">
        <v>27</v>
      </c>
      <c r="C23" s="11"/>
      <c r="D23" s="16"/>
      <c r="E23" s="11"/>
      <c r="F23" s="11"/>
      <c r="G23" s="8">
        <f>SUM(G9:G22)</f>
        <v>90.540564999999987</v>
      </c>
      <c r="H23" s="8">
        <f>SUM(H8:H22)</f>
        <v>3.7300000000000004</v>
      </c>
    </row>
    <row r="24" spans="1:8" s="9" customFormat="1" ht="12.75">
      <c r="A24" s="18"/>
      <c r="B24" s="39" t="s">
        <v>28</v>
      </c>
      <c r="C24" s="39"/>
      <c r="D24" s="39"/>
      <c r="E24" s="19"/>
      <c r="F24" s="20"/>
      <c r="G24" s="20" t="s">
        <v>29</v>
      </c>
      <c r="H24" s="20" t="s">
        <v>29</v>
      </c>
    </row>
    <row r="25" spans="1:8">
      <c r="A25" s="16"/>
      <c r="B25" s="17" t="s">
        <v>27</v>
      </c>
      <c r="C25" s="11"/>
      <c r="D25" s="16"/>
      <c r="E25" s="11"/>
      <c r="F25" s="11"/>
      <c r="G25" s="8">
        <f>SUM(G24:G24)</f>
        <v>0</v>
      </c>
      <c r="H25" s="8">
        <f>SUM(H24:H24)</f>
        <v>0</v>
      </c>
    </row>
    <row r="26" spans="1:8">
      <c r="A26" s="16"/>
      <c r="B26" s="17" t="s">
        <v>30</v>
      </c>
      <c r="C26" s="11"/>
      <c r="D26" s="16"/>
      <c r="E26" s="11"/>
      <c r="F26" s="11"/>
      <c r="G26" s="8">
        <f>+G23+G25</f>
        <v>90.540564999999987</v>
      </c>
      <c r="H26" s="8">
        <f>+H23+H25</f>
        <v>3.7300000000000004</v>
      </c>
    </row>
    <row r="27" spans="1:8">
      <c r="A27" s="10"/>
      <c r="B27" s="40" t="s">
        <v>31</v>
      </c>
      <c r="C27" s="40"/>
      <c r="D27" s="40"/>
      <c r="E27" s="11"/>
      <c r="F27" s="11"/>
      <c r="G27" s="11"/>
      <c r="H27" s="11"/>
    </row>
    <row r="28" spans="1:8">
      <c r="A28" s="10"/>
      <c r="B28" s="40" t="s">
        <v>71</v>
      </c>
      <c r="C28" s="40"/>
      <c r="D28" s="40"/>
      <c r="E28" s="11"/>
      <c r="F28" s="11"/>
      <c r="G28" s="11"/>
      <c r="H28" s="11"/>
    </row>
    <row r="29" spans="1:8">
      <c r="A29" s="10"/>
      <c r="B29" t="s">
        <v>72</v>
      </c>
      <c r="C29" s="17"/>
      <c r="D29" s="13" t="s">
        <v>76</v>
      </c>
      <c r="E29" s="11"/>
      <c r="F29" s="11">
        <v>122139.891</v>
      </c>
      <c r="G29" s="11">
        <f>3000745.06/100000</f>
        <v>30.007450600000002</v>
      </c>
      <c r="H29" s="15">
        <f t="shared" ref="H29:H32" si="1">ROUND(G29/$G$62%,2)</f>
        <v>1.24</v>
      </c>
    </row>
    <row r="30" spans="1:8">
      <c r="A30" s="10"/>
      <c r="B30" t="s">
        <v>73</v>
      </c>
      <c r="C30" s="17"/>
      <c r="D30" s="13" t="s">
        <v>77</v>
      </c>
      <c r="E30" s="11"/>
      <c r="F30" s="11">
        <v>13578.16</v>
      </c>
      <c r="G30" s="11">
        <f>2501258.65/100000</f>
        <v>25.012586499999998</v>
      </c>
      <c r="H30" s="15">
        <f t="shared" si="1"/>
        <v>1.03</v>
      </c>
    </row>
    <row r="31" spans="1:8">
      <c r="A31" s="10"/>
      <c r="B31" t="s">
        <v>74</v>
      </c>
      <c r="C31" s="17"/>
      <c r="D31" s="13" t="s">
        <v>78</v>
      </c>
      <c r="E31" s="11"/>
      <c r="F31" s="11">
        <v>1686.3820000000001</v>
      </c>
      <c r="G31" s="11">
        <f>3300802.54/100000</f>
        <v>33.008025400000001</v>
      </c>
      <c r="H31" s="15">
        <f t="shared" si="1"/>
        <v>1.36</v>
      </c>
    </row>
    <row r="32" spans="1:8">
      <c r="A32" s="10"/>
      <c r="B32" t="s">
        <v>75</v>
      </c>
      <c r="C32" s="17"/>
      <c r="D32" s="13" t="s">
        <v>79</v>
      </c>
      <c r="E32" s="11"/>
      <c r="F32" s="11">
        <v>1482.92</v>
      </c>
      <c r="G32" s="11">
        <f>2499999.66/100000</f>
        <v>24.999996600000003</v>
      </c>
      <c r="H32" s="15">
        <f t="shared" si="1"/>
        <v>1.03</v>
      </c>
    </row>
    <row r="33" spans="1:8">
      <c r="A33" s="12"/>
      <c r="B33" s="13"/>
      <c r="C33" s="14"/>
      <c r="D33" s="13"/>
      <c r="E33" s="14"/>
      <c r="F33" s="15"/>
      <c r="G33" s="15"/>
      <c r="H33" s="15"/>
    </row>
    <row r="34" spans="1:8">
      <c r="A34" s="16"/>
      <c r="B34" s="17" t="s">
        <v>27</v>
      </c>
      <c r="C34" s="11"/>
      <c r="D34" s="16"/>
      <c r="E34" s="11"/>
      <c r="F34" s="11"/>
      <c r="G34" s="8">
        <f>SUM(G29:G33)</f>
        <v>113.02805910000001</v>
      </c>
      <c r="H34" s="8">
        <f>SUM(H29:H33)</f>
        <v>4.66</v>
      </c>
    </row>
    <row r="35" spans="1:8">
      <c r="A35" s="10"/>
      <c r="B35" s="40" t="s">
        <v>32</v>
      </c>
      <c r="C35" s="40"/>
      <c r="D35" s="40"/>
      <c r="E35" s="11"/>
      <c r="F35" s="11"/>
      <c r="G35" s="20" t="s">
        <v>29</v>
      </c>
      <c r="H35" s="20" t="s">
        <v>29</v>
      </c>
    </row>
    <row r="36" spans="1:8">
      <c r="A36" s="16"/>
      <c r="B36" s="17" t="s">
        <v>27</v>
      </c>
      <c r="C36" s="11"/>
      <c r="D36" s="16"/>
      <c r="E36" s="11"/>
      <c r="F36" s="11"/>
      <c r="G36" s="8">
        <f>SUM(G35:G35)</f>
        <v>0</v>
      </c>
      <c r="H36" s="8">
        <f>SUM(H35:H35)</f>
        <v>0</v>
      </c>
    </row>
    <row r="37" spans="1:8" s="9" customFormat="1" ht="12.75">
      <c r="A37" s="18"/>
      <c r="B37" s="39" t="s">
        <v>33</v>
      </c>
      <c r="C37" s="39"/>
      <c r="D37" s="39"/>
      <c r="E37" s="19"/>
      <c r="F37" s="20"/>
      <c r="G37" s="20" t="s">
        <v>29</v>
      </c>
      <c r="H37" s="20" t="s">
        <v>29</v>
      </c>
    </row>
    <row r="38" spans="1:8">
      <c r="A38" s="16"/>
      <c r="B38" s="17" t="s">
        <v>27</v>
      </c>
      <c r="C38" s="11"/>
      <c r="D38" s="16"/>
      <c r="E38" s="11"/>
      <c r="F38" s="11"/>
      <c r="G38" s="8">
        <f>SUM(G37:G37)</f>
        <v>0</v>
      </c>
      <c r="H38" s="8">
        <f>SUM(H37:H37)</f>
        <v>0</v>
      </c>
    </row>
    <row r="39" spans="1:8">
      <c r="A39" s="16"/>
      <c r="B39" s="21"/>
      <c r="C39" s="22"/>
      <c r="D39" s="21"/>
      <c r="E39" s="22"/>
      <c r="F39" s="11"/>
      <c r="G39" s="11"/>
      <c r="H39" s="11"/>
    </row>
    <row r="40" spans="1:8">
      <c r="A40" s="10"/>
      <c r="B40" s="40" t="s">
        <v>34</v>
      </c>
      <c r="C40" s="40"/>
      <c r="D40" s="40"/>
      <c r="E40" s="11"/>
      <c r="F40" s="11"/>
      <c r="G40" s="11"/>
      <c r="H40" s="11"/>
    </row>
    <row r="41" spans="1:8">
      <c r="A41" s="10"/>
      <c r="B41" s="40" t="s">
        <v>32</v>
      </c>
      <c r="C41" s="40"/>
      <c r="D41" s="40"/>
      <c r="E41" s="11"/>
      <c r="F41" s="11"/>
      <c r="G41" s="20" t="s">
        <v>29</v>
      </c>
      <c r="H41" s="20" t="s">
        <v>29</v>
      </c>
    </row>
    <row r="42" spans="1:8">
      <c r="A42" s="16"/>
      <c r="B42" s="17" t="s">
        <v>27</v>
      </c>
      <c r="C42" s="11"/>
      <c r="D42" s="16"/>
      <c r="E42" s="11"/>
      <c r="F42" s="11"/>
      <c r="G42" s="8">
        <f>SUM(G41:G41)</f>
        <v>0</v>
      </c>
      <c r="H42" s="8">
        <f>SUM(H41:H41)</f>
        <v>0</v>
      </c>
    </row>
    <row r="43" spans="1:8" s="9" customFormat="1" ht="12.75">
      <c r="A43" s="18"/>
      <c r="B43" s="39" t="s">
        <v>33</v>
      </c>
      <c r="C43" s="39"/>
      <c r="D43" s="39"/>
      <c r="E43" s="19"/>
      <c r="F43" s="20"/>
      <c r="G43" s="20" t="s">
        <v>29</v>
      </c>
      <c r="H43" s="20" t="s">
        <v>29</v>
      </c>
    </row>
    <row r="44" spans="1:8">
      <c r="A44" s="16"/>
      <c r="B44" s="17" t="s">
        <v>27</v>
      </c>
      <c r="C44" s="11"/>
      <c r="D44" s="16"/>
      <c r="E44" s="11"/>
      <c r="F44" s="11"/>
      <c r="G44" s="8">
        <f>SUM(G43:G43)</f>
        <v>0</v>
      </c>
      <c r="H44" s="8">
        <f>SUM(H43:H43)</f>
        <v>0</v>
      </c>
    </row>
    <row r="45" spans="1:8">
      <c r="A45" s="16"/>
      <c r="B45" s="21"/>
      <c r="C45" s="22"/>
      <c r="D45" s="21"/>
      <c r="E45" s="22"/>
      <c r="F45" s="11"/>
      <c r="G45" s="11"/>
      <c r="H45" s="11"/>
    </row>
    <row r="46" spans="1:8">
      <c r="A46" s="10"/>
      <c r="B46" s="40" t="s">
        <v>35</v>
      </c>
      <c r="C46" s="40"/>
      <c r="D46" s="40"/>
      <c r="E46" s="11"/>
      <c r="F46" s="11"/>
      <c r="G46" s="11"/>
      <c r="H46" s="11"/>
    </row>
    <row r="47" spans="1:8">
      <c r="A47" s="16"/>
      <c r="B47" s="17" t="s">
        <v>27</v>
      </c>
      <c r="C47" s="11"/>
      <c r="D47" s="16"/>
      <c r="E47" s="11"/>
      <c r="F47" s="11"/>
      <c r="G47" s="8">
        <f>SUM(G46:G46)</f>
        <v>0</v>
      </c>
      <c r="H47" s="8">
        <f>SUM(H46:H46)</f>
        <v>0</v>
      </c>
    </row>
    <row r="48" spans="1:8">
      <c r="A48" s="16"/>
      <c r="B48" s="17" t="s">
        <v>30</v>
      </c>
      <c r="C48" s="11"/>
      <c r="D48" s="16"/>
      <c r="E48" s="11"/>
      <c r="F48" s="11"/>
      <c r="G48" s="8">
        <f>+G34+G36+G38+G42+G44+G47</f>
        <v>113.02805910000001</v>
      </c>
      <c r="H48" s="8">
        <f>+H34+H36+H38+H42+H44+H47</f>
        <v>4.66</v>
      </c>
    </row>
    <row r="49" spans="1:11">
      <c r="A49" s="10"/>
      <c r="B49" s="40" t="s">
        <v>36</v>
      </c>
      <c r="C49" s="40"/>
      <c r="D49" s="40"/>
      <c r="E49" s="11"/>
      <c r="F49" s="11"/>
      <c r="G49" s="11"/>
      <c r="H49" s="11"/>
    </row>
    <row r="50" spans="1:11" s="9" customFormat="1" ht="12.75">
      <c r="A50" s="18"/>
      <c r="B50" s="39" t="s">
        <v>37</v>
      </c>
      <c r="C50" s="39"/>
      <c r="D50" s="39"/>
      <c r="E50" s="19"/>
      <c r="F50" s="20"/>
      <c r="G50" s="20" t="s">
        <v>29</v>
      </c>
      <c r="H50" s="20" t="s">
        <v>29</v>
      </c>
    </row>
    <row r="51" spans="1:11">
      <c r="A51" s="16"/>
      <c r="B51" s="17" t="s">
        <v>27</v>
      </c>
      <c r="C51" s="11"/>
      <c r="D51" s="16"/>
      <c r="E51" s="11"/>
      <c r="F51" s="11"/>
      <c r="G51" s="8">
        <f>SUM(G50:G50)</f>
        <v>0</v>
      </c>
      <c r="H51" s="8">
        <f>SUM(H50:H50)</f>
        <v>0</v>
      </c>
    </row>
    <row r="52" spans="1:11" s="9" customFormat="1" ht="12.75">
      <c r="A52" s="18"/>
      <c r="B52" s="39" t="s">
        <v>38</v>
      </c>
      <c r="C52" s="39"/>
      <c r="D52" s="39"/>
      <c r="E52" s="19"/>
      <c r="F52" s="20"/>
      <c r="G52" s="20" t="s">
        <v>29</v>
      </c>
      <c r="H52" s="20" t="s">
        <v>29</v>
      </c>
    </row>
    <row r="53" spans="1:11">
      <c r="A53" s="16"/>
      <c r="B53" s="17" t="s">
        <v>27</v>
      </c>
      <c r="C53" s="11"/>
      <c r="D53" s="16"/>
      <c r="E53" s="11"/>
      <c r="F53" s="11"/>
      <c r="G53" s="8">
        <f>SUM(G52:G52)</f>
        <v>0</v>
      </c>
      <c r="H53" s="8">
        <f>SUM(H52:H52)</f>
        <v>0</v>
      </c>
    </row>
    <row r="54" spans="1:11" s="9" customFormat="1" ht="12.75">
      <c r="A54" s="18"/>
      <c r="B54" s="39" t="s">
        <v>39</v>
      </c>
      <c r="C54" s="39"/>
      <c r="D54" s="39"/>
      <c r="E54" s="19"/>
      <c r="F54" s="20"/>
      <c r="G54" s="20" t="s">
        <v>29</v>
      </c>
      <c r="H54" s="20" t="s">
        <v>29</v>
      </c>
    </row>
    <row r="55" spans="1:11">
      <c r="A55" s="16"/>
      <c r="B55" s="17" t="s">
        <v>27</v>
      </c>
      <c r="C55" s="11"/>
      <c r="D55" s="16"/>
      <c r="E55" s="11"/>
      <c r="F55" s="11"/>
      <c r="G55" s="8">
        <f>SUM(G54:G54)</f>
        <v>0</v>
      </c>
      <c r="H55" s="8">
        <f>SUM(H54:H54)</f>
        <v>0</v>
      </c>
    </row>
    <row r="56" spans="1:11" s="9" customFormat="1" ht="12.75">
      <c r="A56" s="18"/>
      <c r="B56" s="39" t="s">
        <v>40</v>
      </c>
      <c r="C56" s="39"/>
      <c r="D56" s="39"/>
      <c r="E56" s="19"/>
      <c r="F56" s="20"/>
      <c r="G56" s="20" t="s">
        <v>29</v>
      </c>
      <c r="H56" s="20" t="s">
        <v>29</v>
      </c>
    </row>
    <row r="57" spans="1:11">
      <c r="A57" s="16"/>
      <c r="B57" s="17" t="s">
        <v>27</v>
      </c>
      <c r="C57" s="11"/>
      <c r="D57" s="16"/>
      <c r="E57" s="11"/>
      <c r="F57" s="11"/>
      <c r="G57" s="8">
        <f>SUM(G56:G56)</f>
        <v>0</v>
      </c>
      <c r="H57" s="8">
        <f>SUM(H56:H56)</f>
        <v>0</v>
      </c>
    </row>
    <row r="58" spans="1:11">
      <c r="A58" s="16"/>
      <c r="B58" s="17" t="s">
        <v>30</v>
      </c>
      <c r="C58" s="11"/>
      <c r="D58" s="16"/>
      <c r="E58" s="11"/>
      <c r="F58" s="11"/>
      <c r="G58" s="8">
        <f>+G51+G53+G55+G57</f>
        <v>0</v>
      </c>
      <c r="H58" s="8">
        <f>+H51+H53+H55+H57</f>
        <v>0</v>
      </c>
    </row>
    <row r="59" spans="1:11">
      <c r="A59" s="10"/>
      <c r="B59" s="40" t="s">
        <v>85</v>
      </c>
      <c r="C59" s="40"/>
      <c r="D59" s="40"/>
      <c r="E59" s="11"/>
      <c r="F59" s="11"/>
      <c r="G59" s="20">
        <f>222577839.8/100000</f>
        <v>2225.7783979999999</v>
      </c>
      <c r="H59" s="20">
        <f>ROUND(G59/$G$62%,2)-0.01</f>
        <v>91.61</v>
      </c>
    </row>
    <row r="60" spans="1:11">
      <c r="A60" s="16"/>
      <c r="B60" s="17" t="s">
        <v>27</v>
      </c>
      <c r="C60" s="11"/>
      <c r="D60" s="16"/>
      <c r="E60" s="11"/>
      <c r="F60" s="11"/>
      <c r="G60" s="20">
        <f>222577839.8/100000</f>
        <v>2225.7783979999999</v>
      </c>
      <c r="H60" s="8">
        <f>ROUND(G60/$G$62%,2)-0.01</f>
        <v>91.61</v>
      </c>
    </row>
    <row r="61" spans="1:11">
      <c r="A61" s="16"/>
      <c r="B61" s="17" t="s">
        <v>30</v>
      </c>
      <c r="C61" s="11"/>
      <c r="D61" s="16"/>
      <c r="E61" s="11"/>
      <c r="F61" s="11"/>
      <c r="G61" s="8">
        <f>+G60</f>
        <v>2225.7783979999999</v>
      </c>
      <c r="H61" s="20">
        <f>ROUND(G61/$G$62%,2)-0.01</f>
        <v>91.61</v>
      </c>
    </row>
    <row r="62" spans="1:11" s="9" customFormat="1" ht="12.75">
      <c r="A62" s="23"/>
      <c r="B62" s="23" t="s">
        <v>41</v>
      </c>
      <c r="C62" s="19"/>
      <c r="D62" s="23"/>
      <c r="E62" s="19"/>
      <c r="F62" s="19"/>
      <c r="G62" s="20">
        <f>+G26+G48+G58+G60</f>
        <v>2429.3470220999998</v>
      </c>
      <c r="H62" s="20">
        <f>+H26+H48+H58+H60</f>
        <v>100</v>
      </c>
    </row>
    <row r="63" spans="1:11">
      <c r="A63" s="13"/>
      <c r="B63" s="41" t="s">
        <v>42</v>
      </c>
      <c r="C63" s="41"/>
      <c r="D63" s="41"/>
      <c r="E63" s="41"/>
      <c r="F63" s="41"/>
      <c r="G63" s="41"/>
      <c r="H63" s="41"/>
      <c r="K63" s="2"/>
    </row>
    <row r="64" spans="1:11">
      <c r="A64" s="38"/>
      <c r="B64" s="35" t="s">
        <v>43</v>
      </c>
      <c r="C64" s="35"/>
      <c r="D64" s="35"/>
      <c r="E64" s="32"/>
      <c r="F64" s="32"/>
      <c r="G64" s="32"/>
      <c r="H64" s="32"/>
    </row>
    <row r="65" spans="1:8">
      <c r="A65" s="38"/>
      <c r="B65" s="37" t="s">
        <v>83</v>
      </c>
      <c r="C65" s="37"/>
      <c r="D65" s="37"/>
      <c r="E65" s="31"/>
      <c r="F65" s="27"/>
      <c r="G65" s="27"/>
      <c r="H65" s="31">
        <v>0.93</v>
      </c>
    </row>
    <row r="66" spans="1:8">
      <c r="A66" s="38"/>
      <c r="B66" s="37" t="s">
        <v>82</v>
      </c>
      <c r="C66" s="37"/>
      <c r="D66" s="37"/>
      <c r="E66" s="31"/>
      <c r="F66" s="27"/>
      <c r="G66" s="27"/>
      <c r="H66" s="31">
        <v>0.08</v>
      </c>
    </row>
    <row r="67" spans="1:8">
      <c r="A67" s="38"/>
      <c r="B67" s="37" t="s">
        <v>88</v>
      </c>
      <c r="C67" s="37"/>
      <c r="D67" s="37"/>
      <c r="E67" s="31"/>
      <c r="F67" s="27"/>
      <c r="G67" s="27"/>
      <c r="H67" s="31">
        <v>1.26</v>
      </c>
    </row>
    <row r="68" spans="1:8" hidden="1">
      <c r="A68" s="38"/>
      <c r="B68" s="36" t="s">
        <v>12</v>
      </c>
      <c r="C68" s="36"/>
      <c r="D68" s="36"/>
      <c r="E68" s="25"/>
      <c r="F68" s="26"/>
      <c r="G68" s="26"/>
      <c r="H68" s="25"/>
    </row>
    <row r="69" spans="1:8">
      <c r="A69" s="38"/>
      <c r="B69" s="37" t="s">
        <v>80</v>
      </c>
      <c r="C69" s="37"/>
      <c r="D69" s="37"/>
      <c r="E69" s="31"/>
      <c r="F69" s="27"/>
      <c r="G69" s="27"/>
      <c r="H69" s="31">
        <v>0.28000000000000003</v>
      </c>
    </row>
    <row r="70" spans="1:8" hidden="1">
      <c r="A70" s="38"/>
      <c r="B70" s="36" t="s">
        <v>16</v>
      </c>
      <c r="C70" s="36"/>
      <c r="D70" s="36"/>
      <c r="E70" s="25"/>
      <c r="F70" s="26"/>
      <c r="G70" s="26"/>
      <c r="H70" s="25"/>
    </row>
    <row r="71" spans="1:8" hidden="1">
      <c r="A71" s="38"/>
      <c r="B71" s="36" t="s">
        <v>22</v>
      </c>
      <c r="C71" s="36"/>
      <c r="D71" s="36"/>
      <c r="E71" s="25"/>
      <c r="F71" s="26"/>
      <c r="G71" s="26"/>
      <c r="H71" s="25"/>
    </row>
    <row r="72" spans="1:8" hidden="1">
      <c r="A72" s="38"/>
      <c r="B72" s="36" t="s">
        <v>10</v>
      </c>
      <c r="C72" s="36"/>
      <c r="D72" s="36"/>
      <c r="E72" s="25"/>
      <c r="F72" s="26"/>
      <c r="G72" s="26"/>
      <c r="H72" s="25"/>
    </row>
    <row r="73" spans="1:8" hidden="1">
      <c r="A73" s="38"/>
      <c r="B73" s="36" t="s">
        <v>14</v>
      </c>
      <c r="C73" s="36"/>
      <c r="D73" s="36"/>
      <c r="E73" s="25"/>
      <c r="F73" s="26"/>
      <c r="G73" s="26"/>
      <c r="H73" s="25"/>
    </row>
    <row r="74" spans="1:8" hidden="1">
      <c r="A74" s="38"/>
      <c r="B74" s="36" t="s">
        <v>17</v>
      </c>
      <c r="C74" s="36"/>
      <c r="D74" s="36"/>
      <c r="E74" s="25"/>
      <c r="F74" s="26"/>
      <c r="G74" s="26"/>
      <c r="H74" s="25"/>
    </row>
    <row r="75" spans="1:8" hidden="1">
      <c r="A75" s="38"/>
      <c r="B75" s="36" t="s">
        <v>20</v>
      </c>
      <c r="C75" s="36"/>
      <c r="D75" s="36"/>
      <c r="E75" s="25"/>
      <c r="F75" s="26"/>
      <c r="G75" s="26"/>
      <c r="H75" s="25"/>
    </row>
    <row r="76" spans="1:8">
      <c r="A76" s="38"/>
      <c r="B76" s="37" t="s">
        <v>18</v>
      </c>
      <c r="C76" s="37"/>
      <c r="D76" s="37"/>
      <c r="E76" s="31"/>
      <c r="F76" s="27"/>
      <c r="G76" s="27"/>
      <c r="H76" s="31">
        <v>0.28999999999999998</v>
      </c>
    </row>
    <row r="77" spans="1:8" hidden="1">
      <c r="A77" s="38"/>
      <c r="B77" s="36" t="s">
        <v>19</v>
      </c>
      <c r="C77" s="36"/>
      <c r="D77" s="36"/>
      <c r="E77" s="25"/>
      <c r="F77" s="26"/>
      <c r="G77" s="26"/>
      <c r="H77" s="25"/>
    </row>
    <row r="78" spans="1:8" hidden="1">
      <c r="A78" s="38"/>
      <c r="B78" s="36" t="s">
        <v>21</v>
      </c>
      <c r="C78" s="36"/>
      <c r="D78" s="36"/>
      <c r="E78" s="25"/>
      <c r="F78" s="26"/>
      <c r="G78" s="26"/>
      <c r="H78" s="25"/>
    </row>
    <row r="79" spans="1:8" hidden="1">
      <c r="A79" s="38"/>
      <c r="B79" s="36" t="s">
        <v>23</v>
      </c>
      <c r="C79" s="36"/>
      <c r="D79" s="36"/>
      <c r="E79" s="25"/>
      <c r="F79" s="26"/>
      <c r="G79" s="26"/>
      <c r="H79" s="25"/>
    </row>
    <row r="80" spans="1:8">
      <c r="A80" s="38"/>
      <c r="B80" s="37" t="s">
        <v>81</v>
      </c>
      <c r="C80" s="37"/>
      <c r="D80" s="37"/>
      <c r="E80" s="31"/>
      <c r="F80" s="27"/>
      <c r="G80" s="27"/>
      <c r="H80" s="31">
        <v>0.89</v>
      </c>
    </row>
    <row r="81" spans="1:8" hidden="1">
      <c r="A81" s="38"/>
      <c r="B81" s="36" t="s">
        <v>25</v>
      </c>
      <c r="C81" s="36"/>
      <c r="D81" s="36"/>
      <c r="E81" s="25"/>
      <c r="F81" s="26"/>
      <c r="G81" s="26"/>
      <c r="H81" s="25"/>
    </row>
    <row r="82" spans="1:8" hidden="1">
      <c r="A82" s="38"/>
      <c r="B82" s="36" t="s">
        <v>26</v>
      </c>
      <c r="C82" s="36"/>
      <c r="D82" s="36"/>
      <c r="E82" s="25"/>
      <c r="F82" s="26"/>
      <c r="G82" s="26"/>
      <c r="H82" s="25"/>
    </row>
    <row r="83" spans="1:8" hidden="1">
      <c r="A83" s="38"/>
      <c r="B83" s="36" t="s">
        <v>44</v>
      </c>
      <c r="C83" s="36"/>
      <c r="D83" s="36"/>
      <c r="E83" s="25"/>
      <c r="F83" s="26"/>
      <c r="G83" s="26"/>
      <c r="H83" s="25"/>
    </row>
    <row r="84" spans="1:8" hidden="1">
      <c r="A84" s="38"/>
      <c r="B84" s="36" t="s">
        <v>45</v>
      </c>
      <c r="C84" s="36"/>
      <c r="D84" s="36"/>
      <c r="E84" s="25"/>
      <c r="F84" s="26"/>
      <c r="G84" s="26"/>
      <c r="H84" s="25"/>
    </row>
    <row r="85" spans="1:8">
      <c r="A85" s="38"/>
      <c r="B85" s="30" t="s">
        <v>84</v>
      </c>
      <c r="C85" s="30"/>
      <c r="D85" s="30"/>
      <c r="E85" s="31"/>
      <c r="F85" s="27"/>
      <c r="G85" s="27"/>
      <c r="H85" s="31">
        <v>4.66</v>
      </c>
    </row>
    <row r="86" spans="1:8">
      <c r="A86" s="38"/>
      <c r="B86" s="37" t="s">
        <v>46</v>
      </c>
      <c r="C86" s="37"/>
      <c r="D86" s="37"/>
      <c r="E86" s="31"/>
      <c r="F86" s="27"/>
      <c r="G86" s="27"/>
      <c r="H86" s="31">
        <v>91.61</v>
      </c>
    </row>
    <row r="87" spans="1:8">
      <c r="A87" s="13"/>
      <c r="B87" s="35"/>
      <c r="C87" s="35"/>
      <c r="D87" s="35"/>
      <c r="E87" s="32"/>
      <c r="F87" s="32"/>
      <c r="G87" s="32"/>
      <c r="H87" s="32"/>
    </row>
  </sheetData>
  <sortState ref="B9:H22">
    <sortCondition ref="D9:D22"/>
  </sortState>
  <mergeCells count="45">
    <mergeCell ref="B41:D41"/>
    <mergeCell ref="A1:H1"/>
    <mergeCell ref="A3:D3"/>
    <mergeCell ref="B6:D6"/>
    <mergeCell ref="B7:D7"/>
    <mergeCell ref="B8:D8"/>
    <mergeCell ref="B24:D24"/>
    <mergeCell ref="B27:D27"/>
    <mergeCell ref="B28:D28"/>
    <mergeCell ref="B35:D35"/>
    <mergeCell ref="B37:D37"/>
    <mergeCell ref="B40:D40"/>
    <mergeCell ref="B43:D43"/>
    <mergeCell ref="B46:D46"/>
    <mergeCell ref="B49:D49"/>
    <mergeCell ref="B50:D50"/>
    <mergeCell ref="B52:D52"/>
    <mergeCell ref="B54:D54"/>
    <mergeCell ref="B56:D56"/>
    <mergeCell ref="B59:D59"/>
    <mergeCell ref="B63:H63"/>
    <mergeCell ref="B76:D76"/>
    <mergeCell ref="A64:A86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83:D83"/>
    <mergeCell ref="B84:D84"/>
    <mergeCell ref="B86:D86"/>
    <mergeCell ref="B87:D87"/>
    <mergeCell ref="B77:D77"/>
    <mergeCell ref="B78:D78"/>
    <mergeCell ref="B79:D79"/>
    <mergeCell ref="B80:D80"/>
    <mergeCell ref="B81:D81"/>
    <mergeCell ref="B82:D82"/>
  </mergeCells>
  <pageMargins left="0.2" right="0" top="0.5" bottom="0.25" header="0.3" footer="0.3"/>
  <pageSetup paperSize="9" scale="7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 30.11.2013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Debabrata</dc:creator>
  <cp:lastModifiedBy>Debabrata</cp:lastModifiedBy>
  <cp:lastPrinted>2013-12-10T12:00:23Z</cp:lastPrinted>
  <dcterms:created xsi:type="dcterms:W3CDTF">2013-12-09T08:17:43Z</dcterms:created>
  <dcterms:modified xsi:type="dcterms:W3CDTF">2013-12-10T12:07:02Z</dcterms:modified>
</cp:coreProperties>
</file>