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MC_L2\Downloads\"/>
    </mc:Choice>
  </mc:AlternateContent>
  <xr:revisionPtr revIDLastSave="0" documentId="8_{B754CBB2-0569-4E3B-BF22-2ED8DBE9A211}" xr6:coauthVersionLast="47" xr6:coauthVersionMax="47" xr10:uidLastSave="{00000000-0000-0000-0000-000000000000}"/>
  <bookViews>
    <workbookView xWindow="-120" yWindow="-120" windowWidth="20730" windowHeight="11040" tabRatio="730" xr2:uid="{F76413AF-BA08-477B-8593-EA571DBF2D74}"/>
  </bookViews>
  <sheets>
    <sheet name="Shriram Aggressive Hybrid Fund" sheetId="6" r:id="rId1"/>
    <sheet name="Shriram Flexi Cap Fund" sheetId="2" r:id="rId2"/>
    <sheet name="Shriram ELSS Tax Saver Fund" sheetId="3" r:id="rId3"/>
    <sheet name="Shriram Balanced Advantage Fund" sheetId="4" r:id="rId4"/>
    <sheet name="Shriram Multi Asset Allocation" sheetId="1" r:id="rId5"/>
    <sheet name="Shriram Multi Sector Rotation" sheetId="9" r:id="rId6"/>
    <sheet name="Shriram Overnight Fund" sheetId="5" r:id="rId7"/>
    <sheet name="Shriram Nifty1D Rate Liquid ETF" sheetId="7" r:id="rId8"/>
    <sheet name="Shriram Liquid Fund" sheetId="8" r:id="rId9"/>
    <sheet name="Shriram Money Market Fund" sheetId="11" r:id="rId10"/>
  </sheets>
  <definedNames>
    <definedName name="_xlnm._FilterDatabase" localSheetId="0" hidden="1">'Shriram Aggressive Hybrid Fund'!$A$166:$C$205</definedName>
    <definedName name="_xlnm._FilterDatabase" localSheetId="3" hidden="1">'Shriram Balanced Advantage Fund'!$A$161:$C$197</definedName>
    <definedName name="_xlnm._FilterDatabase" localSheetId="2" hidden="1">'Shriram ELSS Tax Saver Fund'!$A$140:$C$171</definedName>
    <definedName name="_xlnm._FilterDatabase" localSheetId="1" hidden="1">'Shriram Flexi Cap Fund'!$A$140:$C$172</definedName>
    <definedName name="_xlnm._FilterDatabase" localSheetId="9" hidden="1">'Shriram Money Market Fund'!#REF!</definedName>
    <definedName name="_xlnm._FilterDatabase" localSheetId="4" hidden="1">'Shriram Multi Asset Allocation'!$A$168:$C$203</definedName>
    <definedName name="_xlnm._FilterDatabase" localSheetId="5" hidden="1">'Shriram Multi Sector Rotation'!$A$80:$C$98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2" i="2" l="1"/>
  <c r="C171" i="2"/>
  <c r="C170" i="2"/>
  <c r="C163" i="4"/>
  <c r="C166" i="4"/>
  <c r="C164" i="4"/>
  <c r="C165" i="4"/>
  <c r="C167" i="4"/>
  <c r="C168" i="4"/>
  <c r="C169" i="4"/>
  <c r="C171" i="4"/>
  <c r="C172" i="4"/>
  <c r="C170" i="4"/>
  <c r="C173" i="4"/>
  <c r="C177" i="4"/>
  <c r="C175" i="4"/>
  <c r="C174" i="4"/>
  <c r="C176" i="4"/>
  <c r="C178" i="4"/>
  <c r="C183" i="4"/>
  <c r="C181" i="4"/>
  <c r="C179" i="4"/>
  <c r="C182" i="4"/>
  <c r="C180" i="4"/>
  <c r="C185" i="4"/>
  <c r="C184" i="4"/>
  <c r="C186" i="4"/>
  <c r="C187" i="4"/>
  <c r="C189" i="4"/>
  <c r="C188" i="4"/>
  <c r="C192" i="4"/>
  <c r="C194" i="4"/>
  <c r="C193" i="4"/>
  <c r="C191" i="4"/>
  <c r="C195" i="4"/>
  <c r="C190" i="4"/>
  <c r="C196" i="4"/>
  <c r="C187" i="1"/>
  <c r="C201" i="1"/>
  <c r="C172" i="1"/>
  <c r="C169" i="1"/>
  <c r="E203" i="1"/>
  <c r="C184" i="1"/>
  <c r="C190" i="1"/>
  <c r="C193" i="1"/>
  <c r="C198" i="1"/>
  <c r="C177" i="1"/>
  <c r="C189" i="1"/>
  <c r="C181" i="1"/>
  <c r="C191" i="1"/>
  <c r="C176" i="1"/>
  <c r="C200" i="1"/>
  <c r="C194" i="1"/>
  <c r="C182" i="1"/>
  <c r="C175" i="1"/>
  <c r="C178" i="1"/>
  <c r="C173" i="1"/>
  <c r="C180" i="1"/>
  <c r="C196" i="1"/>
  <c r="C186" i="1"/>
  <c r="C171" i="1"/>
  <c r="C170" i="1"/>
  <c r="C179" i="1"/>
  <c r="C183" i="1"/>
  <c r="C174" i="1"/>
  <c r="C185" i="1"/>
  <c r="C199" i="1"/>
  <c r="C192" i="1"/>
  <c r="C202" i="1"/>
  <c r="C197" i="1"/>
  <c r="C195" i="1"/>
  <c r="C199" i="6"/>
  <c r="C197" i="6"/>
  <c r="C94" i="9"/>
  <c r="C81" i="9"/>
  <c r="E98" i="9"/>
  <c r="C82" i="9"/>
  <c r="C91" i="9"/>
  <c r="C83" i="9"/>
  <c r="C90" i="9"/>
  <c r="C97" i="9"/>
  <c r="C84" i="9"/>
  <c r="C85" i="9"/>
  <c r="C96" i="9"/>
  <c r="C89" i="9"/>
  <c r="C92" i="9"/>
  <c r="C86" i="9"/>
  <c r="C95" i="9"/>
  <c r="C88" i="9"/>
  <c r="C93" i="9"/>
  <c r="C188" i="1"/>
  <c r="C162" i="4"/>
  <c r="E197" i="4"/>
  <c r="C166" i="2"/>
  <c r="C186" i="6"/>
  <c r="C204" i="6"/>
  <c r="C196" i="6"/>
  <c r="C161" i="3"/>
  <c r="C141" i="3"/>
  <c r="E171" i="3"/>
  <c r="C154" i="3"/>
  <c r="C148" i="3"/>
  <c r="C146" i="3"/>
  <c r="C159" i="3"/>
  <c r="C143" i="3"/>
  <c r="C156" i="3"/>
  <c r="C162" i="3"/>
  <c r="C152" i="3"/>
  <c r="C173" i="6"/>
  <c r="C185" i="6"/>
  <c r="C147" i="3"/>
  <c r="C167" i="3"/>
  <c r="C169" i="3"/>
  <c r="C144" i="3"/>
  <c r="C160" i="3"/>
  <c r="C153" i="3"/>
  <c r="C168" i="3"/>
  <c r="C157" i="3"/>
  <c r="C170" i="3"/>
  <c r="C158" i="3"/>
  <c r="C149" i="3"/>
  <c r="C150" i="3"/>
  <c r="C166" i="3"/>
  <c r="C164" i="3"/>
  <c r="C145" i="3"/>
  <c r="C155" i="3"/>
  <c r="C142" i="3"/>
  <c r="C165" i="3"/>
  <c r="C151" i="3"/>
  <c r="C150" i="2"/>
  <c r="C147" i="2"/>
  <c r="C141" i="2"/>
  <c r="C149" i="2"/>
  <c r="C146" i="2"/>
  <c r="C159" i="2"/>
  <c r="C169" i="2"/>
  <c r="C156" i="2"/>
  <c r="C161" i="2"/>
  <c r="C153" i="2"/>
  <c r="C155" i="2"/>
  <c r="C158" i="2"/>
  <c r="C154" i="2"/>
  <c r="C165" i="2"/>
  <c r="C144" i="2"/>
  <c r="C145" i="2"/>
  <c r="C164" i="2"/>
  <c r="C163" i="2"/>
  <c r="C151" i="2"/>
  <c r="C152" i="2"/>
  <c r="C168" i="2"/>
  <c r="C148" i="2"/>
  <c r="C157" i="2"/>
  <c r="C142" i="2"/>
  <c r="C160" i="2"/>
  <c r="C167" i="2"/>
  <c r="C162" i="2"/>
  <c r="C167" i="6"/>
  <c r="E205" i="6"/>
  <c r="C193" i="6"/>
  <c r="C194" i="6"/>
  <c r="C177" i="6"/>
  <c r="C168" i="6"/>
  <c r="C180" i="6"/>
  <c r="C198" i="6"/>
  <c r="C175" i="6"/>
  <c r="C172" i="6"/>
  <c r="C187" i="6"/>
  <c r="C182" i="6"/>
  <c r="C189" i="6"/>
  <c r="C169" i="6"/>
  <c r="C192" i="6"/>
  <c r="C179" i="6"/>
  <c r="C201" i="6"/>
  <c r="C178" i="6"/>
  <c r="C190" i="6"/>
  <c r="C183" i="6"/>
  <c r="C176" i="6"/>
  <c r="C191" i="6"/>
  <c r="C184" i="6"/>
  <c r="C203" i="6"/>
  <c r="C174" i="6"/>
  <c r="C170" i="6"/>
  <c r="C202" i="6"/>
  <c r="C188" i="6"/>
  <c r="C181" i="6"/>
  <c r="C195" i="6"/>
  <c r="C171" i="6"/>
  <c r="C200" i="6"/>
  <c r="C143" i="2"/>
  <c r="C163" i="3"/>
  <c r="C87" i="9"/>
</calcChain>
</file>

<file path=xl/sharedStrings.xml><?xml version="1.0" encoding="utf-8"?>
<sst xmlns="http://schemas.openxmlformats.org/spreadsheetml/2006/main" count="2200" uniqueCount="479">
  <si>
    <t>** Thinly Traded/ Non-Traded Securities</t>
  </si>
  <si>
    <t>Equity Portfolio Classification by Asset Class (%)</t>
  </si>
  <si>
    <t>This product is suitable for investors who are seeking*:</t>
  </si>
  <si>
    <r>
      <t>•</t>
    </r>
    <r>
      <rPr>
        <sz val="7"/>
        <color indexed="8"/>
        <rFont val="Calibri"/>
        <family val="2"/>
      </rPr>
      <t xml:space="preserve">        </t>
    </r>
    <r>
      <rPr>
        <sz val="11"/>
        <color indexed="8"/>
        <rFont val="Calibri"/>
        <family val="2"/>
      </rPr>
      <t>Very High Risk</t>
    </r>
  </si>
  <si>
    <t xml:space="preserve">•      Long term capital appreciation </t>
  </si>
  <si>
    <t>•     Long term capital appreciation with a 3 years lock in and tax benefit</t>
  </si>
  <si>
    <t>•      Capital Appreciation along with generation of income over a long period of time.</t>
  </si>
  <si>
    <t>Shriram Flexi Cap Fund</t>
  </si>
  <si>
    <t>*Investors should consult their financial advisers if in doubt
about whether the product is suitable for them.</t>
  </si>
  <si>
    <t>Scheme Riskometer</t>
  </si>
  <si>
    <t>•      Investment in actively managed portfolio predominantly consisting of equity and equity related securities diversified over various sectors</t>
  </si>
  <si>
    <t>•     Investment in diversified portfolio of predominantly equity and equity related securities</t>
  </si>
  <si>
    <t>•      Investment in equity, equity related securities &amp; debt, money market instruments while managing risk through active allocation.</t>
  </si>
  <si>
    <t>Benchmark riskometer is at very high risk</t>
  </si>
  <si>
    <t>Benchmark riskometer is at high risk</t>
  </si>
  <si>
    <t>Shriram Overnight Fund</t>
  </si>
  <si>
    <r>
      <t>•</t>
    </r>
    <r>
      <rPr>
        <sz val="11"/>
        <color indexed="8"/>
        <rFont val="Calibri"/>
        <family val="2"/>
      </rPr>
      <t>     Returns commensurate with low risk and convenience of liquidity over short term</t>
    </r>
  </si>
  <si>
    <r>
      <t>•</t>
    </r>
    <r>
      <rPr>
        <sz val="7"/>
        <color indexed="8"/>
        <rFont val="Calibri"/>
        <family val="2"/>
      </rPr>
      <t>     </t>
    </r>
    <r>
      <rPr>
        <sz val="11"/>
        <color indexed="8"/>
        <rFont val="Calibri"/>
        <family val="2"/>
      </rPr>
      <t>  Investment in debt and money market instruments with overnight maturity.</t>
    </r>
  </si>
  <si>
    <r>
      <t>•</t>
    </r>
    <r>
      <rPr>
        <sz val="7"/>
        <color indexed="8"/>
        <rFont val="Calibri"/>
        <family val="2"/>
      </rPr>
      <t xml:space="preserve">        </t>
    </r>
    <r>
      <rPr>
        <sz val="11"/>
        <color indexed="8"/>
        <rFont val="Calibri"/>
        <family val="2"/>
      </rPr>
      <t>Low Risk</t>
    </r>
  </si>
  <si>
    <t>Benchmark riskometer is at low risk</t>
  </si>
  <si>
    <t>Credit Risk</t>
  </si>
  <si>
    <t>Relatively Low (Class A)</t>
  </si>
  <si>
    <t>Moderate (Class B)</t>
  </si>
  <si>
    <t>Relatively High (Class C)</t>
  </si>
  <si>
    <t>Interest Rate Risk</t>
  </si>
  <si>
    <t>Relatively Low (Class I)</t>
  </si>
  <si>
    <t>A-I</t>
  </si>
  <si>
    <t>Moderate (Class II)</t>
  </si>
  <si>
    <t>Relatively High (Class III)</t>
  </si>
  <si>
    <t>Potential Risk Class (Maximum risk the Scheme can take)</t>
  </si>
  <si>
    <t>A-I - A Scheme with Relatively Low Interest Rate Risk and Relatively Low Credit Risk.</t>
  </si>
  <si>
    <t>^ less than 0.01%</t>
  </si>
  <si>
    <r>
      <t>This product is suitable for investors who are seeking*</t>
    </r>
    <r>
      <rPr>
        <b/>
        <sz val="12"/>
        <color indexed="8"/>
        <rFont val="Calibri"/>
        <family val="2"/>
      </rPr>
      <t>:</t>
    </r>
  </si>
  <si>
    <t>Shriram Aggressive Hybrid Fund</t>
  </si>
  <si>
    <t>Shriram Multi Asset Allocation Fund</t>
  </si>
  <si>
    <t>•      Long term inflation adjusted wealth creation through exposure to multiple assets i.e. Equity, Debt and Gold/Silver ETFs</t>
  </si>
  <si>
    <t>•      To regularly invest over time through SIPs, top-ups or STP from liquid/overnight funds, to meet financial and family goals</t>
  </si>
  <si>
    <r>
      <t>•</t>
    </r>
    <r>
      <rPr>
        <sz val="11"/>
        <color indexed="8"/>
        <rFont val="Calibri"/>
        <family val="2"/>
      </rPr>
      <t>      Long term capital appreciation and current income</t>
    </r>
  </si>
  <si>
    <r>
      <t>•</t>
    </r>
    <r>
      <rPr>
        <sz val="7"/>
        <color indexed="8"/>
        <rFont val="Calibri"/>
        <family val="2"/>
      </rPr>
      <t xml:space="preserve">        </t>
    </r>
    <r>
      <rPr>
        <sz val="11"/>
        <color indexed="8"/>
        <rFont val="Calibri"/>
        <family val="2"/>
      </rPr>
      <t>Investment in equity and equity related securities as well as fixed income securities (debt and money market securities)</t>
    </r>
  </si>
  <si>
    <r>
      <t>•</t>
    </r>
    <r>
      <rPr>
        <sz val="7"/>
        <color indexed="8"/>
        <rFont val="Calibri"/>
        <family val="2"/>
      </rPr>
      <t xml:space="preserve">        </t>
    </r>
    <r>
      <rPr>
        <sz val="11"/>
        <color indexed="8"/>
        <rFont val="Calibri"/>
        <family val="2"/>
      </rPr>
      <t>Very High Risk</t>
    </r>
  </si>
  <si>
    <t>Shriram Balanced Advantage Fund</t>
  </si>
  <si>
    <t>Shriram ELSS Tax Saver Fund</t>
  </si>
  <si>
    <t>Telecom - Services</t>
  </si>
  <si>
    <t>Finance</t>
  </si>
  <si>
    <t>Automobiles</t>
  </si>
  <si>
    <t>Pharmaceuticals &amp; Biotechnology</t>
  </si>
  <si>
    <t>Auto Components</t>
  </si>
  <si>
    <t>Aerospace &amp; Defense</t>
  </si>
  <si>
    <t>|</t>
  </si>
  <si>
    <t>Top Ten Holdings</t>
  </si>
  <si>
    <t>IT - Software</t>
  </si>
  <si>
    <t>%  to Net Assets</t>
  </si>
  <si>
    <t>SHRIRAM FLEXI CAP FUND</t>
  </si>
  <si>
    <t>SHRIRAM ELSS TAX SAVER FUND</t>
  </si>
  <si>
    <t>SHRIRAM BALANCED ADVANTAGE FUND</t>
  </si>
  <si>
    <t>SHRIRAM MULTI ASSET ALLOCATION FUND</t>
  </si>
  <si>
    <t>Benchmark Riskometer</t>
  </si>
  <si>
    <t xml:space="preserve">Investors understand that their principal will be at very high risk      </t>
  </si>
  <si>
    <t xml:space="preserve">Investors understand that their principal will be at low risk   </t>
  </si>
  <si>
    <t xml:space="preserve">Investors understand that their principal will be at very high risk     </t>
  </si>
  <si>
    <t xml:space="preserve">Investors understand that their principal will be at very high risk    </t>
  </si>
  <si>
    <t xml:space="preserve">Investors understand that their principal will be at very high risk   </t>
  </si>
  <si>
    <t>Shriram Nifty 1D Rate Liquid ETF</t>
  </si>
  <si>
    <r>
      <t>•</t>
    </r>
    <r>
      <rPr>
        <sz val="11"/>
        <color indexed="8"/>
        <rFont val="Calibri"/>
        <family val="2"/>
      </rPr>
      <t>     A stable, liquid alternative to traditional savings accounts</t>
    </r>
  </si>
  <si>
    <r>
      <t>•</t>
    </r>
    <r>
      <rPr>
        <sz val="7"/>
        <color indexed="8"/>
        <rFont val="Calibri"/>
        <family val="2"/>
      </rPr>
      <t>     </t>
    </r>
    <r>
      <rPr>
        <sz val="11"/>
        <color indexed="8"/>
        <rFont val="Calibri"/>
        <family val="2"/>
      </rPr>
      <t>  Safety and liquidity for short-term funds</t>
    </r>
  </si>
  <si>
    <t>Capital Markets</t>
  </si>
  <si>
    <t>Healthcare Services</t>
  </si>
  <si>
    <t>Banks</t>
  </si>
  <si>
    <t>Leisure Services</t>
  </si>
  <si>
    <t>(An open ended dynamic asset allocation fund)</t>
  </si>
  <si>
    <t>(An open ended scheme investing in Equity, Debt &amp; Money Market Securities and Gold/Silver ETFs and related instruments)</t>
  </si>
  <si>
    <t>(An open ended equity linked saving scheme with a statutory lock in of 3 years and tax benefit)</t>
  </si>
  <si>
    <t>(Aggressive Hybrid Fund - An open ended hybrid scheme investing predominantly in equity and equity related instruments)</t>
  </si>
  <si>
    <t>(An open ended dynamic equity scheme investing across large cap, mid cap, small cap stocks)</t>
  </si>
  <si>
    <t>(An open ended debt scheme investing in overnight securities. A relatively low interest rate risk and relatively Low Credit Risk)</t>
  </si>
  <si>
    <t>(An open ended Exchange Traded Fund replicating/ tracking Nifty 1D Rate Index. A relatively low interest rate risk and relatively low credit risk)</t>
  </si>
  <si>
    <t>Shriram Liquid Fund</t>
  </si>
  <si>
    <r>
      <t>•</t>
    </r>
    <r>
      <rPr>
        <sz val="7"/>
        <color indexed="8"/>
        <rFont val="Calibri"/>
        <family val="2"/>
      </rPr>
      <t>     </t>
    </r>
    <r>
      <rPr>
        <sz val="11"/>
        <color indexed="8"/>
        <rFont val="Calibri"/>
        <family val="2"/>
      </rPr>
      <t>  Safety and liquidity for shortterm funds</t>
    </r>
  </si>
  <si>
    <t xml:space="preserve">Investors understand that their principal will be at low to moderate risk   </t>
  </si>
  <si>
    <t>Benchmark riskometer is at low to moderate risk</t>
  </si>
  <si>
    <t xml:space="preserve">Relatively Low </t>
  </si>
  <si>
    <t>Moderate</t>
  </si>
  <si>
    <t xml:space="preserve">Relatively High </t>
  </si>
  <si>
    <t>(Class A)</t>
  </si>
  <si>
    <t xml:space="preserve"> (Class B)</t>
  </si>
  <si>
    <t>(Class C)</t>
  </si>
  <si>
    <t>B-I</t>
  </si>
  <si>
    <t>B-I - A Scheme with Relatively Low Interest Rate Risk and Relatively Moderate Credit Risk.</t>
  </si>
  <si>
    <t>#  Unlisted Security</t>
  </si>
  <si>
    <t>** Non Traded Security</t>
  </si>
  <si>
    <t>(An open ended liquid scheme. A relatively low interest rate risk and moderate credit risk)</t>
  </si>
  <si>
    <t>Shriram Multi Sector Rotation Fund</t>
  </si>
  <si>
    <t>(An open-ended scheme investing in equity and related instruments following multi sector rotation theme)</t>
  </si>
  <si>
    <t>Transport Services</t>
  </si>
  <si>
    <t>Construction</t>
  </si>
  <si>
    <t>Fertilizers &amp; Agrochemicals</t>
  </si>
  <si>
    <t>SHRIRAM MULTI SECTOR ROTATION FUND</t>
  </si>
  <si>
    <t xml:space="preserve"> As per AMFI Tier I Benchmark
 i.e CRISIL Hybrid 35+65 - Aggressive Index</t>
  </si>
  <si>
    <t xml:space="preserve"> As per AMFI Tier I Benchmark
 i.e NIFTY 500 TRI</t>
  </si>
  <si>
    <t xml:space="preserve"> As per AMFI Tier I Benchmark
 i.e CRISIL Liquid Overnight Index</t>
  </si>
  <si>
    <t xml:space="preserve"> As per AMFI Tier I Benchmark
 i.e NIFTY 1D Rate Index</t>
  </si>
  <si>
    <t xml:space="preserve"> As per AMFI Tier I Benchmark
 i.e  Nifty Liquid Index A-I</t>
  </si>
  <si>
    <t xml:space="preserve"> As per AMFI Tier I Benchmark
 i.e Nifty 50 TRI (70%) + NIFTY Short Duration Debt Index (20%) + Domestic prices of Gold (8%) + Domestic prices of Silver (2%)</t>
  </si>
  <si>
    <t>• Capital appreciation over medium to long term in an actively managed portfolio of equity &amp; equity related instruments of specific identifiable sectors that are performing well</t>
  </si>
  <si>
    <t>•  To regularly invest over time through SIPs, top-ups or STP from liquid/overnight funds, to meet financial and family goals</t>
  </si>
  <si>
    <t>Diversified FMCG</t>
  </si>
  <si>
    <t>Electrical Equipment</t>
  </si>
  <si>
    <t>Ferrous Metals</t>
  </si>
  <si>
    <t>Cement &amp; Cement Products</t>
  </si>
  <si>
    <t>Power</t>
  </si>
  <si>
    <t>SHRIRAM LIQUID FUND</t>
  </si>
  <si>
    <t>Petroleum Products</t>
  </si>
  <si>
    <t>Non - Ferrous Metals</t>
  </si>
  <si>
    <t>Agricultural Food &amp; other Products</t>
  </si>
  <si>
    <t>Industrial Products</t>
  </si>
  <si>
    <t>Minerals &amp; Mining</t>
  </si>
  <si>
    <t>Gas</t>
  </si>
  <si>
    <t>Chemicals &amp; Petrochemicals</t>
  </si>
  <si>
    <t>Food Products</t>
  </si>
  <si>
    <t>Consumable Fuels</t>
  </si>
  <si>
    <t>Oil</t>
  </si>
  <si>
    <t>Insurance</t>
  </si>
  <si>
    <t>Name of  Instrument</t>
  </si>
  <si>
    <t>ISIN</t>
  </si>
  <si>
    <t>Industry/Rating</t>
  </si>
  <si>
    <t>Quantity</t>
  </si>
  <si>
    <t>Market/Fair Value  (INR Lacs)</t>
  </si>
  <si>
    <t xml:space="preserve">% Yield </t>
  </si>
  <si>
    <t>Equity &amp; Equity related</t>
  </si>
  <si>
    <t>(a)Listed / Awaiting listing on Stock Exchanges</t>
  </si>
  <si>
    <t>Beverages</t>
  </si>
  <si>
    <t>SHRIRAM OVERNIGHT FUND</t>
  </si>
  <si>
    <t>SHRIRAM NIFTY 1D RATE LIQUID ETF</t>
  </si>
  <si>
    <t>NSE Symbol: LIQUIDSHRI</t>
  </si>
  <si>
    <t>BSE Code: 544208</t>
  </si>
  <si>
    <t>Transport Infrastructure</t>
  </si>
  <si>
    <t>Notes:</t>
  </si>
  <si>
    <t>$</t>
  </si>
  <si>
    <t>$ Industry Classification as recommended by AMFI</t>
  </si>
  <si>
    <t>SHRIRAM AGGRESSIVE HYBRID FUND</t>
  </si>
  <si>
    <t>HDFC Bank Ltd.</t>
  </si>
  <si>
    <t>INE040A01034</t>
  </si>
  <si>
    <t>ICICI Bank Ltd.</t>
  </si>
  <si>
    <t>INE090A01021</t>
  </si>
  <si>
    <t>Bharti Airtel Ltd.</t>
  </si>
  <si>
    <t>INE397D01024</t>
  </si>
  <si>
    <t>Reliance Industries Ltd.</t>
  </si>
  <si>
    <t>INE002A01018</t>
  </si>
  <si>
    <t>Axis Bank Ltd.</t>
  </si>
  <si>
    <t>INE238A01034</t>
  </si>
  <si>
    <t>ITC Ltd.</t>
  </si>
  <si>
    <t>INE154A01025</t>
  </si>
  <si>
    <t>Mahindra &amp; Mahindra Ltd.</t>
  </si>
  <si>
    <t>INE101A01026</t>
  </si>
  <si>
    <t>State Bank of India</t>
  </si>
  <si>
    <t>INE062A01020</t>
  </si>
  <si>
    <t>Tata Consultancy Services Ltd.</t>
  </si>
  <si>
    <t>INE467B01029</t>
  </si>
  <si>
    <t>Bajaj Holdings &amp; Investment Ltd.</t>
  </si>
  <si>
    <t>INE118A01012</t>
  </si>
  <si>
    <t>Bharat Petroleum Corporation Ltd.</t>
  </si>
  <si>
    <t>INE029A01011</t>
  </si>
  <si>
    <t>Larsen &amp; Toubro Ltd.</t>
  </si>
  <si>
    <t>INE018A01030</t>
  </si>
  <si>
    <t>Sun Pharmaceutical Industries Ltd.</t>
  </si>
  <si>
    <t>INE044A01036</t>
  </si>
  <si>
    <t>Coforge Ltd.</t>
  </si>
  <si>
    <t>INE591G01025</t>
  </si>
  <si>
    <t>Infosys Ltd.</t>
  </si>
  <si>
    <t>INE009A01021</t>
  </si>
  <si>
    <t>Eicher Motors Ltd.</t>
  </si>
  <si>
    <t>INE066A01021</t>
  </si>
  <si>
    <t>PNB Housing Finance Ltd.</t>
  </si>
  <si>
    <t>INE572E01012</t>
  </si>
  <si>
    <t>Mold-Tek Packaging Ltd.</t>
  </si>
  <si>
    <t>INE893J01029</t>
  </si>
  <si>
    <t>Marico Ltd.</t>
  </si>
  <si>
    <t>INE196A01026</t>
  </si>
  <si>
    <t>TVS Motor Company Ltd.</t>
  </si>
  <si>
    <t>INE494B01023</t>
  </si>
  <si>
    <t>Maruti Suzuki India Ltd.</t>
  </si>
  <si>
    <t>INE585B01010</t>
  </si>
  <si>
    <t>InterGlobe Aviation Ltd.</t>
  </si>
  <si>
    <t>INE646L01027</t>
  </si>
  <si>
    <t>Hindalco Industries Ltd.</t>
  </si>
  <si>
    <t>INE038A01020</t>
  </si>
  <si>
    <t>Bharat Electronics Ltd.</t>
  </si>
  <si>
    <t>INE263A01024</t>
  </si>
  <si>
    <t>NTPC Ltd.</t>
  </si>
  <si>
    <t>INE733E01010</t>
  </si>
  <si>
    <t>Tata Steel Ltd.</t>
  </si>
  <si>
    <t>INE081A01020</t>
  </si>
  <si>
    <t>Power Grid Corporation of India Ltd.</t>
  </si>
  <si>
    <t>INE752E01010</t>
  </si>
  <si>
    <t>Kotak Mahindra Bank Ltd.</t>
  </si>
  <si>
    <t>Cipla Ltd.</t>
  </si>
  <si>
    <t>INE059A01026</t>
  </si>
  <si>
    <t>Siemens Ltd.</t>
  </si>
  <si>
    <t>INE003A01024</t>
  </si>
  <si>
    <t>HCL Technologies Ltd.</t>
  </si>
  <si>
    <t>INE860A01027</t>
  </si>
  <si>
    <t>BSE Ltd.</t>
  </si>
  <si>
    <t>INE118H01025</t>
  </si>
  <si>
    <t>VARUN BEVERAGES LIMITED</t>
  </si>
  <si>
    <t>INE200M01039</t>
  </si>
  <si>
    <t>Fortis Healthcare Ltd.</t>
  </si>
  <si>
    <t>INE061F01013</t>
  </si>
  <si>
    <t>Lloyds Metals And Energy Ltd.</t>
  </si>
  <si>
    <t>INE281B01032</t>
  </si>
  <si>
    <t>REC Ltd.</t>
  </si>
  <si>
    <t>INE020B01018</t>
  </si>
  <si>
    <t>NMDC Ltd.</t>
  </si>
  <si>
    <t>INE584A01023</t>
  </si>
  <si>
    <t>Aurobindo Pharma Ltd.</t>
  </si>
  <si>
    <t>INE406A01037</t>
  </si>
  <si>
    <t>Pricol Ltd.</t>
  </si>
  <si>
    <t>INE726V01018</t>
  </si>
  <si>
    <t>HDFC Life Insurance Company Ltd.</t>
  </si>
  <si>
    <t>INE795G01014</t>
  </si>
  <si>
    <t>Narayana Hrudayalaya ltd.</t>
  </si>
  <si>
    <t>INE410P01011</t>
  </si>
  <si>
    <t>Ambuja Cements Ltd.</t>
  </si>
  <si>
    <t>INE079A01024</t>
  </si>
  <si>
    <t>CCL Products (India) Ltd.</t>
  </si>
  <si>
    <t>INE421D01022</t>
  </si>
  <si>
    <t>KFIN Technologies Ltd.</t>
  </si>
  <si>
    <t>INE138Y01010</t>
  </si>
  <si>
    <t>Kirloskar Oil Engines Ltd.</t>
  </si>
  <si>
    <t>INE146L01010</t>
  </si>
  <si>
    <t>Oil India Ltd.</t>
  </si>
  <si>
    <t>INE274J01014</t>
  </si>
  <si>
    <t>GAIL (India) Ltd.</t>
  </si>
  <si>
    <t>INE129A01019</t>
  </si>
  <si>
    <t>Manappuram Finance Ltd.</t>
  </si>
  <si>
    <t>INE522D01027</t>
  </si>
  <si>
    <t>Kalpataru Projects International Ltd.</t>
  </si>
  <si>
    <t>INE220B01022</t>
  </si>
  <si>
    <t>Chambal Fertilizers &amp; Chemicals Ltd.</t>
  </si>
  <si>
    <t>INE085A01013</t>
  </si>
  <si>
    <t>Oil &amp; Natural Gas Corporation Ltd.</t>
  </si>
  <si>
    <t>INE213A01029</t>
  </si>
  <si>
    <t>Adani Ports &amp; Special Economic Zone Ltd.</t>
  </si>
  <si>
    <t>INE742F01042</t>
  </si>
  <si>
    <t>Coromandel International Ltd.</t>
  </si>
  <si>
    <t>INE169A01031</t>
  </si>
  <si>
    <t>Sub Total</t>
  </si>
  <si>
    <t>(b) Unlisted</t>
  </si>
  <si>
    <t>NIL</t>
  </si>
  <si>
    <t>TOTAL</t>
  </si>
  <si>
    <t>Derivative</t>
  </si>
  <si>
    <t>Total</t>
  </si>
  <si>
    <t>Debt Instruments</t>
  </si>
  <si>
    <t>(a)Listed / Awaiting listing on stock Exchanges</t>
  </si>
  <si>
    <t>6.54% Government of India</t>
  </si>
  <si>
    <t>IN0020210244</t>
  </si>
  <si>
    <t>SOVEREIGN</t>
  </si>
  <si>
    <t>8.54% REC Ltd. **</t>
  </si>
  <si>
    <t>INE020B08BE3</t>
  </si>
  <si>
    <t>CRISIL AAA</t>
  </si>
  <si>
    <t>ICRA AAA</t>
  </si>
  <si>
    <t>INE115A07QO2</t>
  </si>
  <si>
    <t>INE494B04019</t>
  </si>
  <si>
    <t>(b)Privately Placed/Unlisted</t>
  </si>
  <si>
    <t>(c)Securitised Debt Instruments</t>
  </si>
  <si>
    <t>Money Market Instruments</t>
  </si>
  <si>
    <t>Treasury Bill</t>
  </si>
  <si>
    <t>Net Receivables / (Payables)</t>
  </si>
  <si>
    <t>GRAND TOTAL</t>
  </si>
  <si>
    <t>Can Fin Homes Ltd.</t>
  </si>
  <si>
    <t>INE477A01020</t>
  </si>
  <si>
    <t>Eris Lifesciences Ltd.</t>
  </si>
  <si>
    <t>INE406M01024</t>
  </si>
  <si>
    <t>Eternal Ltd.</t>
  </si>
  <si>
    <t>INE758T01015</t>
  </si>
  <si>
    <t>Retailing</t>
  </si>
  <si>
    <t>Torrent Pharmaceuticals Ltd.</t>
  </si>
  <si>
    <t>INE685A01028</t>
  </si>
  <si>
    <t>Computer Age Management Services Ltd.</t>
  </si>
  <si>
    <t>Muthoot Finance Ltd.</t>
  </si>
  <si>
    <t>INE414G01012</t>
  </si>
  <si>
    <t>Hindustan Petroleum Corporation Ltd.</t>
  </si>
  <si>
    <t>INE094A01015</t>
  </si>
  <si>
    <t>Tech Mahindra Ltd.</t>
  </si>
  <si>
    <t>INE669C01036</t>
  </si>
  <si>
    <t>Indian Bank</t>
  </si>
  <si>
    <t>INE562A01011</t>
  </si>
  <si>
    <t>LT Foods Ltd.</t>
  </si>
  <si>
    <t>INE818H01020</t>
  </si>
  <si>
    <t>Krsnaa Diagnostics Ltd.</t>
  </si>
  <si>
    <t>INE08LI01020</t>
  </si>
  <si>
    <t>EID Parry India Ltd.</t>
  </si>
  <si>
    <t>INE126A01031</t>
  </si>
  <si>
    <t>Persistent Systems Ltd.</t>
  </si>
  <si>
    <t>INE262H01021</t>
  </si>
  <si>
    <t>Bajaj Finance Ltd.</t>
  </si>
  <si>
    <t>INE296A01032</t>
  </si>
  <si>
    <t>Max Financial Services Ltd.</t>
  </si>
  <si>
    <t>INE180A01020</t>
  </si>
  <si>
    <t>Divi's Laboratories Ltd.</t>
  </si>
  <si>
    <t>INE361B01024</t>
  </si>
  <si>
    <t>Derivatives  (Index / Stock Futures)</t>
  </si>
  <si>
    <t>INE514E08GB4</t>
  </si>
  <si>
    <t>Bank of Baroda</t>
  </si>
  <si>
    <t>INE028A01039</t>
  </si>
  <si>
    <t>Hyundai Motor India Ltd.</t>
  </si>
  <si>
    <t>INE0V6F01027</t>
  </si>
  <si>
    <t>Coal India Ltd.</t>
  </si>
  <si>
    <t>INE522F01014</t>
  </si>
  <si>
    <t>ITC Hotels Ltd.</t>
  </si>
  <si>
    <t>INE379A01028</t>
  </si>
  <si>
    <t>Ratnamani Metals &amp; Tubes Ltd.</t>
  </si>
  <si>
    <t>INE703B01027</t>
  </si>
  <si>
    <t>Hindustan Aeronautics Ltd.</t>
  </si>
  <si>
    <t>INE066F01020</t>
  </si>
  <si>
    <t>8.22% National Bank for Agriculture &amp; Rural Development **</t>
  </si>
  <si>
    <t>INE261F08AV0</t>
  </si>
  <si>
    <t>8.8% Indian Railway Finance Corporation Ltd. **</t>
  </si>
  <si>
    <t>INE053F09GR4</t>
  </si>
  <si>
    <t>8.37% Housing &amp; Urban Development Corp Ltd. **</t>
  </si>
  <si>
    <t>INE031A08707</t>
  </si>
  <si>
    <t>8.58% Housing &amp; Urban Development Corp Ltd. **</t>
  </si>
  <si>
    <t>INE031A08681</t>
  </si>
  <si>
    <t>7.22% Indian Renewable Energy Dev Agency Ltd. **</t>
  </si>
  <si>
    <t>INE202E08011</t>
  </si>
  <si>
    <t>CARE AAA</t>
  </si>
  <si>
    <t>Investment in Mutual fund</t>
  </si>
  <si>
    <t>INF204KB17I5</t>
  </si>
  <si>
    <t>INF204KC1402</t>
  </si>
  <si>
    <t>Nuvama Wealth Management Ltd.</t>
  </si>
  <si>
    <t>Thyrocare Technologies Ltd.</t>
  </si>
  <si>
    <t>INE594H01019</t>
  </si>
  <si>
    <t>Mphasis Ltd.</t>
  </si>
  <si>
    <t>INE356A01018</t>
  </si>
  <si>
    <t>Certificate of Deposit</t>
  </si>
  <si>
    <t>CRISIL A1+</t>
  </si>
  <si>
    <t>Commercial Paper</t>
  </si>
  <si>
    <t>Mutual Fund Units</t>
  </si>
  <si>
    <t>INF0RQ622028</t>
  </si>
  <si>
    <t>Rainbow Children's Medicare Ltd.</t>
  </si>
  <si>
    <t>INE961O01016</t>
  </si>
  <si>
    <t>Sapphire Foods India Ltd.</t>
  </si>
  <si>
    <t>INE806T01020</t>
  </si>
  <si>
    <t>R R Kabel Ltd.</t>
  </si>
  <si>
    <t>INE777K01022</t>
  </si>
  <si>
    <t>1) Risk-o-Meter of the Scheme Portfolio and its Benchmark Portfolio, based on the latest monthly portfolio disclosures.</t>
  </si>
  <si>
    <t>Consumer Durables</t>
  </si>
  <si>
    <t>National Aluminium Company Ltd.</t>
  </si>
  <si>
    <t>INE139A01034</t>
  </si>
  <si>
    <t>Swiggy Ltd.</t>
  </si>
  <si>
    <t>INE00H001014</t>
  </si>
  <si>
    <t>Lemon Tree Hotels Ltd.</t>
  </si>
  <si>
    <t>INE970X01018</t>
  </si>
  <si>
    <t>Ajanta Pharma Ltd.</t>
  </si>
  <si>
    <t>INE031B01049</t>
  </si>
  <si>
    <t>TIPS Music Ltd.</t>
  </si>
  <si>
    <t>INE716B01029</t>
  </si>
  <si>
    <t>Entertainment</t>
  </si>
  <si>
    <t>LG Electronics India Ltd.</t>
  </si>
  <si>
    <t>INE324D01010</t>
  </si>
  <si>
    <t>Canara Robeco Asset Mgmt Co Ltd.</t>
  </si>
  <si>
    <t>INE218I01013</t>
  </si>
  <si>
    <t>Top 10 Holdings</t>
  </si>
  <si>
    <t xml:space="preserve"> As per AMFI Tier I Benchmark
 i.e CRISIL Hybrid 50+50 - Moderate Index</t>
  </si>
  <si>
    <t>Fiem Industries Ltd.</t>
  </si>
  <si>
    <t>INE737H01014</t>
  </si>
  <si>
    <t>Apollo Hospitals Enterprise Ltd.</t>
  </si>
  <si>
    <t>INE437A01024</t>
  </si>
  <si>
    <t>Sagility Ltd.</t>
  </si>
  <si>
    <t>INE0W2G01015</t>
  </si>
  <si>
    <t>IT - Services</t>
  </si>
  <si>
    <t>VRL Logistics Ltd.</t>
  </si>
  <si>
    <t>INE366I01010</t>
  </si>
  <si>
    <t>Power Mech Projects Ltd.</t>
  </si>
  <si>
    <t>INE211R01019</t>
  </si>
  <si>
    <t>SBI Life Insurance Company Ltd.</t>
  </si>
  <si>
    <t>INE123W01016</t>
  </si>
  <si>
    <t>INE596I01020</t>
  </si>
  <si>
    <t>ICRA A1+</t>
  </si>
  <si>
    <t>Samvardhana Motherson International Ltd.</t>
  </si>
  <si>
    <t>INE775A01035</t>
  </si>
  <si>
    <t>ICICI Prudential Asset Mgmt Co Ltd.</t>
  </si>
  <si>
    <t>INE346A01027</t>
  </si>
  <si>
    <t>Treps</t>
  </si>
  <si>
    <t>INE531F01023</t>
  </si>
  <si>
    <t>Cohance Lifesciences Ltd.</t>
  </si>
  <si>
    <t>INE03QK01018</t>
  </si>
  <si>
    <t>Index / Stock Option</t>
  </si>
  <si>
    <t>https://www.shriramamc.in/scheme-performance</t>
  </si>
  <si>
    <t>2) Please refer to the link below for Scheme Performance:</t>
  </si>
  <si>
    <t>INE237A01036</t>
  </si>
  <si>
    <t>Sona BLW Precision Forgings Ltd.</t>
  </si>
  <si>
    <t>INE073K01018</t>
  </si>
  <si>
    <t>S.J.S. Enterprises Ltd.</t>
  </si>
  <si>
    <t>INE284S01014</t>
  </si>
  <si>
    <t>Shriram Money Market Fund</t>
  </si>
  <si>
    <t>(An open-ended debt scheme investing in money market instruments. A relatively low-interest rate risk and moderate credit risk)</t>
  </si>
  <si>
    <r>
      <t>•</t>
    </r>
    <r>
      <rPr>
        <sz val="11"/>
        <color indexed="8"/>
        <rFont val="Calibri"/>
        <family val="2"/>
      </rPr>
      <t>    Regular Income over short term</t>
    </r>
  </si>
  <si>
    <r>
      <t>•</t>
    </r>
    <r>
      <rPr>
        <sz val="7"/>
        <color indexed="8"/>
        <rFont val="Calibri"/>
        <family val="2"/>
      </rPr>
      <t>    </t>
    </r>
    <r>
      <rPr>
        <sz val="11"/>
        <color indexed="8"/>
        <rFont val="Calibri"/>
        <family val="2"/>
      </rPr>
      <t> To generate income by investing in money market instrument</t>
    </r>
  </si>
  <si>
    <t>Investors understand that their principal will be at low to moderate risk</t>
  </si>
  <si>
    <t xml:space="preserve"> As per AMFI Tier I Benchmark
 i.e  Nifty Money Market Index A-I</t>
  </si>
  <si>
    <t>364 DAYS TBILL RED 10-12-2026</t>
  </si>
  <si>
    <t>IN002025Z377</t>
  </si>
  <si>
    <t>Clearing Corporation of India Ltd.</t>
  </si>
  <si>
    <t>Reverse Repo</t>
  </si>
  <si>
    <t>Krishna Inst of Medical Sciences Ltd.</t>
  </si>
  <si>
    <t>INE967H01025</t>
  </si>
  <si>
    <t>Navin Fluorine International Ltd.</t>
  </si>
  <si>
    <t>INE048G01026</t>
  </si>
  <si>
    <t># Awaiting listing on stock Exchanges</t>
  </si>
  <si>
    <t>CARE A1+</t>
  </si>
  <si>
    <t>Kotak Securities Ltd. **</t>
  </si>
  <si>
    <t>INE028E14VB2</t>
  </si>
  <si>
    <t>360 One Prime Ltd. **</t>
  </si>
  <si>
    <t>INE248U14TE0</t>
  </si>
  <si>
    <t>Dodla Dairy Ltd.</t>
  </si>
  <si>
    <t>INE021O01019</t>
  </si>
  <si>
    <t>PB Fintech Ltd.</t>
  </si>
  <si>
    <t>INE417T01026</t>
  </si>
  <si>
    <t>Financial Technology (Fintech)</t>
  </si>
  <si>
    <t>SHRIRAM MONEY MARKET FUND</t>
  </si>
  <si>
    <t>Samhi Hotels Ltd.</t>
  </si>
  <si>
    <t>INE08U801020</t>
  </si>
  <si>
    <t>Emami Ltd.</t>
  </si>
  <si>
    <t>INE548C01032</t>
  </si>
  <si>
    <t>Personal Products</t>
  </si>
  <si>
    <t>Karur Vysya Bank Ltd.</t>
  </si>
  <si>
    <t>INE036D01028</t>
  </si>
  <si>
    <t>182 DAYS TBILL RED 18-09-2026</t>
  </si>
  <si>
    <t>IN002025Y503</t>
  </si>
  <si>
    <t>6% TVS Motor Company Ltd.(Preference Share) **</t>
  </si>
  <si>
    <t>HDFC Asset Management Company Ltd.</t>
  </si>
  <si>
    <t>INE127D01025</t>
  </si>
  <si>
    <t>Chalet Hotels Ltd.</t>
  </si>
  <si>
    <t>INE427F01016</t>
  </si>
  <si>
    <t>Axis Bank Ltd. ** #</t>
  </si>
  <si>
    <t>Deepak Fertilizers &amp; Petrochem Corp Ltd.</t>
  </si>
  <si>
    <t>INE501A01019</t>
  </si>
  <si>
    <t>INE040A16JL4</t>
  </si>
  <si>
    <t>ICICI Securities Ltd. **</t>
  </si>
  <si>
    <t>INE763G14J15</t>
  </si>
  <si>
    <t>Nippon India ETF Gold BeES</t>
  </si>
  <si>
    <t>Bank of Baroda ** #</t>
  </si>
  <si>
    <t>INE028A16MK5</t>
  </si>
  <si>
    <t>INE238AD6CJ4</t>
  </si>
  <si>
    <t>PUT NIFTY 25-Aug-2026 22500</t>
  </si>
  <si>
    <t>Punjab National Bank ** #</t>
  </si>
  <si>
    <t>INE160A16VE0</t>
  </si>
  <si>
    <t>Ethos Ltd.</t>
  </si>
  <si>
    <t>INE04TZ01018</t>
  </si>
  <si>
    <t>INE261F14PT0</t>
  </si>
  <si>
    <t>91 DAYS TBILL RED 10-09-2026</t>
  </si>
  <si>
    <t>IN002026X107</t>
  </si>
  <si>
    <t>INE476A16I18</t>
  </si>
  <si>
    <t>HDFC Bank Ltd. #</t>
  </si>
  <si>
    <t>INE040A16IO0</t>
  </si>
  <si>
    <t>INE028E14XD4</t>
  </si>
  <si>
    <t>INE028A16LF7</t>
  </si>
  <si>
    <t>Union Bank of India ** #</t>
  </si>
  <si>
    <t>INE692A16MN2</t>
  </si>
  <si>
    <t>Small Industries Development Bank of India **</t>
  </si>
  <si>
    <t>INE556F14MM5</t>
  </si>
  <si>
    <t>HDFC Securities Ltd. **</t>
  </si>
  <si>
    <t>INE700G14UQ1</t>
  </si>
  <si>
    <t>National Bank for Agriculture &amp; Rural Development ** #</t>
  </si>
  <si>
    <t>INE261F16AQ3</t>
  </si>
  <si>
    <t>7.835% LIC Housing Finance Ltd. **</t>
  </si>
  <si>
    <t>Bank of Baroda #</t>
  </si>
  <si>
    <t>INTREP060726</t>
  </si>
  <si>
    <t>7.45% Export Import Bank of India</t>
  </si>
  <si>
    <t>INR060760522</t>
  </si>
  <si>
    <t>INR060760525</t>
  </si>
  <si>
    <t>Canara Bank ** #</t>
  </si>
  <si>
    <t>National Bank for Agriculture &amp; Rural Development</t>
  </si>
  <si>
    <t>INR060760510</t>
  </si>
  <si>
    <t>INR060760515</t>
  </si>
  <si>
    <t>Portfolio Statement as on July 3, 2026</t>
  </si>
  <si>
    <t>Clearing Corporation of India Ltd. (TREPS_RED_06.07.2026)</t>
  </si>
  <si>
    <t>SBI CDMDF--A2 Corporate Debt Market Development Fund</t>
  </si>
  <si>
    <t>Nippon India Silver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</si>
</sst>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1" formatCode="_(* #,##0.00_);_(* \(#,##0.00\);_(* &quot;-&quot;??_);_(@_)"/>
    <numFmt numFmtId="174" formatCode="#,##0.00_);\(##,##0\)"/>
    <numFmt numFmtId="176" formatCode="0.0000"/>
    <numFmt numFmtId="177" formatCode="#,##0.0000"/>
    <numFmt numFmtId="178" formatCode="0.000%"/>
    <numFmt numFmtId="180" formatCode="#,##0.00_);\(##,##0.00\)"/>
    <numFmt numFmtId="182" formatCode="##,###,##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7"/>
      <color indexed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7"/>
      <color indexed="8"/>
      <name val="Calibri"/>
      <family val="2"/>
    </font>
    <font>
      <sz val="10"/>
      <color indexed="8"/>
      <name val="Calibri"/>
      <family val="2"/>
    </font>
    <font>
      <b/>
      <sz val="12"/>
      <color indexed="8"/>
      <name val="Calibri"/>
      <family val="2"/>
    </font>
    <font>
      <sz val="7"/>
      <name val="Tahoma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3"/>
      <name val="Tahoma"/>
      <family val="2"/>
    </font>
    <font>
      <sz val="7"/>
      <color rgb="FF000000"/>
      <name val="Tahoma"/>
      <family val="2"/>
    </font>
    <font>
      <b/>
      <sz val="12"/>
      <color rgb="FF000000"/>
      <name val="Arial Narrow"/>
      <family val="2"/>
    </font>
    <font>
      <sz val="11"/>
      <color rgb="FF000000"/>
      <name val="Tahoma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1"/>
      <color theme="3"/>
      <name val="Tahoma"/>
      <family val="2"/>
    </font>
    <font>
      <sz val="7"/>
      <color rgb="FFFF0000"/>
      <name val="Tahoma"/>
      <family val="2"/>
    </font>
    <font>
      <i/>
      <sz val="8"/>
      <color theme="1"/>
      <name val="Calibri"/>
      <family val="2"/>
      <scheme val="minor"/>
    </font>
    <font>
      <i/>
      <sz val="8"/>
      <color rgb="FF000000"/>
      <name val="Tahoma"/>
      <family val="2"/>
    </font>
    <font>
      <sz val="7"/>
      <color theme="0"/>
      <name val="Tahoma"/>
      <family val="2"/>
    </font>
    <font>
      <sz val="10"/>
      <color rgb="FF0000CC"/>
      <name val="Wingdings"/>
      <charset val="2"/>
    </font>
    <font>
      <sz val="9"/>
      <color theme="1"/>
      <name val="Arial"/>
      <family val="2"/>
    </font>
    <font>
      <b/>
      <sz val="10"/>
      <color rgb="FF000000"/>
      <name val="Tahoma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1.5"/>
      <color theme="1"/>
      <name val="Calibri"/>
      <family val="2"/>
    </font>
    <font>
      <b/>
      <sz val="9"/>
      <color rgb="FFFF0000"/>
      <name val="Arial"/>
      <family val="2"/>
    </font>
    <font>
      <sz val="1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0"/>
      <name val="Arial"/>
      <family val="2"/>
    </font>
    <font>
      <b/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</cellStyleXfs>
  <cellXfs count="308">
    <xf numFmtId="0" fontId="0" fillId="0" borderId="0" xfId="0"/>
    <xf numFmtId="0" fontId="0" fillId="0" borderId="0" xfId="0" applyAlignment="1"/>
    <xf numFmtId="4" fontId="0" fillId="0" borderId="0" xfId="0" applyNumberFormat="1" applyAlignment="1"/>
    <xf numFmtId="0" fontId="15" fillId="0" borderId="0" xfId="0" applyFont="1" applyAlignment="1"/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0" fillId="0" borderId="0" xfId="0" applyAlignment="1">
      <alignment horizontal="left"/>
    </xf>
    <xf numFmtId="176" fontId="0" fillId="0" borderId="0" xfId="0" applyNumberFormat="1"/>
    <xf numFmtId="0" fontId="19" fillId="0" borderId="0" xfId="0" applyFont="1"/>
    <xf numFmtId="10" fontId="0" fillId="0" borderId="0" xfId="0" applyNumberFormat="1"/>
    <xf numFmtId="0" fontId="0" fillId="0" borderId="0" xfId="0" applyAlignment="1">
      <alignment vertical="center"/>
    </xf>
    <xf numFmtId="0" fontId="4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14" fillId="0" borderId="0" xfId="0" applyFont="1"/>
    <xf numFmtId="0" fontId="0" fillId="0" borderId="0" xfId="0" applyFont="1"/>
    <xf numFmtId="10" fontId="11" fillId="0" borderId="0" xfId="3" applyNumberFormat="1" applyFont="1"/>
    <xf numFmtId="0" fontId="0" fillId="0" borderId="1" xfId="0" applyFill="1" applyBorder="1" applyAlignment="1"/>
    <xf numFmtId="0" fontId="20" fillId="0" borderId="0" xfId="0" applyFont="1" applyAlignment="1"/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0" fontId="13" fillId="0" borderId="0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21" fillId="0" borderId="0" xfId="0" applyFont="1" applyFill="1" applyAlignment="1">
      <alignment horizontal="left"/>
    </xf>
    <xf numFmtId="0" fontId="0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3" fillId="0" borderId="5" xfId="0" applyFont="1" applyBorder="1" applyAlignment="1">
      <alignment horizontal="center"/>
    </xf>
    <xf numFmtId="0" fontId="0" fillId="0" borderId="6" xfId="0" applyFont="1" applyBorder="1"/>
    <xf numFmtId="0" fontId="22" fillId="0" borderId="0" xfId="0" applyFont="1" applyAlignment="1">
      <alignment wrapText="1"/>
    </xf>
    <xf numFmtId="0" fontId="0" fillId="0" borderId="0" xfId="0" applyFont="1" applyBorder="1" applyAlignment="1">
      <alignment vertical="top"/>
    </xf>
    <xf numFmtId="0" fontId="23" fillId="0" borderId="0" xfId="0" applyFont="1" applyAlignment="1">
      <alignment horizontal="left"/>
    </xf>
    <xf numFmtId="0" fontId="13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0" fillId="0" borderId="0" xfId="0" applyFill="1" applyAlignment="1">
      <alignment vertical="center"/>
    </xf>
    <xf numFmtId="0" fontId="26" fillId="0" borderId="0" xfId="0" applyNumberFormat="1" applyFont="1" applyFill="1" applyBorder="1" applyAlignment="1">
      <alignment horizontal="right"/>
    </xf>
    <xf numFmtId="0" fontId="24" fillId="0" borderId="0" xfId="0" applyFont="1" applyAlignment="1"/>
    <xf numFmtId="10" fontId="27" fillId="0" borderId="0" xfId="3" applyNumberFormat="1" applyFont="1" applyAlignment="1">
      <alignment vertical="center"/>
    </xf>
    <xf numFmtId="0" fontId="27" fillId="0" borderId="0" xfId="0" applyFont="1"/>
    <xf numFmtId="182" fontId="27" fillId="0" borderId="0" xfId="0" applyNumberFormat="1" applyFont="1"/>
    <xf numFmtId="0" fontId="7" fillId="0" borderId="0" xfId="0" applyFont="1" applyBorder="1" applyAlignment="1">
      <alignment vertical="center" wrapText="1"/>
    </xf>
    <xf numFmtId="0" fontId="28" fillId="0" borderId="5" xfId="0" applyFont="1" applyFill="1" applyBorder="1" applyAlignment="1">
      <alignment horizontal="left"/>
    </xf>
    <xf numFmtId="177" fontId="14" fillId="0" borderId="0" xfId="0" applyNumberFormat="1" applyFont="1" applyFill="1" applyBorder="1" applyAlignment="1"/>
    <xf numFmtId="0" fontId="28" fillId="0" borderId="5" xfId="0" applyFont="1" applyFill="1" applyBorder="1" applyAlignment="1">
      <alignment horizontal="right"/>
    </xf>
    <xf numFmtId="0" fontId="0" fillId="0" borderId="0" xfId="0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29" fillId="0" borderId="2" xfId="0" applyFont="1" applyBorder="1" applyAlignment="1">
      <alignment vertical="center" wrapText="1"/>
    </xf>
    <xf numFmtId="0" fontId="0" fillId="0" borderId="2" xfId="0" applyFont="1" applyFill="1" applyBorder="1" applyAlignment="1">
      <alignment vertical="center"/>
    </xf>
    <xf numFmtId="0" fontId="0" fillId="0" borderId="4" xfId="0" applyFont="1" applyBorder="1"/>
    <xf numFmtId="0" fontId="30" fillId="0" borderId="3" xfId="0" applyFont="1" applyBorder="1" applyAlignment="1">
      <alignment vertical="center"/>
    </xf>
    <xf numFmtId="0" fontId="13" fillId="3" borderId="8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/>
    </xf>
    <xf numFmtId="0" fontId="31" fillId="3" borderId="9" xfId="0" applyFont="1" applyFill="1" applyBorder="1" applyAlignment="1">
      <alignment horizontal="right" vertical="center"/>
    </xf>
    <xf numFmtId="0" fontId="1" fillId="0" borderId="2" xfId="0" applyFont="1" applyBorder="1" applyAlignment="1">
      <alignment vertical="center" wrapText="1"/>
    </xf>
    <xf numFmtId="0" fontId="0" fillId="0" borderId="3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4" fillId="0" borderId="0" xfId="0" quotePrefix="1" applyFont="1" applyBorder="1" applyAlignment="1"/>
    <xf numFmtId="0" fontId="20" fillId="0" borderId="0" xfId="0" applyFont="1" applyAlignment="1">
      <alignment horizontal="right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horizontal="right" vertical="center"/>
    </xf>
    <xf numFmtId="0" fontId="21" fillId="0" borderId="0" xfId="0" applyFont="1" applyFill="1" applyAlignment="1">
      <alignment horizontal="left" vertical="center"/>
    </xf>
    <xf numFmtId="0" fontId="15" fillId="0" borderId="0" xfId="0" applyFont="1" applyAlignment="1">
      <alignment vertical="center"/>
    </xf>
    <xf numFmtId="4" fontId="0" fillId="0" borderId="0" xfId="0" applyNumberFormat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32" fillId="0" borderId="0" xfId="0" applyFont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4" xfId="0" applyFont="1" applyBorder="1" applyAlignment="1">
      <alignment vertical="center"/>
    </xf>
    <xf numFmtId="0" fontId="26" fillId="0" borderId="0" xfId="0" applyNumberFormat="1" applyFont="1" applyFill="1" applyBorder="1" applyAlignment="1">
      <alignment horizontal="right" vertical="center"/>
    </xf>
    <xf numFmtId="0" fontId="24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4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10" fontId="11" fillId="0" borderId="0" xfId="3" applyNumberFormat="1" applyFont="1" applyAlignment="1">
      <alignment vertical="center"/>
    </xf>
    <xf numFmtId="176" fontId="0" fillId="0" borderId="0" xfId="0" applyNumberFormat="1" applyAlignment="1">
      <alignment vertical="center"/>
    </xf>
    <xf numFmtId="0" fontId="14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0" fontId="28" fillId="0" borderId="5" xfId="0" applyFont="1" applyFill="1" applyBorder="1" applyAlignment="1">
      <alignment horizontal="left" vertical="center"/>
    </xf>
    <xf numFmtId="0" fontId="28" fillId="0" borderId="5" xfId="0" applyFont="1" applyFill="1" applyBorder="1" applyAlignment="1">
      <alignment horizontal="right" vertical="center"/>
    </xf>
    <xf numFmtId="0" fontId="28" fillId="0" borderId="0" xfId="0" applyFont="1" applyFill="1" applyBorder="1" applyAlignment="1">
      <alignment horizontal="left" vertical="center"/>
    </xf>
    <xf numFmtId="0" fontId="14" fillId="0" borderId="0" xfId="0" applyFont="1" applyBorder="1" applyAlignment="1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vertical="center"/>
    </xf>
    <xf numFmtId="0" fontId="20" fillId="0" borderId="2" xfId="0" applyFont="1" applyBorder="1" applyAlignment="1">
      <alignment horizontal="right" vertical="center"/>
    </xf>
    <xf numFmtId="4" fontId="33" fillId="0" borderId="0" xfId="0" applyNumberFormat="1" applyFont="1" applyFill="1" applyBorder="1" applyAlignment="1">
      <alignment vertical="center"/>
    </xf>
    <xf numFmtId="2" fontId="33" fillId="0" borderId="0" xfId="3" applyNumberFormat="1" applyFont="1" applyFill="1" applyBorder="1" applyAlignment="1">
      <alignment horizontal="right" vertical="center"/>
    </xf>
    <xf numFmtId="176" fontId="14" fillId="0" borderId="3" xfId="0" applyNumberFormat="1" applyFont="1" applyBorder="1" applyAlignment="1">
      <alignment vertical="center"/>
    </xf>
    <xf numFmtId="176" fontId="14" fillId="0" borderId="0" xfId="0" applyNumberFormat="1" applyFont="1" applyBorder="1" applyAlignment="1">
      <alignment vertical="center"/>
    </xf>
    <xf numFmtId="2" fontId="22" fillId="0" borderId="0" xfId="0" applyNumberFormat="1" applyFont="1" applyAlignment="1">
      <alignment vertical="center" wrapText="1"/>
    </xf>
    <xf numFmtId="0" fontId="0" fillId="0" borderId="0" xfId="0" applyFill="1" applyAlignment="1">
      <alignment horizontal="right" vertical="center"/>
    </xf>
    <xf numFmtId="0" fontId="24" fillId="0" borderId="1" xfId="0" quotePrefix="1" applyFont="1" applyBorder="1" applyAlignment="1">
      <alignment vertical="center"/>
    </xf>
    <xf numFmtId="2" fontId="14" fillId="0" borderId="0" xfId="0" applyNumberFormat="1" applyFont="1" applyFill="1" applyBorder="1" applyAlignment="1">
      <alignment vertical="center"/>
    </xf>
    <xf numFmtId="4" fontId="14" fillId="0" borderId="0" xfId="0" applyNumberFormat="1" applyFont="1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0" fontId="24" fillId="0" borderId="0" xfId="0" quotePrefix="1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4" fillId="0" borderId="0" xfId="0" quotePrefix="1" applyFont="1" applyAlignment="1">
      <alignment vertical="center"/>
    </xf>
    <xf numFmtId="0" fontId="16" fillId="0" borderId="0" xfId="0" applyFont="1" applyAlignment="1">
      <alignment vertical="center"/>
    </xf>
    <xf numFmtId="4" fontId="28" fillId="0" borderId="0" xfId="0" applyNumberFormat="1" applyFont="1" applyAlignment="1">
      <alignment vertical="center"/>
    </xf>
    <xf numFmtId="4" fontId="28" fillId="0" borderId="0" xfId="0" applyNumberFormat="1" applyFont="1" applyAlignment="1">
      <alignment horizontal="right" vertical="center"/>
    </xf>
    <xf numFmtId="10" fontId="3" fillId="0" borderId="0" xfId="3" applyNumberFormat="1" applyFont="1" applyAlignment="1">
      <alignment horizontal="right" vertical="center"/>
    </xf>
    <xf numFmtId="178" fontId="11" fillId="0" borderId="0" xfId="3" applyNumberFormat="1" applyFont="1" applyAlignment="1">
      <alignment vertical="center"/>
    </xf>
    <xf numFmtId="0" fontId="22" fillId="0" borderId="0" xfId="0" applyFont="1" applyAlignment="1">
      <alignment vertical="center"/>
    </xf>
    <xf numFmtId="4" fontId="16" fillId="0" borderId="0" xfId="0" applyNumberFormat="1" applyFont="1" applyAlignment="1">
      <alignment vertical="center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4" fillId="0" borderId="0" xfId="0" applyFont="1" applyFill="1" applyAlignment="1">
      <alignment vertical="center"/>
    </xf>
    <xf numFmtId="0" fontId="34" fillId="0" borderId="0" xfId="0" applyFont="1" applyFill="1" applyBorder="1" applyAlignment="1">
      <alignment horizontal="left" vertical="center"/>
    </xf>
    <xf numFmtId="0" fontId="35" fillId="0" borderId="0" xfId="0" applyFont="1" applyAlignment="1">
      <alignment vertical="center"/>
    </xf>
    <xf numFmtId="0" fontId="36" fillId="0" borderId="9" xfId="0" applyFont="1" applyFill="1" applyBorder="1" applyAlignment="1">
      <alignment horizontal="center" vertical="center"/>
    </xf>
    <xf numFmtId="0" fontId="36" fillId="0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7" fillId="0" borderId="9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15" fillId="0" borderId="0" xfId="0" applyFont="1" applyFill="1" applyAlignment="1">
      <alignment horizontal="left"/>
    </xf>
    <xf numFmtId="0" fontId="7" fillId="0" borderId="10" xfId="0" applyFont="1" applyBorder="1" applyAlignment="1">
      <alignment vertical="center" wrapText="1"/>
    </xf>
    <xf numFmtId="0" fontId="29" fillId="0" borderId="11" xfId="0" applyFont="1" applyBorder="1" applyAlignment="1">
      <alignment vertical="center" wrapText="1"/>
    </xf>
    <xf numFmtId="0" fontId="0" fillId="0" borderId="0" xfId="0" applyBorder="1" applyAlignment="1">
      <alignment vertical="top"/>
    </xf>
    <xf numFmtId="0" fontId="32" fillId="0" borderId="0" xfId="0" applyFont="1" applyAlignment="1">
      <alignment horizontal="left"/>
    </xf>
    <xf numFmtId="0" fontId="37" fillId="0" borderId="8" xfId="0" applyFont="1" applyBorder="1" applyAlignment="1">
      <alignment horizontal="left" vertical="center"/>
    </xf>
    <xf numFmtId="0" fontId="36" fillId="0" borderId="8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/>
    </xf>
    <xf numFmtId="0" fontId="14" fillId="0" borderId="0" xfId="0" applyFont="1" applyBorder="1"/>
    <xf numFmtId="176" fontId="14" fillId="0" borderId="3" xfId="0" applyNumberFormat="1" applyFont="1" applyBorder="1" applyAlignment="1">
      <alignment vertical="center"/>
    </xf>
    <xf numFmtId="0" fontId="36" fillId="0" borderId="9" xfId="0" applyFont="1" applyFill="1" applyBorder="1" applyAlignment="1">
      <alignment horizontal="center" vertical="center"/>
    </xf>
    <xf numFmtId="0" fontId="36" fillId="0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7" fillId="0" borderId="9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38" fillId="0" borderId="8" xfId="0" applyFont="1" applyFill="1" applyBorder="1" applyAlignment="1">
      <alignment horizontal="left" vertical="center"/>
    </xf>
    <xf numFmtId="171" fontId="22" fillId="0" borderId="0" xfId="0" applyNumberFormat="1" applyFont="1" applyAlignment="1">
      <alignment wrapText="1"/>
    </xf>
    <xf numFmtId="0" fontId="0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0" fillId="0" borderId="3" xfId="0" applyFont="1" applyBorder="1" applyAlignment="1">
      <alignment vertical="top"/>
    </xf>
    <xf numFmtId="0" fontId="7" fillId="0" borderId="3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7" fillId="0" borderId="4" xfId="0" applyFont="1" applyBorder="1" applyAlignment="1">
      <alignment horizontal="center"/>
    </xf>
    <xf numFmtId="0" fontId="29" fillId="0" borderId="6" xfId="0" applyFont="1" applyBorder="1"/>
    <xf numFmtId="0" fontId="20" fillId="0" borderId="0" xfId="0" applyFont="1"/>
    <xf numFmtId="0" fontId="26" fillId="0" borderId="0" xfId="0" applyFont="1" applyAlignment="1">
      <alignment horizontal="right" vertical="center"/>
    </xf>
    <xf numFmtId="171" fontId="27" fillId="0" borderId="15" xfId="0" applyNumberFormat="1" applyFont="1" applyBorder="1" applyAlignment="1">
      <alignment vertical="center"/>
    </xf>
    <xf numFmtId="171" fontId="27" fillId="0" borderId="15" xfId="0" applyNumberFormat="1" applyFont="1" applyBorder="1" applyAlignment="1">
      <alignment horizontal="right" vertical="center"/>
    </xf>
    <xf numFmtId="171" fontId="27" fillId="0" borderId="15" xfId="3" applyNumberFormat="1" applyFont="1" applyBorder="1" applyAlignment="1">
      <alignment vertical="center"/>
    </xf>
    <xf numFmtId="0" fontId="35" fillId="4" borderId="15" xfId="0" applyFont="1" applyFill="1" applyBorder="1" applyAlignment="1">
      <alignment horizontal="left" vertical="center"/>
    </xf>
    <xf numFmtId="0" fontId="27" fillId="4" borderId="15" xfId="0" applyFont="1" applyFill="1" applyBorder="1" applyAlignment="1">
      <alignment horizontal="left" vertical="center"/>
    </xf>
    <xf numFmtId="182" fontId="27" fillId="4" borderId="15" xfId="0" applyNumberFormat="1" applyFont="1" applyFill="1" applyBorder="1" applyAlignment="1">
      <alignment vertical="center"/>
    </xf>
    <xf numFmtId="171" fontId="27" fillId="4" borderId="15" xfId="0" applyNumberFormat="1" applyFont="1" applyFill="1" applyBorder="1" applyAlignment="1">
      <alignment vertical="center"/>
    </xf>
    <xf numFmtId="171" fontId="27" fillId="4" borderId="15" xfId="0" applyNumberFormat="1" applyFont="1" applyFill="1" applyBorder="1" applyAlignment="1">
      <alignment horizontal="right" vertical="center"/>
    </xf>
    <xf numFmtId="171" fontId="27" fillId="4" borderId="15" xfId="3" applyNumberFormat="1" applyFont="1" applyFill="1" applyBorder="1" applyAlignment="1">
      <alignment vertical="center"/>
    </xf>
    <xf numFmtId="0" fontId="35" fillId="0" borderId="15" xfId="0" applyFont="1" applyBorder="1" applyAlignment="1">
      <alignment horizontal="left" vertical="center"/>
    </xf>
    <xf numFmtId="182" fontId="35" fillId="0" borderId="15" xfId="0" applyNumberFormat="1" applyFont="1" applyBorder="1" applyAlignment="1">
      <alignment vertical="center"/>
    </xf>
    <xf numFmtId="171" fontId="35" fillId="0" borderId="15" xfId="3" applyNumberFormat="1" applyFont="1" applyBorder="1" applyAlignment="1">
      <alignment vertical="center"/>
    </xf>
    <xf numFmtId="171" fontId="35" fillId="0" borderId="14" xfId="3" applyNumberFormat="1" applyFont="1" applyBorder="1" applyAlignment="1">
      <alignment vertical="center"/>
    </xf>
    <xf numFmtId="0" fontId="35" fillId="5" borderId="15" xfId="0" applyFont="1" applyFill="1" applyBorder="1" applyAlignment="1">
      <alignment horizontal="left" vertical="center"/>
    </xf>
    <xf numFmtId="0" fontId="27" fillId="5" borderId="15" xfId="0" applyFont="1" applyFill="1" applyBorder="1" applyAlignment="1">
      <alignment horizontal="left" vertical="center"/>
    </xf>
    <xf numFmtId="182" fontId="27" fillId="5" borderId="15" xfId="0" applyNumberFormat="1" applyFont="1" applyFill="1" applyBorder="1" applyAlignment="1">
      <alignment vertical="center"/>
    </xf>
    <xf numFmtId="171" fontId="27" fillId="5" borderId="15" xfId="0" applyNumberFormat="1" applyFont="1" applyFill="1" applyBorder="1" applyAlignment="1">
      <alignment vertical="center"/>
    </xf>
    <xf numFmtId="171" fontId="27" fillId="5" borderId="15" xfId="0" applyNumberFormat="1" applyFont="1" applyFill="1" applyBorder="1" applyAlignment="1">
      <alignment horizontal="right" vertical="center"/>
    </xf>
    <xf numFmtId="171" fontId="27" fillId="5" borderId="15" xfId="3" applyNumberFormat="1" applyFont="1" applyFill="1" applyBorder="1" applyAlignment="1">
      <alignment vertical="center"/>
    </xf>
    <xf numFmtId="180" fontId="27" fillId="0" borderId="15" xfId="0" applyNumberFormat="1" applyFont="1" applyBorder="1" applyAlignment="1">
      <alignment vertical="center"/>
    </xf>
    <xf numFmtId="0" fontId="35" fillId="0" borderId="0" xfId="0" applyFont="1" applyBorder="1" applyAlignment="1">
      <alignment horizontal="left" vertical="center"/>
    </xf>
    <xf numFmtId="182" fontId="35" fillId="0" borderId="0" xfId="0" applyNumberFormat="1" applyFont="1" applyBorder="1" applyAlignment="1">
      <alignment vertical="center"/>
    </xf>
    <xf numFmtId="171" fontId="35" fillId="0" borderId="0" xfId="0" applyNumberFormat="1" applyFont="1" applyBorder="1" applyAlignment="1">
      <alignment vertical="center"/>
    </xf>
    <xf numFmtId="171" fontId="35" fillId="0" borderId="0" xfId="0" applyNumberFormat="1" applyFont="1" applyBorder="1" applyAlignment="1">
      <alignment horizontal="right" vertical="center"/>
    </xf>
    <xf numFmtId="171" fontId="35" fillId="0" borderId="0" xfId="3" applyNumberFormat="1" applyFont="1" applyBorder="1" applyAlignment="1">
      <alignment vertical="center"/>
    </xf>
    <xf numFmtId="43" fontId="0" fillId="0" borderId="0" xfId="0" applyNumberFormat="1"/>
    <xf numFmtId="4" fontId="19" fillId="0" borderId="0" xfId="0" applyNumberFormat="1" applyFont="1"/>
    <xf numFmtId="174" fontId="27" fillId="0" borderId="15" xfId="0" applyNumberFormat="1" applyFont="1" applyBorder="1" applyAlignment="1">
      <alignment vertical="center"/>
    </xf>
    <xf numFmtId="0" fontId="28" fillId="0" borderId="5" xfId="0" applyFont="1" applyBorder="1" applyAlignment="1">
      <alignment horizontal="left" vertical="center"/>
    </xf>
    <xf numFmtId="0" fontId="28" fillId="0" borderId="5" xfId="0" applyFont="1" applyBorder="1" applyAlignment="1">
      <alignment horizontal="right" vertical="center"/>
    </xf>
    <xf numFmtId="0" fontId="28" fillId="0" borderId="0" xfId="0" applyFont="1" applyAlignment="1">
      <alignment horizontal="left" vertical="center"/>
    </xf>
    <xf numFmtId="171" fontId="39" fillId="0" borderId="0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7" fillId="0" borderId="0" xfId="0" applyFont="1" applyAlignment="1">
      <alignment vertical="center"/>
    </xf>
    <xf numFmtId="171" fontId="39" fillId="0" borderId="0" xfId="0" applyNumberFormat="1" applyFont="1" applyBorder="1" applyAlignment="1">
      <alignment horizontal="right" vertical="center"/>
    </xf>
    <xf numFmtId="176" fontId="19" fillId="0" borderId="0" xfId="0" applyNumberFormat="1" applyFont="1" applyBorder="1" applyAlignment="1">
      <alignment vertical="center"/>
    </xf>
    <xf numFmtId="2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176" fontId="19" fillId="0" borderId="3" xfId="0" applyNumberFormat="1" applyFont="1" applyBorder="1" applyAlignment="1">
      <alignment vertical="center"/>
    </xf>
    <xf numFmtId="2" fontId="19" fillId="0" borderId="0" xfId="0" applyNumberFormat="1" applyFont="1" applyFill="1" applyBorder="1" applyAlignment="1">
      <alignment vertical="center"/>
    </xf>
    <xf numFmtId="4" fontId="19" fillId="0" borderId="0" xfId="0" applyNumberFormat="1" applyFont="1" applyFill="1" applyBorder="1" applyAlignment="1">
      <alignment vertical="center"/>
    </xf>
    <xf numFmtId="0" fontId="19" fillId="0" borderId="0" xfId="0" applyFont="1" applyFill="1" applyAlignment="1">
      <alignment vertical="center"/>
    </xf>
    <xf numFmtId="0" fontId="19" fillId="0" borderId="0" xfId="0" applyFont="1" applyBorder="1" applyAlignment="1">
      <alignment vertical="center"/>
    </xf>
    <xf numFmtId="2" fontId="40" fillId="0" borderId="0" xfId="0" applyNumberFormat="1" applyFont="1" applyFill="1" applyBorder="1" applyAlignment="1">
      <alignment vertical="center"/>
    </xf>
    <xf numFmtId="4" fontId="40" fillId="0" borderId="0" xfId="0" applyNumberFormat="1" applyFont="1" applyFill="1" applyBorder="1" applyAlignment="1">
      <alignment vertical="center"/>
    </xf>
    <xf numFmtId="0" fontId="40" fillId="0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182" fontId="10" fillId="0" borderId="0" xfId="0" applyNumberFormat="1" applyFont="1" applyBorder="1" applyAlignment="1">
      <alignment vertical="center"/>
    </xf>
    <xf numFmtId="177" fontId="41" fillId="0" borderId="0" xfId="0" applyNumberFormat="1" applyFont="1" applyFill="1" applyBorder="1" applyAlignment="1">
      <alignment vertical="center"/>
    </xf>
    <xf numFmtId="177" fontId="14" fillId="0" borderId="0" xfId="0" applyNumberFormat="1" applyFont="1" applyFill="1" applyBorder="1" applyAlignment="1">
      <alignment vertical="center"/>
    </xf>
    <xf numFmtId="177" fontId="42" fillId="0" borderId="0" xfId="0" applyNumberFormat="1" applyFont="1" applyFill="1" applyBorder="1" applyAlignment="1">
      <alignment vertical="center"/>
    </xf>
    <xf numFmtId="177" fontId="43" fillId="0" borderId="0" xfId="0" applyNumberFormat="1" applyFont="1" applyFill="1" applyBorder="1" applyAlignment="1">
      <alignment vertical="center"/>
    </xf>
    <xf numFmtId="0" fontId="20" fillId="0" borderId="0" xfId="0" applyFont="1" applyBorder="1" applyAlignment="1"/>
    <xf numFmtId="176" fontId="19" fillId="0" borderId="0" xfId="0" applyNumberFormat="1" applyFont="1" applyBorder="1"/>
    <xf numFmtId="2" fontId="33" fillId="0" borderId="6" xfId="3" applyNumberFormat="1" applyFont="1" applyFill="1" applyBorder="1" applyAlignment="1">
      <alignment horizontal="right" vertical="center"/>
    </xf>
    <xf numFmtId="2" fontId="33" fillId="0" borderId="2" xfId="3" applyNumberFormat="1" applyFont="1" applyFill="1" applyBorder="1" applyAlignment="1">
      <alignment horizontal="right" vertical="center"/>
    </xf>
    <xf numFmtId="0" fontId="0" fillId="0" borderId="0" xfId="0" applyFill="1" applyBorder="1" applyAlignment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/>
    <xf numFmtId="0" fontId="26" fillId="0" borderId="0" xfId="0" applyFont="1" applyAlignment="1">
      <alignment horizontal="right" vertical="center"/>
    </xf>
    <xf numFmtId="0" fontId="0" fillId="0" borderId="0" xfId="0"/>
    <xf numFmtId="0" fontId="0" fillId="0" borderId="0" xfId="0"/>
    <xf numFmtId="0" fontId="26" fillId="0" borderId="0" xfId="0" applyFont="1" applyAlignment="1">
      <alignment horizontal="right" vertical="center"/>
    </xf>
    <xf numFmtId="182" fontId="27" fillId="0" borderId="15" xfId="0" applyNumberFormat="1" applyFont="1" applyBorder="1" applyAlignment="1">
      <alignment vertical="center"/>
    </xf>
    <xf numFmtId="182" fontId="35" fillId="5" borderId="15" xfId="0" applyNumberFormat="1" applyFont="1" applyFill="1" applyBorder="1" applyAlignment="1">
      <alignment vertical="center"/>
    </xf>
    <xf numFmtId="171" fontId="35" fillId="5" borderId="15" xfId="0" applyNumberFormat="1" applyFont="1" applyFill="1" applyBorder="1" applyAlignment="1">
      <alignment vertical="center"/>
    </xf>
    <xf numFmtId="171" fontId="35" fillId="5" borderId="15" xfId="0" applyNumberFormat="1" applyFont="1" applyFill="1" applyBorder="1" applyAlignment="1">
      <alignment horizontal="right" vertical="center"/>
    </xf>
    <xf numFmtId="171" fontId="35" fillId="5" borderId="15" xfId="3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4" fontId="44" fillId="0" borderId="0" xfId="1" applyNumberFormat="1" applyFont="1" applyAlignment="1">
      <alignment vertical="center"/>
    </xf>
    <xf numFmtId="0" fontId="0" fillId="0" borderId="14" xfId="0" applyBorder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4" fontId="0" fillId="0" borderId="0" xfId="0" applyNumberFormat="1"/>
    <xf numFmtId="0" fontId="13" fillId="3" borderId="8" xfId="0" applyFont="1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31" fillId="3" borderId="9" xfId="0" applyFont="1" applyFill="1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29" fillId="0" borderId="11" xfId="0" applyFont="1" applyBorder="1" applyAlignment="1">
      <alignment vertical="center" wrapText="1"/>
    </xf>
    <xf numFmtId="0" fontId="0" fillId="0" borderId="0" xfId="0" applyAlignment="1">
      <alignment vertical="top"/>
    </xf>
    <xf numFmtId="0" fontId="0" fillId="0" borderId="4" xfId="0" applyBorder="1"/>
    <xf numFmtId="0" fontId="0" fillId="0" borderId="6" xfId="0" applyBorder="1"/>
    <xf numFmtId="0" fontId="37" fillId="0" borderId="8" xfId="0" applyFont="1" applyBorder="1" applyAlignment="1">
      <alignment horizontal="left" vertical="center"/>
    </xf>
    <xf numFmtId="0" fontId="37" fillId="0" borderId="9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8" fillId="0" borderId="8" xfId="0" applyFont="1" applyBorder="1" applyAlignment="1">
      <alignment horizontal="left" vertical="center"/>
    </xf>
    <xf numFmtId="0" fontId="36" fillId="0" borderId="9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27" fillId="0" borderId="15" xfId="0" applyFont="1" applyBorder="1" applyAlignment="1">
      <alignment horizontal="left" vertical="center"/>
    </xf>
    <xf numFmtId="176" fontId="45" fillId="0" borderId="0" xfId="0" applyNumberFormat="1" applyFont="1" applyBorder="1"/>
    <xf numFmtId="0" fontId="0" fillId="0" borderId="10" xfId="0" applyBorder="1" applyAlignment="1">
      <alignment horizontal="left"/>
    </xf>
    <xf numFmtId="2" fontId="33" fillId="0" borderId="11" xfId="3" applyNumberFormat="1" applyFont="1" applyFill="1" applyBorder="1" applyAlignment="1">
      <alignment horizontal="right" vertical="center"/>
    </xf>
    <xf numFmtId="0" fontId="46" fillId="7" borderId="16" xfId="0" applyFont="1" applyFill="1" applyBorder="1" applyAlignment="1">
      <alignment horizontal="center" vertical="center"/>
    </xf>
    <xf numFmtId="174" fontId="46" fillId="7" borderId="16" xfId="0" applyNumberFormat="1" applyFont="1" applyFill="1" applyBorder="1" applyAlignment="1">
      <alignment horizontal="center" vertical="center"/>
    </xf>
    <xf numFmtId="180" fontId="46" fillId="7" borderId="16" xfId="0" applyNumberFormat="1" applyFont="1" applyFill="1" applyBorder="1" applyAlignment="1">
      <alignment horizontal="center" vertical="center" wrapText="1"/>
    </xf>
    <xf numFmtId="171" fontId="46" fillId="7" borderId="16" xfId="0" applyNumberFormat="1" applyFont="1" applyFill="1" applyBorder="1" applyAlignment="1">
      <alignment horizontal="center" vertical="center" wrapText="1"/>
    </xf>
    <xf numFmtId="171" fontId="35" fillId="0" borderId="7" xfId="0" applyNumberFormat="1" applyFont="1" applyBorder="1" applyAlignment="1">
      <alignment vertical="center"/>
    </xf>
    <xf numFmtId="171" fontId="35" fillId="0" borderId="7" xfId="0" applyNumberFormat="1" applyFont="1" applyBorder="1" applyAlignment="1">
      <alignment horizontal="right" vertical="center"/>
    </xf>
    <xf numFmtId="171" fontId="27" fillId="0" borderId="7" xfId="0" applyNumberFormat="1" applyFont="1" applyBorder="1" applyAlignment="1">
      <alignment horizontal="right" vertical="center"/>
    </xf>
    <xf numFmtId="0" fontId="35" fillId="0" borderId="8" xfId="0" applyFont="1" applyBorder="1" applyAlignment="1">
      <alignment horizontal="left" vertical="center"/>
    </xf>
    <xf numFmtId="0" fontId="35" fillId="0" borderId="9" xfId="0" applyFont="1" applyBorder="1" applyAlignment="1">
      <alignment horizontal="left" vertical="center"/>
    </xf>
    <xf numFmtId="182" fontId="35" fillId="0" borderId="12" xfId="0" applyNumberFormat="1" applyFont="1" applyBorder="1" applyAlignment="1">
      <alignment vertical="center"/>
    </xf>
    <xf numFmtId="180" fontId="35" fillId="0" borderId="7" xfId="0" applyNumberFormat="1" applyFont="1" applyBorder="1" applyAlignment="1">
      <alignment vertical="center"/>
    </xf>
    <xf numFmtId="0" fontId="27" fillId="0" borderId="9" xfId="0" applyFont="1" applyBorder="1" applyAlignment="1">
      <alignment horizontal="left" vertical="center"/>
    </xf>
    <xf numFmtId="182" fontId="27" fillId="0" borderId="12" xfId="0" applyNumberFormat="1" applyFont="1" applyBorder="1" applyAlignment="1">
      <alignment vertical="center"/>
    </xf>
    <xf numFmtId="0" fontId="47" fillId="0" borderId="0" xfId="0" applyFont="1" applyAlignment="1">
      <alignment vertical="center"/>
    </xf>
    <xf numFmtId="0" fontId="2" fillId="6" borderId="0" xfId="0" applyFont="1" applyFill="1" applyAlignment="1">
      <alignment horizontal="center"/>
    </xf>
    <xf numFmtId="0" fontId="31" fillId="3" borderId="8" xfId="0" applyFont="1" applyFill="1" applyBorder="1" applyAlignment="1">
      <alignment horizontal="center" vertical="center"/>
    </xf>
    <xf numFmtId="0" fontId="31" fillId="3" borderId="9" xfId="0" applyFont="1" applyFill="1" applyBorder="1" applyAlignment="1">
      <alignment horizontal="center" vertical="center"/>
    </xf>
    <xf numFmtId="0" fontId="31" fillId="3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0" borderId="4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29" fillId="0" borderId="3" xfId="0" applyFont="1" applyBorder="1" applyAlignment="1">
      <alignment horizontal="center" vertical="top"/>
    </xf>
    <xf numFmtId="0" fontId="29" fillId="0" borderId="2" xfId="0" applyFont="1" applyBorder="1" applyAlignment="1">
      <alignment horizontal="center" vertical="top"/>
    </xf>
    <xf numFmtId="0" fontId="29" fillId="0" borderId="0" xfId="0" applyFont="1" applyBorder="1" applyAlignment="1">
      <alignment horizontal="center" vertical="top"/>
    </xf>
    <xf numFmtId="0" fontId="2" fillId="6" borderId="0" xfId="0" applyFont="1" applyFill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6" fillId="0" borderId="8" xfId="0" applyFont="1" applyFill="1" applyBorder="1" applyAlignment="1">
      <alignment horizontal="center" vertical="center"/>
    </xf>
    <xf numFmtId="0" fontId="36" fillId="0" borderId="9" xfId="0" applyFont="1" applyFill="1" applyBorder="1" applyAlignment="1">
      <alignment horizontal="center" vertical="center"/>
    </xf>
    <xf numFmtId="0" fontId="36" fillId="0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wrapText="1"/>
    </xf>
    <xf numFmtId="0" fontId="29" fillId="0" borderId="6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4">
    <cellStyle name="Hyperlink" xfId="1" builtinId="8"/>
    <cellStyle name="Normal" xfId="0" builtinId="0"/>
    <cellStyle name="Normal 2" xfId="2" xr:uid="{95951C5D-0E93-4BAC-BED6-BAC19AFA72AB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4</xdr:row>
      <xdr:rowOff>190500</xdr:rowOff>
    </xdr:from>
    <xdr:to>
      <xdr:col>4</xdr:col>
      <xdr:colOff>1609725</xdr:colOff>
      <xdr:row>10</xdr:row>
      <xdr:rowOff>9525</xdr:rowOff>
    </xdr:to>
    <xdr:pic>
      <xdr:nvPicPr>
        <xdr:cNvPr id="385052" name="Picture 4">
          <a:extLst>
            <a:ext uri="{FF2B5EF4-FFF2-40B4-BE49-F238E27FC236}">
              <a16:creationId xmlns:a16="http://schemas.microsoft.com/office/drawing/2014/main" id="{7B4A0644-ADEC-1D4B-2D8D-7A0091D3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1095375"/>
          <a:ext cx="3552825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180975</xdr:colOff>
      <xdr:row>4</xdr:row>
      <xdr:rowOff>285750</xdr:rowOff>
    </xdr:from>
    <xdr:to>
      <xdr:col>7</xdr:col>
      <xdr:colOff>561975</xdr:colOff>
      <xdr:row>10</xdr:row>
      <xdr:rowOff>0</xdr:rowOff>
    </xdr:to>
    <xdr:pic>
      <xdr:nvPicPr>
        <xdr:cNvPr id="385053" name="Picture 1">
          <a:extLst>
            <a:ext uri="{FF2B5EF4-FFF2-40B4-BE49-F238E27FC236}">
              <a16:creationId xmlns:a16="http://schemas.microsoft.com/office/drawing/2014/main" id="{1A3CC487-4BE9-0921-D6B2-2331F3B0C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4950" y="1190625"/>
          <a:ext cx="332422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4</xdr:row>
      <xdr:rowOff>171450</xdr:rowOff>
    </xdr:from>
    <xdr:to>
      <xdr:col>7</xdr:col>
      <xdr:colOff>685800</xdr:colOff>
      <xdr:row>11</xdr:row>
      <xdr:rowOff>0</xdr:rowOff>
    </xdr:to>
    <xdr:pic>
      <xdr:nvPicPr>
        <xdr:cNvPr id="386076" name="Picture 4">
          <a:extLst>
            <a:ext uri="{FF2B5EF4-FFF2-40B4-BE49-F238E27FC236}">
              <a16:creationId xmlns:a16="http://schemas.microsoft.com/office/drawing/2014/main" id="{4AA7830A-8159-B44B-3546-370466298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5450" y="1057275"/>
          <a:ext cx="3343275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590550</xdr:colOff>
      <xdr:row>4</xdr:row>
      <xdr:rowOff>180975</xdr:rowOff>
    </xdr:from>
    <xdr:to>
      <xdr:col>4</xdr:col>
      <xdr:colOff>1895475</xdr:colOff>
      <xdr:row>11</xdr:row>
      <xdr:rowOff>9525</xdr:rowOff>
    </xdr:to>
    <xdr:pic>
      <xdr:nvPicPr>
        <xdr:cNvPr id="386077" name="Picture 5">
          <a:extLst>
            <a:ext uri="{FF2B5EF4-FFF2-40B4-BE49-F238E27FC236}">
              <a16:creationId xmlns:a16="http://schemas.microsoft.com/office/drawing/2014/main" id="{88246A42-614B-83E2-78CA-4671913F0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1066800"/>
          <a:ext cx="3343275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4</xdr:row>
      <xdr:rowOff>142875</xdr:rowOff>
    </xdr:from>
    <xdr:to>
      <xdr:col>4</xdr:col>
      <xdr:colOff>1562100</xdr:colOff>
      <xdr:row>10</xdr:row>
      <xdr:rowOff>276225</xdr:rowOff>
    </xdr:to>
    <xdr:pic>
      <xdr:nvPicPr>
        <xdr:cNvPr id="387100" name="Picture 3">
          <a:extLst>
            <a:ext uri="{FF2B5EF4-FFF2-40B4-BE49-F238E27FC236}">
              <a16:creationId xmlns:a16="http://schemas.microsoft.com/office/drawing/2014/main" id="{3AA3C042-0B7C-8957-68B5-269D5BA67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1028700"/>
          <a:ext cx="3552825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85725</xdr:colOff>
      <xdr:row>4</xdr:row>
      <xdr:rowOff>152400</xdr:rowOff>
    </xdr:from>
    <xdr:to>
      <xdr:col>7</xdr:col>
      <xdr:colOff>600075</xdr:colOff>
      <xdr:row>10</xdr:row>
      <xdr:rowOff>285750</xdr:rowOff>
    </xdr:to>
    <xdr:pic>
      <xdr:nvPicPr>
        <xdr:cNvPr id="387101" name="Picture 4">
          <a:extLst>
            <a:ext uri="{FF2B5EF4-FFF2-40B4-BE49-F238E27FC236}">
              <a16:creationId xmlns:a16="http://schemas.microsoft.com/office/drawing/2014/main" id="{AE8CE4ED-E35A-8F6E-A2BC-3D354B9A1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9725" y="1038225"/>
          <a:ext cx="3552825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142875</xdr:colOff>
      <xdr:row>4</xdr:row>
      <xdr:rowOff>95250</xdr:rowOff>
    </xdr:from>
    <xdr:to>
      <xdr:col>4</xdr:col>
      <xdr:colOff>1714500</xdr:colOff>
      <xdr:row>9</xdr:row>
      <xdr:rowOff>295275</xdr:rowOff>
    </xdr:to>
    <xdr:pic>
      <xdr:nvPicPr>
        <xdr:cNvPr id="388124" name="Picture 3">
          <a:extLst>
            <a:ext uri="{FF2B5EF4-FFF2-40B4-BE49-F238E27FC236}">
              <a16:creationId xmlns:a16="http://schemas.microsoft.com/office/drawing/2014/main" id="{3999EF0A-0767-A674-7F14-737BF8C83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981075"/>
          <a:ext cx="3552825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57150</xdr:colOff>
      <xdr:row>5</xdr:row>
      <xdr:rowOff>0</xdr:rowOff>
    </xdr:from>
    <xdr:to>
      <xdr:col>7</xdr:col>
      <xdr:colOff>638175</xdr:colOff>
      <xdr:row>9</xdr:row>
      <xdr:rowOff>295275</xdr:rowOff>
    </xdr:to>
    <xdr:pic>
      <xdr:nvPicPr>
        <xdr:cNvPr id="388125" name="Picture 1">
          <a:extLst>
            <a:ext uri="{FF2B5EF4-FFF2-40B4-BE49-F238E27FC236}">
              <a16:creationId xmlns:a16="http://schemas.microsoft.com/office/drawing/2014/main" id="{42C5E222-45B9-D870-53C9-6B824307D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1085850"/>
          <a:ext cx="332422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5</xdr:row>
      <xdr:rowOff>66675</xdr:rowOff>
    </xdr:from>
    <xdr:to>
      <xdr:col>7</xdr:col>
      <xdr:colOff>619125</xdr:colOff>
      <xdr:row>8</xdr:row>
      <xdr:rowOff>457200</xdr:rowOff>
    </xdr:to>
    <xdr:pic>
      <xdr:nvPicPr>
        <xdr:cNvPr id="389148" name="Picture 4">
          <a:extLst>
            <a:ext uri="{FF2B5EF4-FFF2-40B4-BE49-F238E27FC236}">
              <a16:creationId xmlns:a16="http://schemas.microsoft.com/office/drawing/2014/main" id="{6E33FA22-91DB-6F24-EFB0-B641E7475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1152525"/>
          <a:ext cx="3076575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238125</xdr:colOff>
      <xdr:row>5</xdr:row>
      <xdr:rowOff>28575</xdr:rowOff>
    </xdr:from>
    <xdr:to>
      <xdr:col>4</xdr:col>
      <xdr:colOff>1495425</xdr:colOff>
      <xdr:row>8</xdr:row>
      <xdr:rowOff>419100</xdr:rowOff>
    </xdr:to>
    <xdr:pic>
      <xdr:nvPicPr>
        <xdr:cNvPr id="389149" name="Picture 5">
          <a:extLst>
            <a:ext uri="{FF2B5EF4-FFF2-40B4-BE49-F238E27FC236}">
              <a16:creationId xmlns:a16="http://schemas.microsoft.com/office/drawing/2014/main" id="{342F86D0-346C-762F-EAE0-C562D803E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1114425"/>
          <a:ext cx="3076575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5</xdr:row>
      <xdr:rowOff>85725</xdr:rowOff>
    </xdr:from>
    <xdr:to>
      <xdr:col>7</xdr:col>
      <xdr:colOff>552450</xdr:colOff>
      <xdr:row>8</xdr:row>
      <xdr:rowOff>257175</xdr:rowOff>
    </xdr:to>
    <xdr:pic>
      <xdr:nvPicPr>
        <xdr:cNvPr id="390172" name="Picture 4">
          <a:extLst>
            <a:ext uri="{FF2B5EF4-FFF2-40B4-BE49-F238E27FC236}">
              <a16:creationId xmlns:a16="http://schemas.microsoft.com/office/drawing/2014/main" id="{CBCF6CC5-B329-04AE-6B61-8A8EB9EA9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0" y="1171575"/>
          <a:ext cx="3076575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209550</xdr:colOff>
      <xdr:row>5</xdr:row>
      <xdr:rowOff>66675</xdr:rowOff>
    </xdr:from>
    <xdr:to>
      <xdr:col>4</xdr:col>
      <xdr:colOff>1466850</xdr:colOff>
      <xdr:row>8</xdr:row>
      <xdr:rowOff>238125</xdr:rowOff>
    </xdr:to>
    <xdr:pic>
      <xdr:nvPicPr>
        <xdr:cNvPr id="390173" name="Picture 5">
          <a:extLst>
            <a:ext uri="{FF2B5EF4-FFF2-40B4-BE49-F238E27FC236}">
              <a16:creationId xmlns:a16="http://schemas.microsoft.com/office/drawing/2014/main" id="{9A6ACC8E-6199-E319-EC64-B4C86F678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1152525"/>
          <a:ext cx="3076575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772795</xdr:colOff>
      <xdr:row>15</xdr:row>
      <xdr:rowOff>115569</xdr:rowOff>
    </xdr:from>
    <xdr:to>
      <xdr:col>1</xdr:col>
      <xdr:colOff>954644</xdr:colOff>
      <xdr:row>15</xdr:row>
      <xdr:rowOff>115570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9E61A18-4C5E-AFDF-BC63-AF15BEAE483B}"/>
            </a:ext>
          </a:extLst>
        </xdr:cNvPr>
        <xdr:cNvCxnSpPr/>
      </xdr:nvCxnSpPr>
      <xdr:spPr>
        <a:xfrm>
          <a:off x="1447800" y="4752974"/>
          <a:ext cx="216000" cy="1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1147921</xdr:colOff>
      <xdr:row>16</xdr:row>
      <xdr:rowOff>7780</xdr:rowOff>
    </xdr:from>
    <xdr:to>
      <xdr:col>1</xdr:col>
      <xdr:colOff>1149509</xdr:colOff>
      <xdr:row>16</xdr:row>
      <xdr:rowOff>162713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CB9E0DE-B10A-CDFF-F4CB-472B84C88CA8}"/>
            </a:ext>
          </a:extLst>
        </xdr:cNvPr>
        <xdr:cNvCxnSpPr/>
      </xdr:nvCxnSpPr>
      <xdr:spPr>
        <a:xfrm rot="5400000">
          <a:off x="1766325" y="4948801"/>
          <a:ext cx="144000" cy="1588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114300</xdr:colOff>
      <xdr:row>5</xdr:row>
      <xdr:rowOff>0</xdr:rowOff>
    </xdr:from>
    <xdr:to>
      <xdr:col>7</xdr:col>
      <xdr:colOff>990600</xdr:colOff>
      <xdr:row>10</xdr:row>
      <xdr:rowOff>276225</xdr:rowOff>
    </xdr:to>
    <xdr:pic>
      <xdr:nvPicPr>
        <xdr:cNvPr id="391226" name="Picture 7">
          <a:extLst>
            <a:ext uri="{FF2B5EF4-FFF2-40B4-BE49-F238E27FC236}">
              <a16:creationId xmlns:a16="http://schemas.microsoft.com/office/drawing/2014/main" id="{8A60641F-B0CA-0351-E1EE-021EA10C2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6475" y="1152525"/>
          <a:ext cx="284797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323850</xdr:colOff>
      <xdr:row>4</xdr:row>
      <xdr:rowOff>171450</xdr:rowOff>
    </xdr:from>
    <xdr:to>
      <xdr:col>5</xdr:col>
      <xdr:colOff>1647825</xdr:colOff>
      <xdr:row>10</xdr:row>
      <xdr:rowOff>247650</xdr:rowOff>
    </xdr:to>
    <xdr:pic>
      <xdr:nvPicPr>
        <xdr:cNvPr id="391227" name="Picture 8">
          <a:extLst>
            <a:ext uri="{FF2B5EF4-FFF2-40B4-BE49-F238E27FC236}">
              <a16:creationId xmlns:a16="http://schemas.microsoft.com/office/drawing/2014/main" id="{A885FFDF-9B1F-0BD9-9701-3D4609D8A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8925" y="1123950"/>
          <a:ext cx="284797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773430</xdr:colOff>
      <xdr:row>15</xdr:row>
      <xdr:rowOff>104774</xdr:rowOff>
    </xdr:from>
    <xdr:to>
      <xdr:col>2</xdr:col>
      <xdr:colOff>961543</xdr:colOff>
      <xdr:row>15</xdr:row>
      <xdr:rowOff>104775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09E857B-5909-4B2F-A842-541BB8C1E092}"/>
            </a:ext>
          </a:extLst>
        </xdr:cNvPr>
        <xdr:cNvCxnSpPr/>
      </xdr:nvCxnSpPr>
      <xdr:spPr>
        <a:xfrm>
          <a:off x="3848100" y="4086224"/>
          <a:ext cx="216000" cy="1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1153001</xdr:colOff>
      <xdr:row>16</xdr:row>
      <xdr:rowOff>7780</xdr:rowOff>
    </xdr:from>
    <xdr:to>
      <xdr:col>2</xdr:col>
      <xdr:colOff>1154589</xdr:colOff>
      <xdr:row>16</xdr:row>
      <xdr:rowOff>164693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7919DD9-553D-7F76-E99C-541B2E30A4F2}"/>
            </a:ext>
          </a:extLst>
        </xdr:cNvPr>
        <xdr:cNvCxnSpPr/>
      </xdr:nvCxnSpPr>
      <xdr:spPr>
        <a:xfrm rot="5400000">
          <a:off x="4166625" y="4272526"/>
          <a:ext cx="144000" cy="1588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95250</xdr:colOff>
      <xdr:row>5</xdr:row>
      <xdr:rowOff>161925</xdr:rowOff>
    </xdr:from>
    <xdr:to>
      <xdr:col>7</xdr:col>
      <xdr:colOff>923925</xdr:colOff>
      <xdr:row>10</xdr:row>
      <xdr:rowOff>504825</xdr:rowOff>
    </xdr:to>
    <xdr:pic>
      <xdr:nvPicPr>
        <xdr:cNvPr id="392250" name="Picture 5">
          <a:extLst>
            <a:ext uri="{FF2B5EF4-FFF2-40B4-BE49-F238E27FC236}">
              <a16:creationId xmlns:a16="http://schemas.microsoft.com/office/drawing/2014/main" id="{4B4216C2-1323-9DAD-5A99-085B4065A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1362075"/>
          <a:ext cx="284797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228600</xdr:colOff>
      <xdr:row>5</xdr:row>
      <xdr:rowOff>152400</xdr:rowOff>
    </xdr:from>
    <xdr:to>
      <xdr:col>5</xdr:col>
      <xdr:colOff>1495425</xdr:colOff>
      <xdr:row>10</xdr:row>
      <xdr:rowOff>495300</xdr:rowOff>
    </xdr:to>
    <xdr:pic>
      <xdr:nvPicPr>
        <xdr:cNvPr id="392251" name="Picture 6">
          <a:extLst>
            <a:ext uri="{FF2B5EF4-FFF2-40B4-BE49-F238E27FC236}">
              <a16:creationId xmlns:a16="http://schemas.microsoft.com/office/drawing/2014/main" id="{132B7B45-A551-71B7-C228-44AC2E1DF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1352550"/>
          <a:ext cx="284797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773430</xdr:colOff>
      <xdr:row>15</xdr:row>
      <xdr:rowOff>104774</xdr:rowOff>
    </xdr:from>
    <xdr:to>
      <xdr:col>2</xdr:col>
      <xdr:colOff>961543</xdr:colOff>
      <xdr:row>15</xdr:row>
      <xdr:rowOff>104775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A5B42E9-B233-2621-8BB0-F8E8AE1D515A}"/>
            </a:ext>
          </a:extLst>
        </xdr:cNvPr>
        <xdr:cNvCxnSpPr/>
      </xdr:nvCxnSpPr>
      <xdr:spPr>
        <a:xfrm>
          <a:off x="3848100" y="4171949"/>
          <a:ext cx="216000" cy="1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1154906</xdr:colOff>
      <xdr:row>16</xdr:row>
      <xdr:rowOff>7780</xdr:rowOff>
    </xdr:from>
    <xdr:to>
      <xdr:col>2</xdr:col>
      <xdr:colOff>1156494</xdr:colOff>
      <xdr:row>16</xdr:row>
      <xdr:rowOff>164693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C99FA7E-4C72-DFCF-88C9-FE36BFD784E6}"/>
            </a:ext>
          </a:extLst>
        </xdr:cNvPr>
        <xdr:cNvCxnSpPr/>
      </xdr:nvCxnSpPr>
      <xdr:spPr>
        <a:xfrm rot="5400000">
          <a:off x="4166625" y="4358251"/>
          <a:ext cx="144000" cy="1588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104775</xdr:colOff>
      <xdr:row>4</xdr:row>
      <xdr:rowOff>161925</xdr:rowOff>
    </xdr:from>
    <xdr:to>
      <xdr:col>7</xdr:col>
      <xdr:colOff>1143000</xdr:colOff>
      <xdr:row>10</xdr:row>
      <xdr:rowOff>266700</xdr:rowOff>
    </xdr:to>
    <xdr:pic>
      <xdr:nvPicPr>
        <xdr:cNvPr id="393274" name="Picture 1">
          <a:extLst>
            <a:ext uri="{FF2B5EF4-FFF2-40B4-BE49-F238E27FC236}">
              <a16:creationId xmlns:a16="http://schemas.microsoft.com/office/drawing/2014/main" id="{771CC84F-0C51-6D81-14E6-D9A7D04A2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2225" y="1047750"/>
          <a:ext cx="3124200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200025</xdr:colOff>
      <xdr:row>4</xdr:row>
      <xdr:rowOff>152400</xdr:rowOff>
    </xdr:from>
    <xdr:to>
      <xdr:col>5</xdr:col>
      <xdr:colOff>1438275</xdr:colOff>
      <xdr:row>10</xdr:row>
      <xdr:rowOff>257175</xdr:rowOff>
    </xdr:to>
    <xdr:pic>
      <xdr:nvPicPr>
        <xdr:cNvPr id="393275" name="Picture 6">
          <a:extLst>
            <a:ext uri="{FF2B5EF4-FFF2-40B4-BE49-F238E27FC236}">
              <a16:creationId xmlns:a16="http://schemas.microsoft.com/office/drawing/2014/main" id="{9DD4A032-5B1E-E5E1-7E15-7662E3158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7475" y="1038225"/>
          <a:ext cx="3124200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775335</xdr:colOff>
      <xdr:row>15</xdr:row>
      <xdr:rowOff>104774</xdr:rowOff>
    </xdr:from>
    <xdr:to>
      <xdr:col>2</xdr:col>
      <xdr:colOff>996664</xdr:colOff>
      <xdr:row>15</xdr:row>
      <xdr:rowOff>104775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A49E8EF-B175-2A49-3407-6CFBEE880533}"/>
            </a:ext>
          </a:extLst>
        </xdr:cNvPr>
        <xdr:cNvCxnSpPr/>
      </xdr:nvCxnSpPr>
      <xdr:spPr>
        <a:xfrm>
          <a:off x="4474845" y="3486149"/>
          <a:ext cx="221101" cy="1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1149191</xdr:colOff>
      <xdr:row>16</xdr:row>
      <xdr:rowOff>7780</xdr:rowOff>
    </xdr:from>
    <xdr:to>
      <xdr:col>2</xdr:col>
      <xdr:colOff>1150779</xdr:colOff>
      <xdr:row>16</xdr:row>
      <xdr:rowOff>162624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1C73BA4-CA6E-2FB7-D049-AD0996A461DB}"/>
            </a:ext>
          </a:extLst>
        </xdr:cNvPr>
        <xdr:cNvCxnSpPr/>
      </xdr:nvCxnSpPr>
      <xdr:spPr>
        <a:xfrm rot="5400000">
          <a:off x="4774396" y="3659675"/>
          <a:ext cx="161628" cy="1588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104775</xdr:colOff>
      <xdr:row>4</xdr:row>
      <xdr:rowOff>161925</xdr:rowOff>
    </xdr:from>
    <xdr:to>
      <xdr:col>7</xdr:col>
      <xdr:colOff>962025</xdr:colOff>
      <xdr:row>10</xdr:row>
      <xdr:rowOff>266700</xdr:rowOff>
    </xdr:to>
    <xdr:pic>
      <xdr:nvPicPr>
        <xdr:cNvPr id="394298" name="Picture 1">
          <a:extLst>
            <a:ext uri="{FF2B5EF4-FFF2-40B4-BE49-F238E27FC236}">
              <a16:creationId xmlns:a16="http://schemas.microsoft.com/office/drawing/2014/main" id="{A687B2F4-4950-A091-32A6-355980AAC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5600" y="1047750"/>
          <a:ext cx="3124200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200025</xdr:colOff>
      <xdr:row>4</xdr:row>
      <xdr:rowOff>152400</xdr:rowOff>
    </xdr:from>
    <xdr:to>
      <xdr:col>5</xdr:col>
      <xdr:colOff>1466850</xdr:colOff>
      <xdr:row>10</xdr:row>
      <xdr:rowOff>257175</xdr:rowOff>
    </xdr:to>
    <xdr:pic>
      <xdr:nvPicPr>
        <xdr:cNvPr id="394299" name="Picture 6">
          <a:extLst>
            <a:ext uri="{FF2B5EF4-FFF2-40B4-BE49-F238E27FC236}">
              <a16:creationId xmlns:a16="http://schemas.microsoft.com/office/drawing/2014/main" id="{8E4D1E71-657A-F66F-05D1-7CBCFC070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2275" y="1038225"/>
          <a:ext cx="3124200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hriramamc.in/scheme-performanc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hriramamc.in/scheme-performanc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hriramamc.in/scheme-performanc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hriramamc.in/scheme-performance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hriramamc.in/scheme-performance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shriramamc.in/scheme-performance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shriramamc.in/scheme-performance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shriramamc.in/scheme-performance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shriramamc.in/scheme-performance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shriramamc.in/scheme-perform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E35C-B16D-45A5-BD0F-7B83BA91ABDC}">
  <sheetPr codeName="Sheet1"/>
  <dimension ref="A1:M213"/>
  <sheetViews>
    <sheetView showGridLines="0" tabSelected="1" zoomScaleNormal="100" workbookViewId="0"/>
  </sheetViews>
  <sheetFormatPr defaultColWidth="17.7109375" defaultRowHeight="15" x14ac:dyDescent="0.25"/>
  <cols>
    <col min="1" max="1" width="4.5703125" customWidth="1"/>
    <col min="2" max="2" width="49.140625" customWidth="1"/>
    <col min="3" max="3" width="22.85546875" customWidth="1"/>
    <col min="4" max="4" width="32" customWidth="1"/>
    <col min="5" max="5" width="25.5703125" customWidth="1"/>
    <col min="6" max="6" width="23.42578125" customWidth="1"/>
    <col min="7" max="7" width="20.7109375" customWidth="1"/>
    <col min="8" max="8" width="11" customWidth="1"/>
    <col min="9" max="9" width="17.28515625" customWidth="1"/>
    <col min="10" max="10" width="19" bestFit="1" customWidth="1"/>
    <col min="16" max="16" width="22.5703125" bestFit="1" customWidth="1"/>
  </cols>
  <sheetData>
    <row r="1" spans="1:9" ht="21.75" x14ac:dyDescent="0.3">
      <c r="B1" s="272" t="s">
        <v>33</v>
      </c>
      <c r="C1" s="272"/>
      <c r="D1" s="272"/>
      <c r="E1" s="272"/>
      <c r="F1" s="272"/>
      <c r="G1" s="272"/>
      <c r="H1" s="272"/>
    </row>
    <row r="2" spans="1:9" ht="13.5" customHeight="1" x14ac:dyDescent="0.25">
      <c r="B2" s="276" t="s">
        <v>72</v>
      </c>
      <c r="C2" s="276"/>
      <c r="D2" s="276"/>
      <c r="E2" s="276"/>
      <c r="F2" s="276"/>
      <c r="G2" s="276"/>
      <c r="H2" s="276"/>
    </row>
    <row r="3" spans="1:9" x14ac:dyDescent="0.25">
      <c r="A3" s="1"/>
      <c r="B3" s="23"/>
      <c r="C3" s="3"/>
      <c r="E3" s="1"/>
      <c r="F3" s="2"/>
      <c r="G3" s="2"/>
      <c r="H3" s="2"/>
    </row>
    <row r="4" spans="1:9" s="19" customFormat="1" ht="21" x14ac:dyDescent="0.25">
      <c r="A4" s="75"/>
      <c r="B4" s="55"/>
      <c r="C4" s="56"/>
      <c r="D4" s="273" t="s">
        <v>9</v>
      </c>
      <c r="E4" s="275"/>
      <c r="F4" s="273" t="s">
        <v>56</v>
      </c>
      <c r="G4" s="274"/>
      <c r="H4" s="275"/>
    </row>
    <row r="5" spans="1:9" s="15" customFormat="1" ht="33.75" customHeight="1" x14ac:dyDescent="0.25">
      <c r="B5" s="54" t="s">
        <v>32</v>
      </c>
      <c r="C5" s="20"/>
      <c r="D5" s="50"/>
      <c r="E5" s="24"/>
      <c r="F5" s="50"/>
      <c r="G5" s="44"/>
      <c r="H5" s="51"/>
      <c r="I5" s="19"/>
    </row>
    <row r="6" spans="1:9" s="15" customFormat="1" ht="16.5" customHeight="1" x14ac:dyDescent="0.25">
      <c r="B6" s="50" t="s">
        <v>37</v>
      </c>
      <c r="C6" s="20"/>
      <c r="D6" s="152"/>
      <c r="E6" s="24"/>
      <c r="F6" s="150"/>
      <c r="G6" s="63"/>
      <c r="H6" s="58"/>
      <c r="I6" s="19"/>
    </row>
    <row r="7" spans="1:9" s="15" customFormat="1" ht="32.25" customHeight="1" x14ac:dyDescent="0.25">
      <c r="B7" s="280" t="s">
        <v>38</v>
      </c>
      <c r="C7" s="281"/>
      <c r="D7" s="147"/>
      <c r="E7" s="24"/>
      <c r="F7" s="50"/>
      <c r="G7" s="20"/>
      <c r="H7" s="24"/>
      <c r="I7" s="19"/>
    </row>
    <row r="8" spans="1:9" s="15" customFormat="1" x14ac:dyDescent="0.25">
      <c r="B8" s="25" t="s">
        <v>39</v>
      </c>
      <c r="C8" s="20"/>
      <c r="D8" s="50"/>
      <c r="E8" s="24"/>
      <c r="F8" s="50"/>
      <c r="G8" s="20"/>
      <c r="H8" s="24"/>
      <c r="I8" s="19"/>
    </row>
    <row r="9" spans="1:9" s="15" customFormat="1" x14ac:dyDescent="0.25">
      <c r="B9" s="50"/>
      <c r="C9" s="20"/>
      <c r="D9" s="50"/>
      <c r="E9" s="24"/>
      <c r="F9" s="50"/>
      <c r="G9" s="20"/>
      <c r="H9" s="24"/>
      <c r="I9" s="19"/>
    </row>
    <row r="10" spans="1:9" s="15" customFormat="1" ht="31.5" customHeight="1" x14ac:dyDescent="0.25">
      <c r="B10" s="282" t="s">
        <v>8</v>
      </c>
      <c r="C10" s="283"/>
      <c r="D10" s="148"/>
      <c r="E10" s="24"/>
      <c r="F10" s="50"/>
      <c r="G10" s="20"/>
      <c r="H10" s="24"/>
      <c r="I10" s="19"/>
    </row>
    <row r="11" spans="1:9" s="15" customFormat="1" x14ac:dyDescent="0.25">
      <c r="B11" s="50"/>
      <c r="C11" s="20"/>
      <c r="D11" s="50"/>
      <c r="E11" s="24"/>
      <c r="F11" s="50"/>
      <c r="G11" s="20"/>
      <c r="H11" s="24"/>
      <c r="I11" s="19"/>
    </row>
    <row r="12" spans="1:9" s="15" customFormat="1" x14ac:dyDescent="0.25">
      <c r="B12" s="25"/>
      <c r="C12" s="20"/>
      <c r="D12" s="284" t="s">
        <v>61</v>
      </c>
      <c r="E12" s="285"/>
      <c r="F12" s="284" t="s">
        <v>14</v>
      </c>
      <c r="G12" s="286"/>
      <c r="H12" s="285"/>
      <c r="I12" s="19"/>
    </row>
    <row r="13" spans="1:9" s="15" customFormat="1" ht="26.25" customHeight="1" x14ac:dyDescent="0.25">
      <c r="A13" s="39"/>
      <c r="B13" s="26"/>
      <c r="C13" s="27"/>
      <c r="D13" s="156"/>
      <c r="E13" s="157"/>
      <c r="F13" s="277" t="s">
        <v>97</v>
      </c>
      <c r="G13" s="278"/>
      <c r="H13" s="279"/>
      <c r="I13" s="19"/>
    </row>
    <row r="14" spans="1:9" s="15" customFormat="1" x14ac:dyDescent="0.25">
      <c r="B14" s="11"/>
      <c r="C14" s="21"/>
      <c r="D14" s="22"/>
      <c r="G14" s="31"/>
      <c r="I14" s="19"/>
    </row>
    <row r="15" spans="1:9" x14ac:dyDescent="0.25">
      <c r="A15" s="42"/>
      <c r="B15" s="121" t="s">
        <v>139</v>
      </c>
      <c r="C15" s="193"/>
      <c r="D15" s="193"/>
      <c r="E15" s="193"/>
      <c r="F15" s="193"/>
      <c r="G15" s="193"/>
      <c r="H15" s="41"/>
      <c r="I15" s="19"/>
    </row>
    <row r="16" spans="1:9" ht="3.75" customHeight="1" x14ac:dyDescent="0.25">
      <c r="A16" s="42"/>
      <c r="B16" s="121"/>
      <c r="C16" s="121"/>
      <c r="D16" s="121"/>
      <c r="E16" s="121"/>
      <c r="F16" s="121"/>
      <c r="G16" s="121"/>
      <c r="H16" s="42"/>
    </row>
    <row r="17" spans="1:8" ht="3.75" customHeight="1" x14ac:dyDescent="0.25">
      <c r="A17" s="42"/>
      <c r="B17" s="121"/>
      <c r="C17" s="121"/>
      <c r="D17" s="121"/>
      <c r="E17" s="121"/>
      <c r="F17" s="121"/>
      <c r="G17" s="121"/>
      <c r="H17" s="42"/>
    </row>
    <row r="18" spans="1:8" x14ac:dyDescent="0.25">
      <c r="A18" s="42"/>
      <c r="B18" s="271" t="s">
        <v>475</v>
      </c>
      <c r="C18" s="42"/>
      <c r="D18" s="42"/>
      <c r="E18" s="43"/>
      <c r="F18" s="42"/>
      <c r="G18" s="42"/>
      <c r="H18" s="42"/>
    </row>
    <row r="19" spans="1:8" ht="24.75" thickBot="1" x14ac:dyDescent="0.3">
      <c r="A19" s="42"/>
      <c r="B19" s="258" t="s">
        <v>122</v>
      </c>
      <c r="C19" s="258" t="s">
        <v>123</v>
      </c>
      <c r="D19" s="258" t="s">
        <v>124</v>
      </c>
      <c r="E19" s="259" t="s">
        <v>125</v>
      </c>
      <c r="F19" s="260" t="s">
        <v>126</v>
      </c>
      <c r="G19" s="261" t="s">
        <v>51</v>
      </c>
      <c r="H19" s="261" t="s">
        <v>127</v>
      </c>
    </row>
    <row r="20" spans="1:8" x14ac:dyDescent="0.25">
      <c r="A20" s="42"/>
      <c r="B20" s="163" t="s">
        <v>128</v>
      </c>
      <c r="C20" s="164"/>
      <c r="D20" s="164"/>
      <c r="E20" s="165"/>
      <c r="F20" s="166"/>
      <c r="G20" s="167"/>
      <c r="H20" s="168"/>
    </row>
    <row r="21" spans="1:8" x14ac:dyDescent="0.25">
      <c r="A21" s="42"/>
      <c r="B21" s="254"/>
      <c r="C21" s="254"/>
      <c r="D21" s="254"/>
      <c r="E21" s="224"/>
      <c r="F21" s="160"/>
      <c r="G21" s="161"/>
      <c r="H21" s="162"/>
    </row>
    <row r="22" spans="1:8" x14ac:dyDescent="0.25">
      <c r="A22" s="42"/>
      <c r="B22" s="173" t="s">
        <v>129</v>
      </c>
      <c r="C22" s="174"/>
      <c r="D22" s="174"/>
      <c r="E22" s="175"/>
      <c r="F22" s="176"/>
      <c r="G22" s="177"/>
      <c r="H22" s="178"/>
    </row>
    <row r="23" spans="1:8" x14ac:dyDescent="0.25">
      <c r="A23" s="223" t="s">
        <v>48</v>
      </c>
      <c r="B23" s="254" t="s">
        <v>140</v>
      </c>
      <c r="C23" s="254" t="s">
        <v>141</v>
      </c>
      <c r="D23" s="254" t="s">
        <v>67</v>
      </c>
      <c r="E23" s="224">
        <v>32820</v>
      </c>
      <c r="F23" s="160">
        <v>262.89999999999998</v>
      </c>
      <c r="G23" s="161">
        <v>5.22</v>
      </c>
      <c r="H23" s="162"/>
    </row>
    <row r="24" spans="1:8" x14ac:dyDescent="0.25">
      <c r="A24" s="223" t="s">
        <v>48</v>
      </c>
      <c r="B24" s="254" t="s">
        <v>146</v>
      </c>
      <c r="C24" s="254" t="s">
        <v>147</v>
      </c>
      <c r="D24" s="254" t="s">
        <v>111</v>
      </c>
      <c r="E24" s="224">
        <v>17093</v>
      </c>
      <c r="F24" s="160">
        <v>222.89</v>
      </c>
      <c r="G24" s="161">
        <v>4.43</v>
      </c>
      <c r="H24" s="162"/>
    </row>
    <row r="25" spans="1:8" x14ac:dyDescent="0.25">
      <c r="A25" s="223" t="s">
        <v>48</v>
      </c>
      <c r="B25" s="254" t="s">
        <v>142</v>
      </c>
      <c r="C25" s="254" t="s">
        <v>143</v>
      </c>
      <c r="D25" s="254" t="s">
        <v>67</v>
      </c>
      <c r="E25" s="224">
        <v>14724</v>
      </c>
      <c r="F25" s="160">
        <v>207.81</v>
      </c>
      <c r="G25" s="161">
        <v>4.13</v>
      </c>
      <c r="H25" s="162"/>
    </row>
    <row r="26" spans="1:8" x14ac:dyDescent="0.25">
      <c r="A26" s="223" t="s">
        <v>48</v>
      </c>
      <c r="B26" s="254" t="s">
        <v>148</v>
      </c>
      <c r="C26" s="254" t="s">
        <v>149</v>
      </c>
      <c r="D26" s="254" t="s">
        <v>67</v>
      </c>
      <c r="E26" s="224">
        <v>14943</v>
      </c>
      <c r="F26" s="160">
        <v>200.55</v>
      </c>
      <c r="G26" s="161">
        <v>3.98</v>
      </c>
      <c r="H26" s="162"/>
    </row>
    <row r="27" spans="1:8" x14ac:dyDescent="0.25">
      <c r="A27" s="223" t="s">
        <v>48</v>
      </c>
      <c r="B27" s="254" t="s">
        <v>144</v>
      </c>
      <c r="C27" s="254" t="s">
        <v>145</v>
      </c>
      <c r="D27" s="254" t="s">
        <v>42</v>
      </c>
      <c r="E27" s="224">
        <v>8749</v>
      </c>
      <c r="F27" s="160">
        <v>167.14</v>
      </c>
      <c r="G27" s="161">
        <v>3.32</v>
      </c>
      <c r="H27" s="162"/>
    </row>
    <row r="28" spans="1:8" x14ac:dyDescent="0.25">
      <c r="A28" s="223"/>
      <c r="B28" s="254" t="s">
        <v>152</v>
      </c>
      <c r="C28" s="254" t="s">
        <v>153</v>
      </c>
      <c r="D28" s="254" t="s">
        <v>44</v>
      </c>
      <c r="E28" s="224">
        <v>3840</v>
      </c>
      <c r="F28" s="160">
        <v>120.46</v>
      </c>
      <c r="G28" s="161">
        <v>2.39</v>
      </c>
      <c r="H28" s="162"/>
    </row>
    <row r="29" spans="1:8" x14ac:dyDescent="0.25">
      <c r="A29" s="42"/>
      <c r="B29" s="254" t="s">
        <v>154</v>
      </c>
      <c r="C29" s="254" t="s">
        <v>155</v>
      </c>
      <c r="D29" s="254" t="s">
        <v>67</v>
      </c>
      <c r="E29" s="224">
        <v>11462</v>
      </c>
      <c r="F29" s="160">
        <v>119.2</v>
      </c>
      <c r="G29" s="161">
        <v>2.37</v>
      </c>
      <c r="H29" s="162"/>
    </row>
    <row r="30" spans="1:8" x14ac:dyDescent="0.25">
      <c r="A30" s="42"/>
      <c r="B30" s="254" t="s">
        <v>150</v>
      </c>
      <c r="C30" s="254" t="s">
        <v>151</v>
      </c>
      <c r="D30" s="254" t="s">
        <v>105</v>
      </c>
      <c r="E30" s="224">
        <v>35117</v>
      </c>
      <c r="F30" s="160">
        <v>101.82</v>
      </c>
      <c r="G30" s="161">
        <v>2.02</v>
      </c>
      <c r="H30" s="162"/>
    </row>
    <row r="31" spans="1:8" x14ac:dyDescent="0.25">
      <c r="A31" s="42"/>
      <c r="B31" s="254" t="s">
        <v>164</v>
      </c>
      <c r="C31" s="254" t="s">
        <v>165</v>
      </c>
      <c r="D31" s="254" t="s">
        <v>45</v>
      </c>
      <c r="E31" s="224">
        <v>4870</v>
      </c>
      <c r="F31" s="160">
        <v>92.76</v>
      </c>
      <c r="G31" s="161">
        <v>1.84</v>
      </c>
      <c r="H31" s="162"/>
    </row>
    <row r="32" spans="1:8" x14ac:dyDescent="0.25">
      <c r="A32" s="42"/>
      <c r="B32" s="254" t="s">
        <v>162</v>
      </c>
      <c r="C32" s="254" t="s">
        <v>163</v>
      </c>
      <c r="D32" s="254" t="s">
        <v>94</v>
      </c>
      <c r="E32" s="224">
        <v>2062</v>
      </c>
      <c r="F32" s="160">
        <v>83.03</v>
      </c>
      <c r="G32" s="161">
        <v>1.65</v>
      </c>
      <c r="H32" s="162"/>
    </row>
    <row r="33" spans="1:8" x14ac:dyDescent="0.25">
      <c r="A33" s="42"/>
      <c r="B33" s="254" t="s">
        <v>158</v>
      </c>
      <c r="C33" s="254" t="s">
        <v>159</v>
      </c>
      <c r="D33" s="254" t="s">
        <v>43</v>
      </c>
      <c r="E33" s="224">
        <v>700</v>
      </c>
      <c r="F33" s="160">
        <v>77.55</v>
      </c>
      <c r="G33" s="161">
        <v>1.54</v>
      </c>
      <c r="H33" s="162"/>
    </row>
    <row r="34" spans="1:8" x14ac:dyDescent="0.25">
      <c r="A34" s="42"/>
      <c r="B34" s="254" t="s">
        <v>156</v>
      </c>
      <c r="C34" s="254" t="s">
        <v>157</v>
      </c>
      <c r="D34" s="254" t="s">
        <v>50</v>
      </c>
      <c r="E34" s="224">
        <v>3110</v>
      </c>
      <c r="F34" s="160">
        <v>65.11</v>
      </c>
      <c r="G34" s="161">
        <v>1.29</v>
      </c>
      <c r="H34" s="162"/>
    </row>
    <row r="35" spans="1:8" x14ac:dyDescent="0.25">
      <c r="A35" s="42"/>
      <c r="B35" s="254" t="s">
        <v>374</v>
      </c>
      <c r="C35" s="254" t="s">
        <v>375</v>
      </c>
      <c r="D35" s="254" t="s">
        <v>121</v>
      </c>
      <c r="E35" s="224">
        <v>3616</v>
      </c>
      <c r="F35" s="160">
        <v>64.680000000000007</v>
      </c>
      <c r="G35" s="161">
        <v>1.28</v>
      </c>
      <c r="H35" s="162"/>
    </row>
    <row r="36" spans="1:8" x14ac:dyDescent="0.25">
      <c r="A36" s="42"/>
      <c r="B36" s="254" t="s">
        <v>188</v>
      </c>
      <c r="C36" s="254" t="s">
        <v>189</v>
      </c>
      <c r="D36" s="254" t="s">
        <v>109</v>
      </c>
      <c r="E36" s="224">
        <v>18048</v>
      </c>
      <c r="F36" s="160">
        <v>64.33</v>
      </c>
      <c r="G36" s="161">
        <v>1.28</v>
      </c>
      <c r="H36" s="162"/>
    </row>
    <row r="37" spans="1:8" x14ac:dyDescent="0.25">
      <c r="A37" s="42"/>
      <c r="B37" s="254" t="s">
        <v>182</v>
      </c>
      <c r="C37" s="254" t="s">
        <v>183</v>
      </c>
      <c r="D37" s="254" t="s">
        <v>93</v>
      </c>
      <c r="E37" s="224">
        <v>1151</v>
      </c>
      <c r="F37" s="160">
        <v>62.46</v>
      </c>
      <c r="G37" s="161">
        <v>1.24</v>
      </c>
      <c r="H37" s="162"/>
    </row>
    <row r="38" spans="1:8" x14ac:dyDescent="0.25">
      <c r="A38" s="42"/>
      <c r="B38" s="254" t="s">
        <v>166</v>
      </c>
      <c r="C38" s="254" t="s">
        <v>167</v>
      </c>
      <c r="D38" s="254" t="s">
        <v>50</v>
      </c>
      <c r="E38" s="224">
        <v>4247</v>
      </c>
      <c r="F38" s="160">
        <v>62.18</v>
      </c>
      <c r="G38" s="161">
        <v>1.24</v>
      </c>
      <c r="H38" s="162"/>
    </row>
    <row r="39" spans="1:8" x14ac:dyDescent="0.25">
      <c r="A39" s="42"/>
      <c r="B39" s="254" t="s">
        <v>272</v>
      </c>
      <c r="C39" s="254" t="s">
        <v>273</v>
      </c>
      <c r="D39" s="254" t="s">
        <v>274</v>
      </c>
      <c r="E39" s="224">
        <v>21267</v>
      </c>
      <c r="F39" s="160">
        <v>59.9</v>
      </c>
      <c r="G39" s="161">
        <v>1.19</v>
      </c>
      <c r="H39" s="162"/>
    </row>
    <row r="40" spans="1:8" x14ac:dyDescent="0.25">
      <c r="A40" s="42"/>
      <c r="B40" s="254" t="s">
        <v>168</v>
      </c>
      <c r="C40" s="254" t="s">
        <v>169</v>
      </c>
      <c r="D40" s="254" t="s">
        <v>50</v>
      </c>
      <c r="E40" s="224">
        <v>5522</v>
      </c>
      <c r="F40" s="160">
        <v>57.83</v>
      </c>
      <c r="G40" s="161">
        <v>1.1499999999999999</v>
      </c>
      <c r="H40" s="162"/>
    </row>
    <row r="41" spans="1:8" x14ac:dyDescent="0.25">
      <c r="A41" s="42"/>
      <c r="B41" s="254" t="s">
        <v>203</v>
      </c>
      <c r="C41" s="254" t="s">
        <v>204</v>
      </c>
      <c r="D41" s="254" t="s">
        <v>130</v>
      </c>
      <c r="E41" s="224">
        <v>11206</v>
      </c>
      <c r="F41" s="160">
        <v>57.8</v>
      </c>
      <c r="G41" s="161">
        <v>1.1499999999999999</v>
      </c>
      <c r="H41" s="162"/>
    </row>
    <row r="42" spans="1:8" x14ac:dyDescent="0.25">
      <c r="A42" s="42"/>
      <c r="B42" s="254" t="s">
        <v>184</v>
      </c>
      <c r="C42" s="254" t="s">
        <v>185</v>
      </c>
      <c r="D42" s="254" t="s">
        <v>112</v>
      </c>
      <c r="E42" s="224">
        <v>5974</v>
      </c>
      <c r="F42" s="160">
        <v>56.94</v>
      </c>
      <c r="G42" s="161">
        <v>1.1299999999999999</v>
      </c>
      <c r="H42" s="162"/>
    </row>
    <row r="43" spans="1:8" x14ac:dyDescent="0.25">
      <c r="A43" s="42"/>
      <c r="B43" s="254" t="s">
        <v>178</v>
      </c>
      <c r="C43" s="254" t="s">
        <v>179</v>
      </c>
      <c r="D43" s="254" t="s">
        <v>44</v>
      </c>
      <c r="E43" s="224">
        <v>1554</v>
      </c>
      <c r="F43" s="160">
        <v>56.37</v>
      </c>
      <c r="G43" s="161">
        <v>1.1200000000000001</v>
      </c>
      <c r="H43" s="162"/>
    </row>
    <row r="44" spans="1:8" x14ac:dyDescent="0.25">
      <c r="A44" s="42"/>
      <c r="B44" s="254" t="s">
        <v>209</v>
      </c>
      <c r="C44" s="254" t="s">
        <v>210</v>
      </c>
      <c r="D44" s="254" t="s">
        <v>43</v>
      </c>
      <c r="E44" s="224">
        <v>12815</v>
      </c>
      <c r="F44" s="160">
        <v>46.79</v>
      </c>
      <c r="G44" s="161">
        <v>0.93</v>
      </c>
      <c r="H44" s="162"/>
    </row>
    <row r="45" spans="1:8" x14ac:dyDescent="0.25">
      <c r="A45" s="42"/>
      <c r="B45" s="254" t="s">
        <v>338</v>
      </c>
      <c r="C45" s="254" t="s">
        <v>339</v>
      </c>
      <c r="D45" s="254" t="s">
        <v>66</v>
      </c>
      <c r="E45" s="224">
        <v>3179</v>
      </c>
      <c r="F45" s="160">
        <v>45.78</v>
      </c>
      <c r="G45" s="161">
        <v>0.91</v>
      </c>
      <c r="H45" s="162"/>
    </row>
    <row r="46" spans="1:8" x14ac:dyDescent="0.25">
      <c r="A46" s="42"/>
      <c r="B46" s="254" t="s">
        <v>194</v>
      </c>
      <c r="C46" s="254" t="s">
        <v>389</v>
      </c>
      <c r="D46" s="254" t="s">
        <v>67</v>
      </c>
      <c r="E46" s="224">
        <v>11450</v>
      </c>
      <c r="F46" s="160">
        <v>45.43</v>
      </c>
      <c r="G46" s="161">
        <v>0.9</v>
      </c>
      <c r="H46" s="162"/>
    </row>
    <row r="47" spans="1:8" x14ac:dyDescent="0.25">
      <c r="A47" s="42"/>
      <c r="B47" s="254" t="s">
        <v>180</v>
      </c>
      <c r="C47" s="254" t="s">
        <v>181</v>
      </c>
      <c r="D47" s="254" t="s">
        <v>44</v>
      </c>
      <c r="E47" s="224">
        <v>312</v>
      </c>
      <c r="F47" s="160">
        <v>44.82</v>
      </c>
      <c r="G47" s="161">
        <v>0.89</v>
      </c>
      <c r="H47" s="162"/>
    </row>
    <row r="48" spans="1:8" x14ac:dyDescent="0.25">
      <c r="A48" s="42"/>
      <c r="B48" s="254" t="s">
        <v>176</v>
      </c>
      <c r="C48" s="254" t="s">
        <v>177</v>
      </c>
      <c r="D48" s="254" t="s">
        <v>113</v>
      </c>
      <c r="E48" s="224">
        <v>5340</v>
      </c>
      <c r="F48" s="160">
        <v>44.78</v>
      </c>
      <c r="G48" s="161">
        <v>0.89</v>
      </c>
      <c r="H48" s="162"/>
    </row>
    <row r="49" spans="1:8" x14ac:dyDescent="0.25">
      <c r="A49" s="42"/>
      <c r="B49" s="254" t="s">
        <v>170</v>
      </c>
      <c r="C49" s="254" t="s">
        <v>171</v>
      </c>
      <c r="D49" s="254" t="s">
        <v>44</v>
      </c>
      <c r="E49" s="224">
        <v>607</v>
      </c>
      <c r="F49" s="160">
        <v>44.55</v>
      </c>
      <c r="G49" s="161">
        <v>0.88</v>
      </c>
      <c r="H49" s="162"/>
    </row>
    <row r="50" spans="1:8" x14ac:dyDescent="0.25">
      <c r="A50" s="42"/>
      <c r="B50" s="254" t="s">
        <v>195</v>
      </c>
      <c r="C50" s="254" t="s">
        <v>196</v>
      </c>
      <c r="D50" s="254" t="s">
        <v>45</v>
      </c>
      <c r="E50" s="224">
        <v>3003</v>
      </c>
      <c r="F50" s="160">
        <v>43.79</v>
      </c>
      <c r="G50" s="161">
        <v>0.87</v>
      </c>
      <c r="H50" s="162"/>
    </row>
    <row r="51" spans="1:8" x14ac:dyDescent="0.25">
      <c r="A51" s="42"/>
      <c r="B51" s="254" t="s">
        <v>174</v>
      </c>
      <c r="C51" s="254" t="s">
        <v>175</v>
      </c>
      <c r="D51" s="254" t="s">
        <v>114</v>
      </c>
      <c r="E51" s="224">
        <v>6120</v>
      </c>
      <c r="F51" s="160">
        <v>43.14</v>
      </c>
      <c r="G51" s="161">
        <v>0.86</v>
      </c>
      <c r="H51" s="162"/>
    </row>
    <row r="52" spans="1:8" x14ac:dyDescent="0.25">
      <c r="A52" s="42"/>
      <c r="B52" s="254" t="s">
        <v>186</v>
      </c>
      <c r="C52" s="254" t="s">
        <v>187</v>
      </c>
      <c r="D52" s="254" t="s">
        <v>47</v>
      </c>
      <c r="E52" s="224">
        <v>10230</v>
      </c>
      <c r="F52" s="160">
        <v>42.77</v>
      </c>
      <c r="G52" s="161">
        <v>0.85</v>
      </c>
      <c r="H52" s="162"/>
    </row>
    <row r="53" spans="1:8" x14ac:dyDescent="0.25">
      <c r="A53" s="42"/>
      <c r="B53" s="254" t="s">
        <v>221</v>
      </c>
      <c r="C53" s="254" t="s">
        <v>222</v>
      </c>
      <c r="D53" s="254" t="s">
        <v>108</v>
      </c>
      <c r="E53" s="224">
        <v>9110</v>
      </c>
      <c r="F53" s="160">
        <v>40.39</v>
      </c>
      <c r="G53" s="161">
        <v>0.8</v>
      </c>
      <c r="H53" s="162"/>
    </row>
    <row r="54" spans="1:8" x14ac:dyDescent="0.25">
      <c r="A54" s="42"/>
      <c r="B54" s="254" t="s">
        <v>229</v>
      </c>
      <c r="C54" s="254" t="s">
        <v>230</v>
      </c>
      <c r="D54" s="254" t="s">
        <v>120</v>
      </c>
      <c r="E54" s="224">
        <v>9333</v>
      </c>
      <c r="F54" s="160">
        <v>39.39</v>
      </c>
      <c r="G54" s="161">
        <v>0.78</v>
      </c>
      <c r="H54" s="162"/>
    </row>
    <row r="55" spans="1:8" x14ac:dyDescent="0.25">
      <c r="A55" s="42"/>
      <c r="B55" s="254" t="s">
        <v>359</v>
      </c>
      <c r="C55" s="254" t="s">
        <v>360</v>
      </c>
      <c r="D55" s="254" t="s">
        <v>65</v>
      </c>
      <c r="E55" s="224">
        <v>14908</v>
      </c>
      <c r="F55" s="160">
        <v>38.130000000000003</v>
      </c>
      <c r="G55" s="161">
        <v>0.76</v>
      </c>
      <c r="H55" s="162"/>
    </row>
    <row r="56" spans="1:8" x14ac:dyDescent="0.25">
      <c r="A56" s="42"/>
      <c r="B56" s="254" t="s">
        <v>235</v>
      </c>
      <c r="C56" s="254" t="s">
        <v>236</v>
      </c>
      <c r="D56" s="254" t="s">
        <v>94</v>
      </c>
      <c r="E56" s="224">
        <v>2718</v>
      </c>
      <c r="F56" s="160">
        <v>37.619999999999997</v>
      </c>
      <c r="G56" s="161">
        <v>0.75</v>
      </c>
      <c r="H56" s="162"/>
    </row>
    <row r="57" spans="1:8" x14ac:dyDescent="0.25">
      <c r="A57" s="42"/>
      <c r="B57" s="254" t="s">
        <v>342</v>
      </c>
      <c r="C57" s="254" t="s">
        <v>343</v>
      </c>
      <c r="D57" s="254" t="s">
        <v>114</v>
      </c>
      <c r="E57" s="224">
        <v>1589</v>
      </c>
      <c r="F57" s="160">
        <v>37.24</v>
      </c>
      <c r="G57" s="161">
        <v>0.74</v>
      </c>
      <c r="H57" s="162"/>
    </row>
    <row r="58" spans="1:8" x14ac:dyDescent="0.25">
      <c r="A58" s="42"/>
      <c r="B58" s="254" t="s">
        <v>213</v>
      </c>
      <c r="C58" s="254" t="s">
        <v>214</v>
      </c>
      <c r="D58" s="254" t="s">
        <v>45</v>
      </c>
      <c r="E58" s="224">
        <v>2237</v>
      </c>
      <c r="F58" s="160">
        <v>36.25</v>
      </c>
      <c r="G58" s="161">
        <v>0.72</v>
      </c>
      <c r="H58" s="162"/>
    </row>
    <row r="59" spans="1:8" x14ac:dyDescent="0.25">
      <c r="A59" s="42"/>
      <c r="B59" s="254" t="s">
        <v>199</v>
      </c>
      <c r="C59" s="254" t="s">
        <v>200</v>
      </c>
      <c r="D59" s="254" t="s">
        <v>50</v>
      </c>
      <c r="E59" s="224">
        <v>3000</v>
      </c>
      <c r="F59" s="160">
        <v>34.17</v>
      </c>
      <c r="G59" s="161">
        <v>0.68</v>
      </c>
      <c r="H59" s="162"/>
    </row>
    <row r="60" spans="1:8" x14ac:dyDescent="0.25">
      <c r="A60" s="42"/>
      <c r="B60" s="254" t="s">
        <v>352</v>
      </c>
      <c r="C60" s="254" t="s">
        <v>353</v>
      </c>
      <c r="D60" s="254" t="s">
        <v>45</v>
      </c>
      <c r="E60" s="224">
        <v>1012</v>
      </c>
      <c r="F60" s="160">
        <v>33.659999999999997</v>
      </c>
      <c r="G60" s="161">
        <v>0.67</v>
      </c>
      <c r="H60" s="162"/>
    </row>
    <row r="61" spans="1:8" x14ac:dyDescent="0.25">
      <c r="A61" s="42"/>
      <c r="B61" s="254" t="s">
        <v>241</v>
      </c>
      <c r="C61" s="254" t="s">
        <v>242</v>
      </c>
      <c r="D61" s="254" t="s">
        <v>135</v>
      </c>
      <c r="E61" s="224">
        <v>1796</v>
      </c>
      <c r="F61" s="160">
        <v>33.659999999999997</v>
      </c>
      <c r="G61" s="161">
        <v>0.67</v>
      </c>
      <c r="H61" s="162"/>
    </row>
    <row r="62" spans="1:8" x14ac:dyDescent="0.25">
      <c r="A62" s="42"/>
      <c r="B62" s="254" t="s">
        <v>192</v>
      </c>
      <c r="C62" s="254" t="s">
        <v>193</v>
      </c>
      <c r="D62" s="254" t="s">
        <v>109</v>
      </c>
      <c r="E62" s="224">
        <v>11230</v>
      </c>
      <c r="F62" s="160">
        <v>32.33</v>
      </c>
      <c r="G62" s="161">
        <v>0.64</v>
      </c>
      <c r="H62" s="162"/>
    </row>
    <row r="63" spans="1:8" x14ac:dyDescent="0.25">
      <c r="A63" s="42"/>
      <c r="B63" s="254" t="s">
        <v>227</v>
      </c>
      <c r="C63" s="254" t="s">
        <v>228</v>
      </c>
      <c r="D63" s="254" t="s">
        <v>114</v>
      </c>
      <c r="E63" s="224">
        <v>1447</v>
      </c>
      <c r="F63" s="160">
        <v>32.28</v>
      </c>
      <c r="G63" s="161">
        <v>0.64</v>
      </c>
      <c r="H63" s="162"/>
    </row>
    <row r="64" spans="1:8" x14ac:dyDescent="0.25">
      <c r="A64" s="42"/>
      <c r="B64" s="254" t="s">
        <v>340</v>
      </c>
      <c r="C64" s="254" t="s">
        <v>341</v>
      </c>
      <c r="D64" s="254" t="s">
        <v>68</v>
      </c>
      <c r="E64" s="224">
        <v>16510</v>
      </c>
      <c r="F64" s="160">
        <v>30.75</v>
      </c>
      <c r="G64" s="161">
        <v>0.61</v>
      </c>
      <c r="H64" s="162"/>
    </row>
    <row r="65" spans="1:8" x14ac:dyDescent="0.25">
      <c r="A65" s="42"/>
      <c r="B65" s="254" t="s">
        <v>414</v>
      </c>
      <c r="C65" s="254" t="s">
        <v>415</v>
      </c>
      <c r="D65" s="254" t="s">
        <v>118</v>
      </c>
      <c r="E65" s="224">
        <v>2750</v>
      </c>
      <c r="F65" s="160">
        <v>30.71</v>
      </c>
      <c r="G65" s="161">
        <v>0.61</v>
      </c>
      <c r="H65" s="162"/>
    </row>
    <row r="66" spans="1:8" x14ac:dyDescent="0.25">
      <c r="A66" s="42"/>
      <c r="B66" s="254" t="s">
        <v>172</v>
      </c>
      <c r="C66" s="254" t="s">
        <v>173</v>
      </c>
      <c r="D66" s="254" t="s">
        <v>43</v>
      </c>
      <c r="E66" s="224">
        <v>2882</v>
      </c>
      <c r="F66" s="160">
        <v>30.68</v>
      </c>
      <c r="G66" s="161">
        <v>0.61</v>
      </c>
      <c r="H66" s="162"/>
    </row>
    <row r="67" spans="1:8" x14ac:dyDescent="0.25">
      <c r="A67" s="42"/>
      <c r="B67" s="254" t="s">
        <v>207</v>
      </c>
      <c r="C67" s="254" t="s">
        <v>208</v>
      </c>
      <c r="D67" s="254" t="s">
        <v>115</v>
      </c>
      <c r="E67" s="224">
        <v>1630</v>
      </c>
      <c r="F67" s="160">
        <v>28.97</v>
      </c>
      <c r="G67" s="161">
        <v>0.57999999999999996</v>
      </c>
      <c r="H67" s="162"/>
    </row>
    <row r="68" spans="1:8" x14ac:dyDescent="0.25">
      <c r="A68" s="42"/>
      <c r="B68" s="254" t="s">
        <v>239</v>
      </c>
      <c r="C68" s="254" t="s">
        <v>240</v>
      </c>
      <c r="D68" s="254" t="s">
        <v>120</v>
      </c>
      <c r="E68" s="224">
        <v>12090</v>
      </c>
      <c r="F68" s="160">
        <v>28.75</v>
      </c>
      <c r="G68" s="161">
        <v>0.56999999999999995</v>
      </c>
      <c r="H68" s="162"/>
    </row>
    <row r="69" spans="1:8" x14ac:dyDescent="0.25">
      <c r="A69" s="42"/>
      <c r="B69" s="254" t="s">
        <v>420</v>
      </c>
      <c r="C69" s="254" t="s">
        <v>421</v>
      </c>
      <c r="D69" s="254" t="s">
        <v>68</v>
      </c>
      <c r="E69" s="224">
        <v>15640</v>
      </c>
      <c r="F69" s="160">
        <v>27.83</v>
      </c>
      <c r="G69" s="161">
        <v>0.55000000000000004</v>
      </c>
      <c r="H69" s="162"/>
    </row>
    <row r="70" spans="1:8" x14ac:dyDescent="0.25">
      <c r="A70" s="42"/>
      <c r="B70" s="254" t="s">
        <v>190</v>
      </c>
      <c r="C70" s="254" t="s">
        <v>191</v>
      </c>
      <c r="D70" s="254" t="s">
        <v>107</v>
      </c>
      <c r="E70" s="224">
        <v>13950</v>
      </c>
      <c r="F70" s="160">
        <v>26.48</v>
      </c>
      <c r="G70" s="161">
        <v>0.53</v>
      </c>
      <c r="H70" s="162"/>
    </row>
    <row r="71" spans="1:8" x14ac:dyDescent="0.25">
      <c r="A71" s="42"/>
      <c r="B71" s="254" t="s">
        <v>197</v>
      </c>
      <c r="C71" s="254" t="s">
        <v>198</v>
      </c>
      <c r="D71" s="254" t="s">
        <v>106</v>
      </c>
      <c r="E71" s="224">
        <v>740</v>
      </c>
      <c r="F71" s="160">
        <v>26.17</v>
      </c>
      <c r="G71" s="161">
        <v>0.52</v>
      </c>
      <c r="H71" s="162"/>
    </row>
    <row r="72" spans="1:8" x14ac:dyDescent="0.25">
      <c r="A72" s="42"/>
      <c r="B72" s="254" t="s">
        <v>211</v>
      </c>
      <c r="C72" s="254" t="s">
        <v>212</v>
      </c>
      <c r="D72" s="254" t="s">
        <v>115</v>
      </c>
      <c r="E72" s="224">
        <v>29608</v>
      </c>
      <c r="F72" s="160">
        <v>25.29</v>
      </c>
      <c r="G72" s="161">
        <v>0.5</v>
      </c>
      <c r="H72" s="162"/>
    </row>
    <row r="73" spans="1:8" x14ac:dyDescent="0.25">
      <c r="A73" s="42"/>
      <c r="B73" s="254" t="s">
        <v>422</v>
      </c>
      <c r="C73" s="254" t="s">
        <v>423</v>
      </c>
      <c r="D73" s="254" t="s">
        <v>424</v>
      </c>
      <c r="E73" s="224">
        <v>5753</v>
      </c>
      <c r="F73" s="160">
        <v>24.17</v>
      </c>
      <c r="G73" s="161">
        <v>0.48</v>
      </c>
      <c r="H73" s="162"/>
    </row>
    <row r="74" spans="1:8" x14ac:dyDescent="0.25">
      <c r="A74" s="42"/>
      <c r="B74" s="254" t="s">
        <v>215</v>
      </c>
      <c r="C74" s="254" t="s">
        <v>216</v>
      </c>
      <c r="D74" s="254" t="s">
        <v>46</v>
      </c>
      <c r="E74" s="224">
        <v>3844</v>
      </c>
      <c r="F74" s="160">
        <v>23.9</v>
      </c>
      <c r="G74" s="161">
        <v>0.47</v>
      </c>
      <c r="H74" s="162"/>
    </row>
    <row r="75" spans="1:8" x14ac:dyDescent="0.25">
      <c r="A75" s="42"/>
      <c r="B75" s="254" t="s">
        <v>225</v>
      </c>
      <c r="C75" s="254" t="s">
        <v>226</v>
      </c>
      <c r="D75" s="254" t="s">
        <v>65</v>
      </c>
      <c r="E75" s="224">
        <v>2532</v>
      </c>
      <c r="F75" s="160">
        <v>22.28</v>
      </c>
      <c r="G75" s="161">
        <v>0.44</v>
      </c>
      <c r="H75" s="162"/>
    </row>
    <row r="76" spans="1:8" x14ac:dyDescent="0.25">
      <c r="A76" s="42"/>
      <c r="B76" s="254" t="s">
        <v>231</v>
      </c>
      <c r="C76" s="254" t="s">
        <v>232</v>
      </c>
      <c r="D76" s="254" t="s">
        <v>116</v>
      </c>
      <c r="E76" s="224">
        <v>12400</v>
      </c>
      <c r="F76" s="160">
        <v>21.59</v>
      </c>
      <c r="G76" s="161">
        <v>0.43</v>
      </c>
      <c r="H76" s="162"/>
    </row>
    <row r="77" spans="1:8" x14ac:dyDescent="0.25">
      <c r="A77" s="42"/>
      <c r="B77" s="254" t="s">
        <v>286</v>
      </c>
      <c r="C77" s="254" t="s">
        <v>287</v>
      </c>
      <c r="D77" s="254" t="s">
        <v>113</v>
      </c>
      <c r="E77" s="224">
        <v>5143</v>
      </c>
      <c r="F77" s="160">
        <v>19.5</v>
      </c>
      <c r="G77" s="161">
        <v>0.39</v>
      </c>
      <c r="H77" s="162"/>
    </row>
    <row r="78" spans="1:8" x14ac:dyDescent="0.25">
      <c r="A78" s="42"/>
      <c r="B78" s="254" t="s">
        <v>367</v>
      </c>
      <c r="C78" s="254" t="s">
        <v>368</v>
      </c>
      <c r="D78" s="254" t="s">
        <v>369</v>
      </c>
      <c r="E78" s="224">
        <v>46337</v>
      </c>
      <c r="F78" s="160">
        <v>18.989999999999998</v>
      </c>
      <c r="G78" s="161">
        <v>0.38</v>
      </c>
      <c r="H78" s="162"/>
    </row>
    <row r="79" spans="1:8" x14ac:dyDescent="0.25">
      <c r="A79" s="42"/>
      <c r="B79" s="254" t="s">
        <v>435</v>
      </c>
      <c r="C79" s="254" t="s">
        <v>436</v>
      </c>
      <c r="D79" s="254" t="s">
        <v>117</v>
      </c>
      <c r="E79" s="224">
        <v>1130</v>
      </c>
      <c r="F79" s="160">
        <v>18.64</v>
      </c>
      <c r="G79" s="161">
        <v>0.37</v>
      </c>
      <c r="H79" s="162"/>
    </row>
    <row r="80" spans="1:8" x14ac:dyDescent="0.25">
      <c r="A80" s="42"/>
      <c r="B80" s="254" t="s">
        <v>217</v>
      </c>
      <c r="C80" s="254" t="s">
        <v>218</v>
      </c>
      <c r="D80" s="254" t="s">
        <v>121</v>
      </c>
      <c r="E80" s="224">
        <v>3229</v>
      </c>
      <c r="F80" s="160">
        <v>18.329999999999998</v>
      </c>
      <c r="G80" s="161">
        <v>0.36</v>
      </c>
      <c r="H80" s="162"/>
    </row>
    <row r="81" spans="1:8" x14ac:dyDescent="0.25">
      <c r="A81" s="42"/>
      <c r="B81" s="254" t="s">
        <v>354</v>
      </c>
      <c r="C81" s="254" t="s">
        <v>355</v>
      </c>
      <c r="D81" s="254" t="s">
        <v>356</v>
      </c>
      <c r="E81" s="224">
        <v>2600</v>
      </c>
      <c r="F81" s="160">
        <v>17.8</v>
      </c>
      <c r="G81" s="161">
        <v>0.35</v>
      </c>
      <c r="H81" s="162"/>
    </row>
    <row r="82" spans="1:8" x14ac:dyDescent="0.25">
      <c r="A82" s="42"/>
      <c r="B82" s="254" t="s">
        <v>219</v>
      </c>
      <c r="C82" s="254" t="s">
        <v>220</v>
      </c>
      <c r="D82" s="254" t="s">
        <v>66</v>
      </c>
      <c r="E82" s="224">
        <v>867</v>
      </c>
      <c r="F82" s="160">
        <v>17.36</v>
      </c>
      <c r="G82" s="161">
        <v>0.34</v>
      </c>
      <c r="H82" s="162"/>
    </row>
    <row r="83" spans="1:8" x14ac:dyDescent="0.25">
      <c r="A83" s="42"/>
      <c r="B83" s="254" t="s">
        <v>237</v>
      </c>
      <c r="C83" s="254" t="s">
        <v>238</v>
      </c>
      <c r="D83" s="254" t="s">
        <v>95</v>
      </c>
      <c r="E83" s="224">
        <v>3465</v>
      </c>
      <c r="F83" s="160">
        <v>16.690000000000001</v>
      </c>
      <c r="G83" s="161">
        <v>0.33</v>
      </c>
      <c r="H83" s="162"/>
    </row>
    <row r="84" spans="1:8" x14ac:dyDescent="0.25">
      <c r="A84" s="42"/>
      <c r="B84" s="254" t="s">
        <v>390</v>
      </c>
      <c r="C84" s="254" t="s">
        <v>391</v>
      </c>
      <c r="D84" s="254" t="s">
        <v>46</v>
      </c>
      <c r="E84" s="224">
        <v>2368</v>
      </c>
      <c r="F84" s="160">
        <v>15.63</v>
      </c>
      <c r="G84" s="161">
        <v>0.31</v>
      </c>
      <c r="H84" s="162"/>
    </row>
    <row r="85" spans="1:8" x14ac:dyDescent="0.25">
      <c r="A85" s="42"/>
      <c r="B85" s="254" t="s">
        <v>416</v>
      </c>
      <c r="C85" s="254" t="s">
        <v>417</v>
      </c>
      <c r="D85" s="254" t="s">
        <v>418</v>
      </c>
      <c r="E85" s="224">
        <v>883</v>
      </c>
      <c r="F85" s="160">
        <v>14.05</v>
      </c>
      <c r="G85" s="161">
        <v>0.28000000000000003</v>
      </c>
      <c r="H85" s="162"/>
    </row>
    <row r="86" spans="1:8" x14ac:dyDescent="0.25">
      <c r="A86" s="42"/>
      <c r="B86" s="254" t="s">
        <v>348</v>
      </c>
      <c r="C86" s="254" t="s">
        <v>349</v>
      </c>
      <c r="D86" s="254" t="s">
        <v>274</v>
      </c>
      <c r="E86" s="224">
        <v>5370</v>
      </c>
      <c r="F86" s="160">
        <v>13.33</v>
      </c>
      <c r="G86" s="161">
        <v>0.26</v>
      </c>
      <c r="H86" s="162"/>
    </row>
    <row r="87" spans="1:8" x14ac:dyDescent="0.25">
      <c r="A87" s="42"/>
      <c r="B87" s="254" t="s">
        <v>223</v>
      </c>
      <c r="C87" s="254" t="s">
        <v>224</v>
      </c>
      <c r="D87" s="254" t="s">
        <v>113</v>
      </c>
      <c r="E87" s="224">
        <v>1130</v>
      </c>
      <c r="F87" s="160">
        <v>13.25</v>
      </c>
      <c r="G87" s="161">
        <v>0.26</v>
      </c>
      <c r="H87" s="162"/>
    </row>
    <row r="88" spans="1:8" x14ac:dyDescent="0.25">
      <c r="A88" s="42"/>
      <c r="B88" s="254" t="s">
        <v>384</v>
      </c>
      <c r="C88" s="254" t="s">
        <v>385</v>
      </c>
      <c r="D88" s="254" t="s">
        <v>45</v>
      </c>
      <c r="E88" s="224">
        <v>2850</v>
      </c>
      <c r="F88" s="160">
        <v>12.95</v>
      </c>
      <c r="G88" s="161">
        <v>0.26</v>
      </c>
      <c r="H88" s="162"/>
    </row>
    <row r="89" spans="1:8" x14ac:dyDescent="0.25">
      <c r="A89" s="42"/>
      <c r="B89" s="254" t="s">
        <v>201</v>
      </c>
      <c r="C89" s="254" t="s">
        <v>202</v>
      </c>
      <c r="D89" s="254" t="s">
        <v>65</v>
      </c>
      <c r="E89" s="224">
        <v>309</v>
      </c>
      <c r="F89" s="160">
        <v>11.79</v>
      </c>
      <c r="G89" s="161">
        <v>0.23</v>
      </c>
      <c r="H89" s="162"/>
    </row>
    <row r="90" spans="1:8" x14ac:dyDescent="0.25">
      <c r="A90" s="42"/>
      <c r="B90" s="254" t="s">
        <v>160</v>
      </c>
      <c r="C90" s="254" t="s">
        <v>161</v>
      </c>
      <c r="D90" s="254" t="s">
        <v>111</v>
      </c>
      <c r="E90" s="224">
        <v>3695</v>
      </c>
      <c r="F90" s="160">
        <v>11.39</v>
      </c>
      <c r="G90" s="161">
        <v>0.23</v>
      </c>
      <c r="H90" s="162"/>
    </row>
    <row r="91" spans="1:8" x14ac:dyDescent="0.25">
      <c r="A91" s="42"/>
      <c r="B91" s="254" t="s">
        <v>243</v>
      </c>
      <c r="C91" s="254" t="s">
        <v>244</v>
      </c>
      <c r="D91" s="254" t="s">
        <v>95</v>
      </c>
      <c r="E91" s="224">
        <v>559</v>
      </c>
      <c r="F91" s="160">
        <v>11.37</v>
      </c>
      <c r="G91" s="161">
        <v>0.23</v>
      </c>
      <c r="H91" s="162"/>
    </row>
    <row r="92" spans="1:8" x14ac:dyDescent="0.25">
      <c r="B92" s="254" t="s">
        <v>306</v>
      </c>
      <c r="C92" s="254" t="s">
        <v>307</v>
      </c>
      <c r="D92" s="254" t="s">
        <v>119</v>
      </c>
      <c r="E92" s="224">
        <v>2510</v>
      </c>
      <c r="F92" s="160">
        <v>11.01</v>
      </c>
      <c r="G92" s="161">
        <v>0.22</v>
      </c>
      <c r="H92" s="162"/>
    </row>
    <row r="93" spans="1:8" x14ac:dyDescent="0.25">
      <c r="B93" s="254" t="s">
        <v>205</v>
      </c>
      <c r="C93" s="254" t="s">
        <v>206</v>
      </c>
      <c r="D93" s="254" t="s">
        <v>66</v>
      </c>
      <c r="E93" s="224">
        <v>1124</v>
      </c>
      <c r="F93" s="160">
        <v>10.95</v>
      </c>
      <c r="G93" s="161">
        <v>0.22</v>
      </c>
      <c r="H93" s="162"/>
    </row>
    <row r="94" spans="1:8" x14ac:dyDescent="0.25">
      <c r="B94" s="254" t="s">
        <v>447</v>
      </c>
      <c r="C94" s="254" t="s">
        <v>448</v>
      </c>
      <c r="D94" s="254" t="s">
        <v>345</v>
      </c>
      <c r="E94" s="224">
        <v>347</v>
      </c>
      <c r="F94" s="160">
        <v>8.66</v>
      </c>
      <c r="G94" s="161">
        <v>0.17</v>
      </c>
      <c r="H94" s="162"/>
    </row>
    <row r="95" spans="1:8" x14ac:dyDescent="0.25">
      <c r="B95" s="254" t="s">
        <v>372</v>
      </c>
      <c r="C95" s="254" t="s">
        <v>373</v>
      </c>
      <c r="D95" s="254" t="s">
        <v>94</v>
      </c>
      <c r="E95" s="224">
        <v>320</v>
      </c>
      <c r="F95" s="160">
        <v>8.42</v>
      </c>
      <c r="G95" s="161">
        <v>0.17</v>
      </c>
      <c r="H95" s="162"/>
    </row>
    <row r="96" spans="1:8" x14ac:dyDescent="0.25">
      <c r="B96" s="254" t="s">
        <v>233</v>
      </c>
      <c r="C96" s="254" t="s">
        <v>234</v>
      </c>
      <c r="D96" s="254" t="s">
        <v>43</v>
      </c>
      <c r="E96" s="224">
        <v>1940</v>
      </c>
      <c r="F96" s="160">
        <v>6.37</v>
      </c>
      <c r="G96" s="161">
        <v>0.13</v>
      </c>
      <c r="H96" s="162"/>
    </row>
    <row r="97" spans="1:8" x14ac:dyDescent="0.25">
      <c r="B97" s="254" t="s">
        <v>288</v>
      </c>
      <c r="C97" s="254" t="s">
        <v>289</v>
      </c>
      <c r="D97" s="254" t="s">
        <v>66</v>
      </c>
      <c r="E97" s="224">
        <v>940</v>
      </c>
      <c r="F97" s="160">
        <v>5.29</v>
      </c>
      <c r="G97" s="161">
        <v>0.11</v>
      </c>
      <c r="H97" s="162"/>
    </row>
    <row r="98" spans="1:8" x14ac:dyDescent="0.25">
      <c r="B98" s="254" t="s">
        <v>357</v>
      </c>
      <c r="C98" s="254" t="s">
        <v>358</v>
      </c>
      <c r="D98" s="254" t="s">
        <v>345</v>
      </c>
      <c r="E98" s="224">
        <v>75</v>
      </c>
      <c r="F98" s="160">
        <v>1.1599999999999999</v>
      </c>
      <c r="G98" s="161">
        <v>0.02</v>
      </c>
      <c r="H98" s="162"/>
    </row>
    <row r="99" spans="1:8" x14ac:dyDescent="0.25">
      <c r="B99" s="169" t="s">
        <v>245</v>
      </c>
      <c r="C99" s="169"/>
      <c r="D99" s="169"/>
      <c r="E99" s="170"/>
      <c r="F99" s="262">
        <v>3691.18</v>
      </c>
      <c r="G99" s="263">
        <v>73.31</v>
      </c>
      <c r="H99" s="171"/>
    </row>
    <row r="100" spans="1:8" x14ac:dyDescent="0.25">
      <c r="B100" s="254"/>
      <c r="C100" s="254"/>
      <c r="D100" s="254"/>
      <c r="E100" s="224"/>
      <c r="F100" s="160"/>
      <c r="G100" s="161"/>
      <c r="H100" s="162"/>
    </row>
    <row r="101" spans="1:8" x14ac:dyDescent="0.25">
      <c r="B101" s="173" t="s">
        <v>246</v>
      </c>
      <c r="C101" s="174"/>
      <c r="D101" s="174"/>
      <c r="E101" s="175"/>
      <c r="F101" s="176"/>
      <c r="G101" s="177"/>
      <c r="H101" s="178"/>
    </row>
    <row r="102" spans="1:8" x14ac:dyDescent="0.25">
      <c r="B102" s="254"/>
      <c r="C102" s="254"/>
      <c r="D102" s="254"/>
      <c r="E102" s="224"/>
      <c r="F102" s="161">
        <v>0</v>
      </c>
      <c r="G102" s="161">
        <v>0</v>
      </c>
      <c r="H102" s="162"/>
    </row>
    <row r="103" spans="1:8" x14ac:dyDescent="0.25">
      <c r="B103" s="169" t="s">
        <v>245</v>
      </c>
      <c r="C103" s="254"/>
      <c r="D103" s="254"/>
      <c r="E103" s="224"/>
      <c r="F103" s="264" t="s">
        <v>247</v>
      </c>
      <c r="G103" s="264" t="s">
        <v>247</v>
      </c>
      <c r="H103" s="162"/>
    </row>
    <row r="104" spans="1:8" x14ac:dyDescent="0.25">
      <c r="B104" s="254"/>
      <c r="C104" s="254"/>
      <c r="D104" s="254"/>
      <c r="E104" s="224"/>
      <c r="F104" s="160"/>
      <c r="G104" s="161"/>
      <c r="H104" s="162"/>
    </row>
    <row r="105" spans="1:8" x14ac:dyDescent="0.25">
      <c r="B105" s="265" t="s">
        <v>248</v>
      </c>
      <c r="C105" s="266"/>
      <c r="D105" s="266"/>
      <c r="E105" s="267"/>
      <c r="F105" s="262">
        <v>3691.18</v>
      </c>
      <c r="G105" s="263">
        <v>73.31</v>
      </c>
      <c r="H105" s="171"/>
    </row>
    <row r="106" spans="1:8" x14ac:dyDescent="0.25">
      <c r="A106" s="42"/>
      <c r="B106" s="254"/>
      <c r="C106" s="254"/>
      <c r="D106" s="254"/>
      <c r="E106" s="224"/>
      <c r="F106" s="160"/>
      <c r="G106" s="161"/>
      <c r="H106" s="162"/>
    </row>
    <row r="107" spans="1:8" x14ac:dyDescent="0.25">
      <c r="B107" s="163" t="s">
        <v>249</v>
      </c>
      <c r="C107" s="164"/>
      <c r="D107" s="164"/>
      <c r="E107" s="165"/>
      <c r="F107" s="166"/>
      <c r="G107" s="167"/>
      <c r="H107" s="168"/>
    </row>
    <row r="108" spans="1:8" x14ac:dyDescent="0.25">
      <c r="A108" s="159"/>
      <c r="B108" s="173" t="s">
        <v>300</v>
      </c>
      <c r="C108" s="174"/>
      <c r="D108" s="174"/>
      <c r="E108" s="175"/>
      <c r="F108" s="176"/>
      <c r="G108" s="177"/>
      <c r="H108" s="178"/>
    </row>
    <row r="109" spans="1:8" x14ac:dyDescent="0.25">
      <c r="B109" s="254" t="s">
        <v>146</v>
      </c>
      <c r="C109" s="254"/>
      <c r="D109" s="254"/>
      <c r="E109" s="187">
        <v>-3000</v>
      </c>
      <c r="F109" s="179">
        <v>-39.29</v>
      </c>
      <c r="G109" s="161">
        <v>-0.78</v>
      </c>
      <c r="H109" s="162"/>
    </row>
    <row r="110" spans="1:8" x14ac:dyDescent="0.25">
      <c r="A110" s="159"/>
      <c r="B110" s="254" t="s">
        <v>140</v>
      </c>
      <c r="C110" s="254"/>
      <c r="D110" s="254"/>
      <c r="E110" s="187">
        <v>-4550</v>
      </c>
      <c r="F110" s="179">
        <v>-36.64</v>
      </c>
      <c r="G110" s="161">
        <v>-0.73</v>
      </c>
      <c r="H110" s="162"/>
    </row>
    <row r="111" spans="1:8" x14ac:dyDescent="0.25">
      <c r="B111" s="254"/>
      <c r="C111" s="254"/>
      <c r="D111" s="254"/>
      <c r="E111" s="224"/>
      <c r="F111" s="160"/>
      <c r="G111" s="161"/>
      <c r="H111" s="162"/>
    </row>
    <row r="112" spans="1:8" x14ac:dyDescent="0.25">
      <c r="B112" s="169" t="s">
        <v>245</v>
      </c>
      <c r="C112" s="169"/>
      <c r="D112" s="169"/>
      <c r="E112" s="170"/>
      <c r="F112" s="268">
        <v>-75.930000000000007</v>
      </c>
      <c r="G112" s="263">
        <v>-1.51</v>
      </c>
      <c r="H112" s="171"/>
    </row>
    <row r="113" spans="1:8" x14ac:dyDescent="0.25">
      <c r="B113" s="254"/>
      <c r="C113" s="254"/>
      <c r="D113" s="254"/>
      <c r="E113" s="224"/>
      <c r="F113" s="160"/>
      <c r="G113" s="161"/>
      <c r="H113" s="162"/>
    </row>
    <row r="114" spans="1:8" x14ac:dyDescent="0.25">
      <c r="B114" s="173" t="s">
        <v>386</v>
      </c>
      <c r="C114" s="173"/>
      <c r="D114" s="173"/>
      <c r="E114" s="225"/>
      <c r="F114" s="226"/>
      <c r="G114" s="227"/>
      <c r="H114" s="228"/>
    </row>
    <row r="115" spans="1:8" x14ac:dyDescent="0.25">
      <c r="B115" s="254" t="s">
        <v>162</v>
      </c>
      <c r="C115" s="254"/>
      <c r="D115" s="254"/>
      <c r="E115" s="187">
        <v>-175</v>
      </c>
      <c r="F115" s="179">
        <v>-0.02</v>
      </c>
      <c r="G115" s="161">
        <v>0</v>
      </c>
      <c r="H115" s="162"/>
    </row>
    <row r="116" spans="1:8" x14ac:dyDescent="0.25">
      <c r="B116" s="254" t="s">
        <v>148</v>
      </c>
      <c r="C116" s="254"/>
      <c r="D116" s="254"/>
      <c r="E116" s="187">
        <v>-1250</v>
      </c>
      <c r="F116" s="179">
        <v>-0.11</v>
      </c>
      <c r="G116" s="161">
        <v>0</v>
      </c>
      <c r="H116" s="162"/>
    </row>
    <row r="117" spans="1:8" x14ac:dyDescent="0.25">
      <c r="B117" s="254" t="s">
        <v>182</v>
      </c>
      <c r="C117" s="254"/>
      <c r="D117" s="254"/>
      <c r="E117" s="187">
        <v>-150</v>
      </c>
      <c r="F117" s="179">
        <v>-0.47</v>
      </c>
      <c r="G117" s="161">
        <v>-0.01</v>
      </c>
      <c r="H117" s="162"/>
    </row>
    <row r="118" spans="1:8" x14ac:dyDescent="0.25">
      <c r="B118" s="254"/>
      <c r="C118" s="254"/>
      <c r="D118" s="254"/>
      <c r="E118" s="224"/>
      <c r="F118" s="160"/>
      <c r="G118" s="161"/>
      <c r="H118" s="162"/>
    </row>
    <row r="119" spans="1:8" x14ac:dyDescent="0.25">
      <c r="B119" s="169" t="s">
        <v>245</v>
      </c>
      <c r="C119" s="169"/>
      <c r="D119" s="169"/>
      <c r="E119" s="170"/>
      <c r="F119" s="268">
        <v>-0.6</v>
      </c>
      <c r="G119" s="263">
        <v>-0.01</v>
      </c>
      <c r="H119" s="171"/>
    </row>
    <row r="120" spans="1:8" x14ac:dyDescent="0.25">
      <c r="B120" s="254"/>
      <c r="C120" s="254"/>
      <c r="D120" s="254"/>
      <c r="E120" s="224"/>
      <c r="F120" s="160"/>
      <c r="G120" s="161"/>
      <c r="H120" s="162"/>
    </row>
    <row r="121" spans="1:8" x14ac:dyDescent="0.25">
      <c r="B121" s="265" t="s">
        <v>250</v>
      </c>
      <c r="C121" s="269"/>
      <c r="D121" s="269"/>
      <c r="E121" s="270"/>
      <c r="F121" s="268">
        <v>-76.53</v>
      </c>
      <c r="G121" s="263">
        <v>-1.52</v>
      </c>
      <c r="H121" s="162"/>
    </row>
    <row r="122" spans="1:8" x14ac:dyDescent="0.25">
      <c r="B122" s="254"/>
      <c r="C122" s="254"/>
      <c r="D122" s="254"/>
      <c r="E122" s="224"/>
      <c r="F122" s="160"/>
      <c r="G122" s="161"/>
      <c r="H122" s="162"/>
    </row>
    <row r="123" spans="1:8" x14ac:dyDescent="0.25">
      <c r="B123" s="163" t="s">
        <v>251</v>
      </c>
      <c r="C123" s="164"/>
      <c r="D123" s="164"/>
      <c r="E123" s="165"/>
      <c r="F123" s="166"/>
      <c r="G123" s="167"/>
      <c r="H123" s="168"/>
    </row>
    <row r="124" spans="1:8" x14ac:dyDescent="0.25">
      <c r="B124" s="254"/>
      <c r="C124" s="254"/>
      <c r="D124" s="254"/>
      <c r="E124" s="224"/>
      <c r="F124" s="160"/>
      <c r="G124" s="161"/>
      <c r="H124" s="162"/>
    </row>
    <row r="125" spans="1:8" x14ac:dyDescent="0.25">
      <c r="B125" s="173" t="s">
        <v>252</v>
      </c>
      <c r="C125" s="174"/>
      <c r="D125" s="174"/>
      <c r="E125" s="175"/>
      <c r="F125" s="176"/>
      <c r="G125" s="177"/>
      <c r="H125" s="178"/>
    </row>
    <row r="126" spans="1:8" x14ac:dyDescent="0.25">
      <c r="A126" s="223" t="s">
        <v>48</v>
      </c>
      <c r="B126" s="254" t="s">
        <v>253</v>
      </c>
      <c r="C126" s="254" t="s">
        <v>254</v>
      </c>
      <c r="D126" s="254" t="s">
        <v>255</v>
      </c>
      <c r="E126" s="224">
        <v>300000</v>
      </c>
      <c r="F126" s="160">
        <v>308.95</v>
      </c>
      <c r="G126" s="161">
        <v>6.14</v>
      </c>
      <c r="H126" s="162">
        <v>6.6576000000000004</v>
      </c>
    </row>
    <row r="127" spans="1:8" x14ac:dyDescent="0.25">
      <c r="A127" s="223" t="s">
        <v>48</v>
      </c>
      <c r="B127" s="254" t="s">
        <v>256</v>
      </c>
      <c r="C127" s="254" t="s">
        <v>257</v>
      </c>
      <c r="D127" s="254" t="s">
        <v>258</v>
      </c>
      <c r="E127" s="224">
        <v>260000</v>
      </c>
      <c r="F127" s="160">
        <v>271.88</v>
      </c>
      <c r="G127" s="161">
        <v>5.4</v>
      </c>
      <c r="H127" s="162">
        <v>7.0709999999999997</v>
      </c>
    </row>
    <row r="128" spans="1:8" x14ac:dyDescent="0.25">
      <c r="A128" s="223" t="s">
        <v>48</v>
      </c>
      <c r="B128" s="254" t="s">
        <v>465</v>
      </c>
      <c r="C128" s="254" t="s">
        <v>260</v>
      </c>
      <c r="D128" s="254" t="s">
        <v>258</v>
      </c>
      <c r="E128" s="224">
        <v>200000</v>
      </c>
      <c r="F128" s="160">
        <v>203.21</v>
      </c>
      <c r="G128" s="161">
        <v>4.04</v>
      </c>
      <c r="H128" s="162">
        <v>7.1950000000000003</v>
      </c>
    </row>
    <row r="129" spans="1:8" x14ac:dyDescent="0.25">
      <c r="B129" s="254" t="s">
        <v>429</v>
      </c>
      <c r="C129" s="254" t="s">
        <v>261</v>
      </c>
      <c r="D129" s="254" t="s">
        <v>409</v>
      </c>
      <c r="E129" s="224">
        <v>8496</v>
      </c>
      <c r="F129" s="160">
        <v>0.88</v>
      </c>
      <c r="G129" s="161">
        <v>0.02</v>
      </c>
      <c r="H129" s="162">
        <v>11.896699999999999</v>
      </c>
    </row>
    <row r="130" spans="1:8" x14ac:dyDescent="0.25">
      <c r="A130" s="223"/>
      <c r="B130" s="169" t="s">
        <v>245</v>
      </c>
      <c r="C130" s="169"/>
      <c r="D130" s="169"/>
      <c r="E130" s="170"/>
      <c r="F130" s="262">
        <v>784.92</v>
      </c>
      <c r="G130" s="263">
        <v>15.6</v>
      </c>
      <c r="H130" s="171"/>
    </row>
    <row r="131" spans="1:8" x14ac:dyDescent="0.25">
      <c r="B131" s="254"/>
      <c r="C131" s="254"/>
      <c r="D131" s="254"/>
      <c r="E131" s="224"/>
      <c r="F131" s="160"/>
      <c r="G131" s="161"/>
      <c r="H131" s="162"/>
    </row>
    <row r="132" spans="1:8" s="222" customFormat="1" x14ac:dyDescent="0.25">
      <c r="B132" s="173" t="s">
        <v>262</v>
      </c>
      <c r="C132" s="174"/>
      <c r="D132" s="174"/>
      <c r="E132" s="175"/>
      <c r="F132" s="176"/>
      <c r="G132" s="177"/>
      <c r="H132" s="178"/>
    </row>
    <row r="133" spans="1:8" s="222" customFormat="1" x14ac:dyDescent="0.25">
      <c r="B133" s="254"/>
      <c r="C133" s="254"/>
      <c r="D133" s="254"/>
      <c r="E133" s="224"/>
      <c r="F133" s="161">
        <v>0</v>
      </c>
      <c r="G133" s="161">
        <v>0</v>
      </c>
      <c r="H133" s="162"/>
    </row>
    <row r="134" spans="1:8" s="222" customFormat="1" x14ac:dyDescent="0.25">
      <c r="A134" s="42"/>
      <c r="B134" s="169" t="s">
        <v>245</v>
      </c>
      <c r="C134" s="254"/>
      <c r="D134" s="254"/>
      <c r="E134" s="224"/>
      <c r="F134" s="264" t="s">
        <v>247</v>
      </c>
      <c r="G134" s="264" t="s">
        <v>247</v>
      </c>
      <c r="H134" s="162"/>
    </row>
    <row r="135" spans="1:8" s="222" customFormat="1" x14ac:dyDescent="0.25">
      <c r="A135" s="42"/>
      <c r="B135" s="254"/>
      <c r="C135" s="254"/>
      <c r="D135" s="254"/>
      <c r="E135" s="224"/>
      <c r="F135" s="160"/>
      <c r="G135" s="161"/>
      <c r="H135" s="162"/>
    </row>
    <row r="136" spans="1:8" s="222" customFormat="1" x14ac:dyDescent="0.25">
      <c r="A136" s="220"/>
      <c r="B136" s="173" t="s">
        <v>263</v>
      </c>
      <c r="C136" s="174"/>
      <c r="D136" s="174"/>
      <c r="E136" s="175"/>
      <c r="F136" s="176"/>
      <c r="G136" s="177"/>
      <c r="H136" s="178"/>
    </row>
    <row r="137" spans="1:8" s="222" customFormat="1" x14ac:dyDescent="0.25">
      <c r="B137" s="254"/>
      <c r="C137" s="254"/>
      <c r="D137" s="254"/>
      <c r="E137" s="224"/>
      <c r="F137" s="161">
        <v>0</v>
      </c>
      <c r="G137" s="161">
        <v>0</v>
      </c>
      <c r="H137" s="162"/>
    </row>
    <row r="138" spans="1:8" s="222" customFormat="1" x14ac:dyDescent="0.25">
      <c r="A138" s="42"/>
      <c r="B138" s="169" t="s">
        <v>245</v>
      </c>
      <c r="C138" s="254"/>
      <c r="D138" s="254"/>
      <c r="E138" s="224"/>
      <c r="F138" s="264" t="s">
        <v>247</v>
      </c>
      <c r="G138" s="264" t="s">
        <v>247</v>
      </c>
      <c r="H138" s="162"/>
    </row>
    <row r="139" spans="1:8" s="222" customFormat="1" x14ac:dyDescent="0.25">
      <c r="A139" s="223"/>
      <c r="B139" s="254"/>
      <c r="C139" s="254"/>
      <c r="D139" s="254"/>
      <c r="E139" s="224"/>
      <c r="F139" s="160"/>
      <c r="G139" s="161"/>
      <c r="H139" s="162"/>
    </row>
    <row r="140" spans="1:8" s="222" customFormat="1" x14ac:dyDescent="0.25">
      <c r="A140" s="42"/>
      <c r="B140" s="265" t="s">
        <v>248</v>
      </c>
      <c r="C140" s="266"/>
      <c r="D140" s="266"/>
      <c r="E140" s="267"/>
      <c r="F140" s="262">
        <v>784.92</v>
      </c>
      <c r="G140" s="263">
        <v>15.6</v>
      </c>
      <c r="H140" s="171"/>
    </row>
    <row r="141" spans="1:8" s="222" customFormat="1" x14ac:dyDescent="0.25">
      <c r="A141" s="42"/>
      <c r="B141" s="254"/>
      <c r="C141" s="254"/>
      <c r="D141" s="254"/>
      <c r="E141" s="224"/>
      <c r="F141" s="160"/>
      <c r="G141" s="161"/>
      <c r="H141" s="162"/>
    </row>
    <row r="142" spans="1:8" s="222" customFormat="1" x14ac:dyDescent="0.25">
      <c r="B142" s="163" t="s">
        <v>264</v>
      </c>
      <c r="C142" s="164"/>
      <c r="D142" s="164"/>
      <c r="E142" s="165"/>
      <c r="F142" s="166"/>
      <c r="G142" s="167"/>
      <c r="H142" s="168"/>
    </row>
    <row r="143" spans="1:8" s="222" customFormat="1" x14ac:dyDescent="0.25">
      <c r="A143" s="223"/>
      <c r="B143" s="254"/>
      <c r="C143" s="254"/>
      <c r="D143" s="254"/>
      <c r="E143" s="224"/>
      <c r="F143" s="160"/>
      <c r="G143" s="161"/>
      <c r="H143" s="162"/>
    </row>
    <row r="144" spans="1:8" s="222" customFormat="1" x14ac:dyDescent="0.25">
      <c r="A144" s="42"/>
      <c r="B144" s="173" t="s">
        <v>333</v>
      </c>
      <c r="C144" s="174"/>
      <c r="D144" s="174"/>
      <c r="E144" s="175"/>
      <c r="F144" s="176"/>
      <c r="G144" s="177"/>
      <c r="H144" s="178"/>
    </row>
    <row r="145" spans="1:10" s="222" customFormat="1" x14ac:dyDescent="0.25">
      <c r="A145" s="223" t="s">
        <v>48</v>
      </c>
      <c r="B145" s="254" t="s">
        <v>466</v>
      </c>
      <c r="C145" s="254" t="s">
        <v>456</v>
      </c>
      <c r="D145" s="254" t="s">
        <v>377</v>
      </c>
      <c r="E145" s="224">
        <v>250000</v>
      </c>
      <c r="F145" s="160">
        <v>240.62</v>
      </c>
      <c r="G145" s="161">
        <v>4.78</v>
      </c>
      <c r="H145" s="162">
        <v>6.6191000000000004</v>
      </c>
    </row>
    <row r="146" spans="1:10" s="222" customFormat="1" x14ac:dyDescent="0.25">
      <c r="B146" s="169" t="s">
        <v>245</v>
      </c>
      <c r="C146" s="169"/>
      <c r="D146" s="169"/>
      <c r="E146" s="170"/>
      <c r="F146" s="262">
        <v>240.62</v>
      </c>
      <c r="G146" s="263">
        <v>4.78</v>
      </c>
      <c r="H146" s="171"/>
    </row>
    <row r="147" spans="1:10" s="222" customFormat="1" x14ac:dyDescent="0.25">
      <c r="A147" s="42"/>
      <c r="B147" s="254"/>
      <c r="C147" s="254"/>
      <c r="D147" s="254"/>
      <c r="E147" s="224"/>
      <c r="F147" s="160"/>
      <c r="G147" s="161"/>
      <c r="H147" s="162"/>
    </row>
    <row r="148" spans="1:10" s="222" customFormat="1" x14ac:dyDescent="0.25">
      <c r="A148" s="42"/>
      <c r="B148" s="265" t="s">
        <v>248</v>
      </c>
      <c r="C148" s="266"/>
      <c r="D148" s="266"/>
      <c r="E148" s="267"/>
      <c r="F148" s="262">
        <v>240.62</v>
      </c>
      <c r="G148" s="263">
        <v>4.78</v>
      </c>
      <c r="H148" s="171"/>
    </row>
    <row r="149" spans="1:10" s="222" customFormat="1" x14ac:dyDescent="0.25">
      <c r="A149" s="42"/>
      <c r="B149" s="254"/>
      <c r="C149" s="254"/>
      <c r="D149" s="254"/>
      <c r="E149" s="224"/>
      <c r="F149" s="160"/>
      <c r="G149" s="161"/>
      <c r="H149" s="162"/>
    </row>
    <row r="150" spans="1:10" s="222" customFormat="1" x14ac:dyDescent="0.25">
      <c r="A150" s="42"/>
      <c r="B150" s="254"/>
      <c r="C150" s="254"/>
      <c r="D150" s="254"/>
      <c r="E150" s="224"/>
      <c r="F150" s="160"/>
      <c r="G150" s="161"/>
      <c r="H150" s="162"/>
    </row>
    <row r="151" spans="1:10" s="222" customFormat="1" x14ac:dyDescent="0.25">
      <c r="A151" s="42"/>
      <c r="B151" s="163" t="s">
        <v>382</v>
      </c>
      <c r="C151" s="164"/>
      <c r="D151" s="164"/>
      <c r="E151" s="165"/>
      <c r="F151" s="166"/>
      <c r="G151" s="167"/>
      <c r="H151" s="168"/>
    </row>
    <row r="152" spans="1:10" s="222" customFormat="1" x14ac:dyDescent="0.25">
      <c r="A152" s="223" t="s">
        <v>48</v>
      </c>
      <c r="B152" s="254" t="s">
        <v>476</v>
      </c>
      <c r="C152" s="254" t="s">
        <v>467</v>
      </c>
      <c r="D152" s="254"/>
      <c r="E152" s="224"/>
      <c r="F152" s="160">
        <v>244.93</v>
      </c>
      <c r="G152" s="161">
        <v>4.87</v>
      </c>
      <c r="H152" s="162">
        <v>5.1081000000000003</v>
      </c>
    </row>
    <row r="153" spans="1:10" s="222" customFormat="1" x14ac:dyDescent="0.25">
      <c r="B153" s="169" t="s">
        <v>245</v>
      </c>
      <c r="C153" s="169"/>
      <c r="D153" s="169"/>
      <c r="E153" s="170"/>
      <c r="F153" s="262">
        <v>244.93</v>
      </c>
      <c r="G153" s="263">
        <v>4.87</v>
      </c>
      <c r="H153" s="171"/>
    </row>
    <row r="154" spans="1:10" s="222" customFormat="1" x14ac:dyDescent="0.25">
      <c r="A154" s="42"/>
      <c r="B154" s="254"/>
      <c r="C154" s="254"/>
      <c r="D154" s="254"/>
      <c r="E154" s="224"/>
      <c r="F154" s="160"/>
      <c r="G154" s="161"/>
      <c r="H154" s="162"/>
    </row>
    <row r="155" spans="1:10" s="222" customFormat="1" x14ac:dyDescent="0.25">
      <c r="A155" s="42"/>
      <c r="B155" s="265" t="s">
        <v>248</v>
      </c>
      <c r="C155" s="266"/>
      <c r="D155" s="266"/>
      <c r="E155" s="267"/>
      <c r="F155" s="262">
        <v>244.93</v>
      </c>
      <c r="G155" s="263">
        <v>4.87</v>
      </c>
      <c r="H155" s="171"/>
    </row>
    <row r="156" spans="1:10" s="222" customFormat="1" x14ac:dyDescent="0.25">
      <c r="A156" s="42"/>
      <c r="B156" s="254"/>
      <c r="C156" s="254"/>
      <c r="D156" s="254"/>
      <c r="E156" s="224"/>
      <c r="F156" s="160"/>
      <c r="G156" s="161"/>
      <c r="H156" s="162"/>
    </row>
    <row r="157" spans="1:10" s="222" customFormat="1" x14ac:dyDescent="0.25">
      <c r="A157" s="42"/>
      <c r="B157" s="254" t="s">
        <v>266</v>
      </c>
      <c r="C157" s="254"/>
      <c r="D157" s="254"/>
      <c r="E157" s="224"/>
      <c r="F157" s="160">
        <v>149.03</v>
      </c>
      <c r="G157" s="161">
        <v>2.960000000000008</v>
      </c>
      <c r="H157" s="162"/>
    </row>
    <row r="158" spans="1:10" s="222" customFormat="1" x14ac:dyDescent="0.25">
      <c r="A158" s="42"/>
      <c r="B158" s="254"/>
      <c r="C158" s="254"/>
      <c r="D158" s="254"/>
      <c r="E158" s="224"/>
      <c r="F158" s="160"/>
      <c r="G158" s="161"/>
      <c r="H158" s="162"/>
    </row>
    <row r="159" spans="1:10" s="222" customFormat="1" x14ac:dyDescent="0.25">
      <c r="A159" s="42"/>
      <c r="B159" s="265" t="s">
        <v>267</v>
      </c>
      <c r="C159" s="266"/>
      <c r="D159" s="266"/>
      <c r="E159" s="267"/>
      <c r="F159" s="262">
        <v>5034.1499999999996</v>
      </c>
      <c r="G159" s="263">
        <v>100</v>
      </c>
      <c r="H159" s="172"/>
    </row>
    <row r="160" spans="1:10" ht="15.75" x14ac:dyDescent="0.25">
      <c r="A160" s="159" t="s">
        <v>48</v>
      </c>
      <c r="B160" s="1" t="s">
        <v>361</v>
      </c>
      <c r="C160" s="1"/>
      <c r="E160" s="4"/>
      <c r="F160" s="29"/>
      <c r="G160" s="5"/>
      <c r="H160" s="6"/>
      <c r="I160" s="16"/>
      <c r="J160" s="8"/>
    </row>
    <row r="161" spans="1:13" x14ac:dyDescent="0.25">
      <c r="A161" s="18"/>
      <c r="B161" s="40" t="s">
        <v>0</v>
      </c>
      <c r="C161" s="1"/>
      <c r="E161" s="4"/>
      <c r="F161" s="37"/>
      <c r="G161" s="4"/>
      <c r="H161" s="4"/>
      <c r="I161" s="16"/>
      <c r="J161" s="8"/>
    </row>
    <row r="162" spans="1:13" x14ac:dyDescent="0.25">
      <c r="A162" s="18"/>
      <c r="B162" s="40" t="s">
        <v>408</v>
      </c>
      <c r="C162" s="1"/>
      <c r="D162" s="36"/>
      <c r="E162" s="4"/>
      <c r="F162" s="37"/>
      <c r="G162" s="4"/>
      <c r="H162" s="4"/>
      <c r="I162" s="16"/>
      <c r="J162" s="8"/>
    </row>
    <row r="163" spans="1:13" x14ac:dyDescent="0.25">
      <c r="A163" s="18"/>
      <c r="B163" s="40" t="s">
        <v>31</v>
      </c>
      <c r="C163" s="1"/>
      <c r="D163" s="36"/>
      <c r="E163" s="29"/>
      <c r="F163" s="29"/>
      <c r="G163" s="29"/>
      <c r="H163" s="4"/>
      <c r="I163" s="16"/>
      <c r="J163" s="8"/>
    </row>
    <row r="164" spans="1:13" x14ac:dyDescent="0.25">
      <c r="A164" s="18"/>
      <c r="B164" s="40"/>
      <c r="C164" s="1"/>
      <c r="D164" s="36"/>
      <c r="E164" s="29"/>
      <c r="F164" s="29"/>
      <c r="G164" s="29"/>
      <c r="H164" s="4"/>
      <c r="I164" s="16"/>
      <c r="J164" s="8"/>
    </row>
    <row r="165" spans="1:13" x14ac:dyDescent="0.25">
      <c r="A165" s="18"/>
      <c r="B165" s="1"/>
      <c r="C165" s="1"/>
      <c r="D165" s="4"/>
      <c r="E165" s="14"/>
      <c r="F165" s="29"/>
      <c r="G165" s="29"/>
      <c r="H165" s="4"/>
      <c r="I165" s="4"/>
    </row>
    <row r="166" spans="1:13" x14ac:dyDescent="0.25">
      <c r="A166" s="62" t="s">
        <v>137</v>
      </c>
      <c r="B166" s="45" t="s">
        <v>1</v>
      </c>
      <c r="C166" s="47" t="s">
        <v>51</v>
      </c>
      <c r="D166" s="135"/>
      <c r="E166" s="136"/>
      <c r="F166" s="29"/>
      <c r="G166" s="29"/>
      <c r="H166" s="29"/>
      <c r="I166" s="4"/>
      <c r="K166" s="7"/>
      <c r="L166" s="10"/>
    </row>
    <row r="167" spans="1:13" x14ac:dyDescent="0.25">
      <c r="A167" s="212"/>
      <c r="B167" s="256" t="s">
        <v>67</v>
      </c>
      <c r="C167" s="257">
        <f t="shared" ref="C167:C204" si="0">SUMIF($D$19:$D$159,B167,$G$19:$G$159)</f>
        <v>16.599999999999998</v>
      </c>
      <c r="D167" s="213"/>
      <c r="E167" s="95"/>
      <c r="F167" s="96"/>
      <c r="G167" s="29"/>
      <c r="H167" s="29"/>
      <c r="J167" s="7"/>
      <c r="K167" s="10"/>
      <c r="L167" s="16"/>
      <c r="M167" s="10"/>
    </row>
    <row r="168" spans="1:13" x14ac:dyDescent="0.25">
      <c r="A168" s="212"/>
      <c r="B168" s="217" t="s">
        <v>44</v>
      </c>
      <c r="C168" s="215">
        <f t="shared" si="0"/>
        <v>5.28</v>
      </c>
      <c r="D168" s="213"/>
      <c r="E168" s="95"/>
      <c r="F168" s="96"/>
      <c r="G168" s="29"/>
      <c r="H168" s="29"/>
      <c r="K168" s="10"/>
      <c r="L168" s="16"/>
      <c r="M168" s="10"/>
    </row>
    <row r="169" spans="1:13" x14ac:dyDescent="0.25">
      <c r="A169" s="212"/>
      <c r="B169" s="217" t="s">
        <v>111</v>
      </c>
      <c r="C169" s="215">
        <f t="shared" si="0"/>
        <v>4.66</v>
      </c>
      <c r="D169" s="213"/>
      <c r="E169" s="95"/>
      <c r="F169" s="96"/>
      <c r="G169" s="29"/>
      <c r="H169" s="29"/>
      <c r="K169" s="10"/>
      <c r="L169" s="16"/>
      <c r="M169" s="10"/>
    </row>
    <row r="170" spans="1:13" x14ac:dyDescent="0.25">
      <c r="A170" s="212"/>
      <c r="B170" s="217" t="s">
        <v>50</v>
      </c>
      <c r="C170" s="215">
        <f t="shared" si="0"/>
        <v>4.3600000000000003</v>
      </c>
      <c r="D170" s="213"/>
      <c r="E170" s="95"/>
      <c r="F170" s="96"/>
      <c r="G170" s="29"/>
      <c r="H170" s="29"/>
      <c r="K170" s="10"/>
      <c r="L170" s="16"/>
      <c r="M170" s="10"/>
    </row>
    <row r="171" spans="1:13" x14ac:dyDescent="0.25">
      <c r="A171" s="212"/>
      <c r="B171" s="217" t="s">
        <v>45</v>
      </c>
      <c r="C171" s="215">
        <f t="shared" si="0"/>
        <v>4.3599999999999994</v>
      </c>
      <c r="D171" s="213"/>
      <c r="E171" s="95"/>
      <c r="F171" s="96"/>
      <c r="G171" s="29"/>
      <c r="H171" s="29"/>
      <c r="J171" s="7"/>
      <c r="K171" s="10"/>
      <c r="L171" s="16"/>
      <c r="M171" s="10"/>
    </row>
    <row r="172" spans="1:13" x14ac:dyDescent="0.25">
      <c r="A172" s="212"/>
      <c r="B172" s="217" t="s">
        <v>42</v>
      </c>
      <c r="C172" s="215">
        <f t="shared" si="0"/>
        <v>3.32</v>
      </c>
      <c r="D172" s="213"/>
      <c r="E172" s="95"/>
      <c r="F172" s="96"/>
      <c r="G172" s="29"/>
      <c r="H172" s="29"/>
      <c r="J172" s="7"/>
      <c r="K172" s="10"/>
      <c r="L172" s="16"/>
      <c r="M172" s="10"/>
    </row>
    <row r="173" spans="1:13" x14ac:dyDescent="0.25">
      <c r="A173" s="212"/>
      <c r="B173" s="217" t="s">
        <v>43</v>
      </c>
      <c r="C173" s="215">
        <f t="shared" si="0"/>
        <v>3.21</v>
      </c>
      <c r="D173" s="213"/>
      <c r="E173" s="95"/>
      <c r="F173" s="96"/>
      <c r="G173" s="29"/>
      <c r="H173" s="29"/>
      <c r="J173" s="7"/>
      <c r="K173" s="10"/>
      <c r="L173" s="16"/>
      <c r="M173" s="10"/>
    </row>
    <row r="174" spans="1:13" x14ac:dyDescent="0.25">
      <c r="A174" s="212"/>
      <c r="B174" s="217" t="s">
        <v>94</v>
      </c>
      <c r="C174" s="215">
        <f t="shared" si="0"/>
        <v>2.57</v>
      </c>
      <c r="D174" s="213"/>
      <c r="E174" s="95"/>
      <c r="F174" s="96"/>
      <c r="G174" s="29"/>
      <c r="H174" s="29"/>
      <c r="J174" s="7"/>
      <c r="K174" s="10"/>
      <c r="L174" s="16"/>
      <c r="M174" s="10"/>
    </row>
    <row r="175" spans="1:13" x14ac:dyDescent="0.25">
      <c r="A175" s="212"/>
      <c r="B175" s="217" t="s">
        <v>114</v>
      </c>
      <c r="C175" s="215">
        <f t="shared" si="0"/>
        <v>2.2400000000000002</v>
      </c>
      <c r="D175" s="213"/>
      <c r="E175" s="95"/>
      <c r="F175" s="96"/>
      <c r="G175" s="29"/>
      <c r="H175" s="29"/>
      <c r="J175" s="7"/>
      <c r="K175" s="10"/>
      <c r="L175" s="16"/>
      <c r="M175" s="10"/>
    </row>
    <row r="176" spans="1:13" x14ac:dyDescent="0.25">
      <c r="A176" s="212"/>
      <c r="B176" s="217" t="s">
        <v>105</v>
      </c>
      <c r="C176" s="215">
        <f t="shared" si="0"/>
        <v>2.02</v>
      </c>
      <c r="D176" s="213"/>
      <c r="E176" s="95"/>
      <c r="F176" s="96"/>
      <c r="G176" s="29"/>
      <c r="H176" s="29"/>
      <c r="J176" s="7"/>
      <c r="K176" s="10"/>
      <c r="L176" s="16"/>
      <c r="M176" s="10"/>
    </row>
    <row r="177" spans="1:13" x14ac:dyDescent="0.25">
      <c r="A177" s="212"/>
      <c r="B177" s="217" t="s">
        <v>109</v>
      </c>
      <c r="C177" s="215">
        <f t="shared" si="0"/>
        <v>1.92</v>
      </c>
      <c r="D177" s="213"/>
      <c r="E177" s="95"/>
      <c r="F177" s="96"/>
      <c r="G177" s="29"/>
      <c r="H177" s="29"/>
      <c r="J177" s="7"/>
      <c r="K177" s="10"/>
      <c r="L177" s="16"/>
      <c r="M177" s="10"/>
    </row>
    <row r="178" spans="1:13" x14ac:dyDescent="0.25">
      <c r="A178" s="212"/>
      <c r="B178" s="217" t="s">
        <v>121</v>
      </c>
      <c r="C178" s="215">
        <f t="shared" si="0"/>
        <v>1.6400000000000001</v>
      </c>
      <c r="D178" s="213"/>
      <c r="E178" s="95"/>
      <c r="F178" s="96"/>
      <c r="G178" s="29"/>
      <c r="H178" s="29"/>
      <c r="J178" s="7"/>
      <c r="K178" s="10"/>
      <c r="L178" s="16"/>
      <c r="M178" s="10"/>
    </row>
    <row r="179" spans="1:13" x14ac:dyDescent="0.25">
      <c r="A179" s="212"/>
      <c r="B179" s="217" t="s">
        <v>66</v>
      </c>
      <c r="C179" s="215">
        <f t="shared" si="0"/>
        <v>1.58</v>
      </c>
      <c r="D179" s="255"/>
      <c r="E179" s="95"/>
      <c r="F179" s="96"/>
      <c r="G179" s="29"/>
      <c r="H179" s="29"/>
      <c r="J179" s="7"/>
      <c r="K179" s="10"/>
      <c r="L179" s="16"/>
      <c r="M179" s="10"/>
    </row>
    <row r="180" spans="1:13" x14ac:dyDescent="0.25">
      <c r="A180" s="212"/>
      <c r="B180" s="217" t="s">
        <v>113</v>
      </c>
      <c r="C180" s="215">
        <f t="shared" si="0"/>
        <v>1.54</v>
      </c>
      <c r="D180" s="213"/>
      <c r="E180" s="95"/>
      <c r="F180" s="96"/>
      <c r="G180" s="29"/>
      <c r="H180" s="29"/>
      <c r="J180" s="7"/>
      <c r="K180" s="10"/>
      <c r="L180" s="16"/>
      <c r="M180" s="10"/>
    </row>
    <row r="181" spans="1:13" x14ac:dyDescent="0.25">
      <c r="A181" s="212"/>
      <c r="B181" s="217" t="s">
        <v>274</v>
      </c>
      <c r="C181" s="215">
        <f t="shared" si="0"/>
        <v>1.45</v>
      </c>
      <c r="D181" s="213"/>
      <c r="E181" s="95"/>
      <c r="F181" s="96"/>
      <c r="G181" s="29"/>
      <c r="H181" s="29"/>
      <c r="J181" s="7"/>
      <c r="K181" s="10"/>
      <c r="L181" s="16"/>
      <c r="M181" s="10"/>
    </row>
    <row r="182" spans="1:13" x14ac:dyDescent="0.25">
      <c r="A182" s="212"/>
      <c r="B182" s="217" t="s">
        <v>65</v>
      </c>
      <c r="C182" s="215">
        <f t="shared" si="0"/>
        <v>1.43</v>
      </c>
      <c r="D182" s="213"/>
      <c r="E182" s="95"/>
      <c r="F182" s="96"/>
      <c r="G182" s="29"/>
      <c r="H182" s="29"/>
      <c r="J182" s="7"/>
      <c r="K182" s="10"/>
      <c r="L182" s="16"/>
      <c r="M182" s="10"/>
    </row>
    <row r="183" spans="1:13" x14ac:dyDescent="0.25">
      <c r="A183" s="212"/>
      <c r="B183" s="217" t="s">
        <v>120</v>
      </c>
      <c r="C183" s="215">
        <f t="shared" si="0"/>
        <v>1.35</v>
      </c>
      <c r="D183" s="213"/>
      <c r="E183" s="95"/>
      <c r="F183" s="96"/>
      <c r="G183" s="29"/>
      <c r="H183" s="29"/>
      <c r="J183" s="7"/>
      <c r="K183" s="10"/>
      <c r="L183" s="16"/>
      <c r="M183" s="10"/>
    </row>
    <row r="184" spans="1:13" x14ac:dyDescent="0.25">
      <c r="A184" s="212"/>
      <c r="B184" s="217" t="s">
        <v>93</v>
      </c>
      <c r="C184" s="215">
        <f t="shared" si="0"/>
        <v>1.24</v>
      </c>
      <c r="D184" s="213"/>
      <c r="E184" s="95"/>
      <c r="F184" s="96"/>
      <c r="G184" s="29"/>
      <c r="H184" s="29"/>
      <c r="J184" s="7"/>
      <c r="K184" s="10"/>
      <c r="L184" s="16"/>
      <c r="M184" s="10"/>
    </row>
    <row r="185" spans="1:13" x14ac:dyDescent="0.25">
      <c r="A185" s="212"/>
      <c r="B185" s="217" t="s">
        <v>68</v>
      </c>
      <c r="C185" s="215">
        <f t="shared" si="0"/>
        <v>1.1600000000000001</v>
      </c>
      <c r="D185" s="213"/>
      <c r="E185" s="95"/>
      <c r="F185" s="96"/>
      <c r="G185" s="29"/>
      <c r="H185" s="29"/>
      <c r="J185" s="7"/>
      <c r="K185" s="10"/>
      <c r="L185" s="16"/>
      <c r="M185" s="10"/>
    </row>
    <row r="186" spans="1:13" x14ac:dyDescent="0.25">
      <c r="A186" s="212"/>
      <c r="B186" s="217" t="s">
        <v>130</v>
      </c>
      <c r="C186" s="215">
        <f t="shared" si="0"/>
        <v>1.1499999999999999</v>
      </c>
      <c r="D186" s="213"/>
      <c r="E186" s="95"/>
      <c r="F186" s="96"/>
      <c r="G186" s="29"/>
      <c r="H186" s="29"/>
      <c r="J186" s="7"/>
      <c r="K186" s="10"/>
      <c r="L186" s="16"/>
      <c r="M186" s="10"/>
    </row>
    <row r="187" spans="1:13" x14ac:dyDescent="0.25">
      <c r="A187" s="212"/>
      <c r="B187" s="217" t="s">
        <v>112</v>
      </c>
      <c r="C187" s="215">
        <f t="shared" si="0"/>
        <v>1.1299999999999999</v>
      </c>
      <c r="D187" s="213"/>
      <c r="E187" s="95"/>
      <c r="F187" s="96"/>
      <c r="G187" s="29"/>
      <c r="H187" s="29"/>
      <c r="J187" s="7"/>
      <c r="K187" s="10"/>
      <c r="L187" s="16"/>
      <c r="M187" s="10"/>
    </row>
    <row r="188" spans="1:13" x14ac:dyDescent="0.25">
      <c r="A188" s="212"/>
      <c r="B188" s="217" t="s">
        <v>115</v>
      </c>
      <c r="C188" s="215">
        <f t="shared" si="0"/>
        <v>1.08</v>
      </c>
      <c r="D188" s="213"/>
      <c r="E188" s="95"/>
      <c r="F188" s="96"/>
      <c r="G188" s="29"/>
      <c r="H188" s="29"/>
      <c r="J188" s="7"/>
      <c r="K188" s="10"/>
      <c r="L188" s="16"/>
      <c r="M188" s="10"/>
    </row>
    <row r="189" spans="1:13" x14ac:dyDescent="0.25">
      <c r="A189" s="212"/>
      <c r="B189" s="217" t="s">
        <v>47</v>
      </c>
      <c r="C189" s="215">
        <f t="shared" si="0"/>
        <v>0.85</v>
      </c>
      <c r="D189" s="213"/>
      <c r="E189" s="95"/>
      <c r="F189" s="96"/>
      <c r="G189" s="29"/>
      <c r="H189" s="29"/>
      <c r="J189" s="7"/>
      <c r="K189" s="10"/>
      <c r="L189" s="16"/>
      <c r="M189" s="10"/>
    </row>
    <row r="190" spans="1:13" x14ac:dyDescent="0.25">
      <c r="A190" s="212"/>
      <c r="B190" s="217" t="s">
        <v>108</v>
      </c>
      <c r="C190" s="215">
        <f t="shared" si="0"/>
        <v>0.8</v>
      </c>
      <c r="D190" s="213"/>
      <c r="E190" s="95"/>
      <c r="F190" s="96"/>
      <c r="G190" s="29"/>
      <c r="H190" s="29"/>
      <c r="J190" s="7"/>
      <c r="K190" s="10"/>
      <c r="L190" s="16"/>
      <c r="M190" s="10"/>
    </row>
    <row r="191" spans="1:13" x14ac:dyDescent="0.25">
      <c r="A191" s="212"/>
      <c r="B191" s="217" t="s">
        <v>46</v>
      </c>
      <c r="C191" s="215">
        <f t="shared" si="0"/>
        <v>0.78</v>
      </c>
      <c r="D191" s="213"/>
      <c r="E191" s="95"/>
      <c r="F191" s="96"/>
      <c r="G191" s="29"/>
      <c r="H191" s="29"/>
      <c r="J191" s="7"/>
      <c r="K191" s="10"/>
      <c r="L191" s="16"/>
      <c r="M191" s="10"/>
    </row>
    <row r="192" spans="1:13" x14ac:dyDescent="0.25">
      <c r="A192" s="212"/>
      <c r="B192" s="217" t="s">
        <v>135</v>
      </c>
      <c r="C192" s="215">
        <f t="shared" si="0"/>
        <v>0.67</v>
      </c>
      <c r="D192" s="213"/>
      <c r="E192" s="95"/>
      <c r="F192" s="96"/>
      <c r="G192" s="29"/>
      <c r="H192" s="29"/>
      <c r="J192" s="7"/>
      <c r="K192" s="10"/>
      <c r="L192" s="16"/>
      <c r="M192" s="10"/>
    </row>
    <row r="193" spans="1:13" x14ac:dyDescent="0.25">
      <c r="A193" s="212"/>
      <c r="B193" s="217" t="s">
        <v>118</v>
      </c>
      <c r="C193" s="215">
        <f t="shared" si="0"/>
        <v>0.61</v>
      </c>
      <c r="D193" s="213"/>
      <c r="E193" s="95"/>
      <c r="F193" s="96"/>
      <c r="G193" s="29"/>
      <c r="H193" s="29"/>
      <c r="J193" s="7"/>
      <c r="K193" s="10"/>
      <c r="L193" s="16"/>
      <c r="M193" s="10"/>
    </row>
    <row r="194" spans="1:13" x14ac:dyDescent="0.25">
      <c r="A194" s="212"/>
      <c r="B194" s="217" t="s">
        <v>95</v>
      </c>
      <c r="C194" s="215">
        <f t="shared" si="0"/>
        <v>0.56000000000000005</v>
      </c>
      <c r="D194" s="213"/>
      <c r="E194" s="95"/>
      <c r="F194" s="96"/>
      <c r="G194" s="29"/>
      <c r="H194" s="29"/>
      <c r="J194" s="7"/>
      <c r="K194" s="10"/>
      <c r="L194" s="16"/>
      <c r="M194" s="10"/>
    </row>
    <row r="195" spans="1:13" x14ac:dyDescent="0.25">
      <c r="A195" s="212"/>
      <c r="B195" s="217" t="s">
        <v>107</v>
      </c>
      <c r="C195" s="215">
        <f t="shared" si="0"/>
        <v>0.53</v>
      </c>
      <c r="D195" s="213"/>
      <c r="E195" s="95"/>
      <c r="F195" s="96"/>
      <c r="G195" s="29"/>
      <c r="H195" s="29"/>
      <c r="J195" s="7"/>
      <c r="K195" s="10"/>
      <c r="L195" s="16"/>
      <c r="M195" s="10"/>
    </row>
    <row r="196" spans="1:13" x14ac:dyDescent="0.25">
      <c r="A196" s="212"/>
      <c r="B196" s="217" t="s">
        <v>106</v>
      </c>
      <c r="C196" s="215">
        <f t="shared" si="0"/>
        <v>0.52</v>
      </c>
      <c r="D196" s="213"/>
      <c r="E196" s="95"/>
      <c r="F196" s="96"/>
      <c r="G196" s="29"/>
      <c r="H196" s="29"/>
      <c r="J196" s="7"/>
      <c r="K196" s="10"/>
      <c r="L196" s="16"/>
      <c r="M196" s="10"/>
    </row>
    <row r="197" spans="1:13" x14ac:dyDescent="0.25">
      <c r="A197" s="212"/>
      <c r="B197" s="217" t="s">
        <v>424</v>
      </c>
      <c r="C197" s="215">
        <f t="shared" si="0"/>
        <v>0.48</v>
      </c>
      <c r="D197" s="213"/>
      <c r="E197" s="95"/>
      <c r="F197" s="96"/>
      <c r="G197" s="29"/>
      <c r="H197" s="29"/>
      <c r="J197" s="7"/>
      <c r="K197" s="10"/>
      <c r="L197" s="16"/>
      <c r="M197" s="10"/>
    </row>
    <row r="198" spans="1:13" s="222" customFormat="1" x14ac:dyDescent="0.25">
      <c r="A198" s="212"/>
      <c r="B198" s="217" t="s">
        <v>116</v>
      </c>
      <c r="C198" s="215">
        <f t="shared" si="0"/>
        <v>0.43</v>
      </c>
      <c r="D198" s="213"/>
      <c r="E198" s="95"/>
      <c r="F198" s="96"/>
      <c r="G198" s="29"/>
      <c r="H198" s="29"/>
      <c r="J198" s="7"/>
      <c r="K198" s="10"/>
      <c r="L198" s="16"/>
      <c r="M198" s="10"/>
    </row>
    <row r="199" spans="1:13" s="222" customFormat="1" x14ac:dyDescent="0.25">
      <c r="A199" s="212"/>
      <c r="B199" s="217" t="s">
        <v>369</v>
      </c>
      <c r="C199" s="215">
        <f t="shared" si="0"/>
        <v>0.38</v>
      </c>
      <c r="D199" s="213"/>
      <c r="E199" s="95"/>
      <c r="F199" s="96"/>
      <c r="G199" s="29"/>
      <c r="H199" s="29"/>
      <c r="J199" s="7"/>
      <c r="K199" s="10"/>
      <c r="L199" s="16"/>
      <c r="M199" s="10"/>
    </row>
    <row r="200" spans="1:13" s="222" customFormat="1" x14ac:dyDescent="0.25">
      <c r="A200" s="212"/>
      <c r="B200" s="217" t="s">
        <v>117</v>
      </c>
      <c r="C200" s="215">
        <f t="shared" si="0"/>
        <v>0.37</v>
      </c>
      <c r="D200" s="213"/>
      <c r="E200" s="95"/>
      <c r="F200" s="96"/>
      <c r="G200" s="29"/>
      <c r="H200" s="29"/>
      <c r="J200" s="7"/>
      <c r="K200" s="10"/>
      <c r="L200" s="16"/>
      <c r="M200" s="10"/>
    </row>
    <row r="201" spans="1:13" s="222" customFormat="1" x14ac:dyDescent="0.25">
      <c r="A201" s="212"/>
      <c r="B201" s="217" t="s">
        <v>356</v>
      </c>
      <c r="C201" s="215">
        <f t="shared" si="0"/>
        <v>0.35</v>
      </c>
      <c r="D201" s="213"/>
      <c r="E201" s="95"/>
      <c r="F201" s="96"/>
      <c r="G201" s="29"/>
      <c r="H201" s="29"/>
      <c r="J201" s="7"/>
      <c r="K201" s="10"/>
      <c r="L201" s="16"/>
      <c r="M201" s="10"/>
    </row>
    <row r="202" spans="1:13" s="222" customFormat="1" x14ac:dyDescent="0.25">
      <c r="A202" s="212"/>
      <c r="B202" s="217" t="s">
        <v>418</v>
      </c>
      <c r="C202" s="215">
        <f t="shared" si="0"/>
        <v>0.28000000000000003</v>
      </c>
      <c r="D202" s="213"/>
      <c r="E202" s="95"/>
      <c r="F202" s="96"/>
      <c r="G202" s="29"/>
      <c r="H202" s="29"/>
      <c r="J202" s="7"/>
      <c r="K202" s="10"/>
      <c r="L202" s="16"/>
      <c r="M202" s="10"/>
    </row>
    <row r="203" spans="1:13" s="222" customFormat="1" x14ac:dyDescent="0.25">
      <c r="A203" s="212"/>
      <c r="B203" s="217" t="s">
        <v>119</v>
      </c>
      <c r="C203" s="215">
        <f t="shared" si="0"/>
        <v>0.22</v>
      </c>
      <c r="D203" s="213"/>
      <c r="E203" s="95"/>
      <c r="F203" s="96"/>
      <c r="G203" s="29"/>
      <c r="H203" s="29"/>
      <c r="J203" s="7"/>
      <c r="K203" s="10"/>
      <c r="L203" s="16"/>
      <c r="M203" s="10"/>
    </row>
    <row r="204" spans="1:13" s="222" customFormat="1" x14ac:dyDescent="0.25">
      <c r="A204" s="212"/>
      <c r="B204" s="218" t="s">
        <v>345</v>
      </c>
      <c r="C204" s="214">
        <f t="shared" si="0"/>
        <v>0.19</v>
      </c>
      <c r="D204" s="213"/>
      <c r="E204" s="95"/>
      <c r="F204" s="96"/>
      <c r="G204" s="29"/>
      <c r="H204" s="29"/>
      <c r="J204" s="7"/>
      <c r="K204" s="10"/>
      <c r="L204" s="16"/>
      <c r="M204" s="10"/>
    </row>
    <row r="205" spans="1:13" x14ac:dyDescent="0.25">
      <c r="B205" s="61" t="s">
        <v>138</v>
      </c>
      <c r="C205" s="216"/>
      <c r="D205" s="14"/>
      <c r="E205" s="211">
        <f>SUM(C166:C205)-G105</f>
        <v>0</v>
      </c>
      <c r="F205" s="14"/>
      <c r="G205" s="14"/>
    </row>
    <row r="206" spans="1:13" x14ac:dyDescent="0.25">
      <c r="B206" s="61"/>
      <c r="D206" s="14"/>
      <c r="E206" s="46"/>
      <c r="F206" s="14"/>
      <c r="G206" s="14"/>
    </row>
    <row r="207" spans="1:13" x14ac:dyDescent="0.25">
      <c r="B207" t="s">
        <v>136</v>
      </c>
      <c r="D207" s="14"/>
      <c r="E207" s="14"/>
      <c r="F207" s="14"/>
      <c r="G207" s="14"/>
    </row>
    <row r="208" spans="1:13" x14ac:dyDescent="0.25">
      <c r="B208" t="s">
        <v>344</v>
      </c>
      <c r="D208" s="14"/>
      <c r="E208" s="14"/>
      <c r="F208" s="14"/>
      <c r="G208" s="14"/>
    </row>
    <row r="209" spans="2:7" x14ac:dyDescent="0.25">
      <c r="B209" s="229" t="s">
        <v>388</v>
      </c>
      <c r="C209" s="230" t="s">
        <v>387</v>
      </c>
      <c r="D209" s="14"/>
      <c r="E209" s="14"/>
      <c r="F209" s="14"/>
      <c r="G209" s="14"/>
    </row>
    <row r="210" spans="2:7" x14ac:dyDescent="0.25">
      <c r="D210" s="14"/>
      <c r="E210" s="14"/>
      <c r="F210" s="14"/>
      <c r="G210" s="14"/>
    </row>
    <row r="211" spans="2:7" x14ac:dyDescent="0.25">
      <c r="D211" s="14"/>
      <c r="E211" s="14"/>
      <c r="F211" s="14"/>
      <c r="G211" s="14"/>
    </row>
    <row r="212" spans="2:7" x14ac:dyDescent="0.25">
      <c r="D212" s="14"/>
      <c r="E212" s="14"/>
      <c r="F212" s="14"/>
      <c r="G212" s="14"/>
    </row>
    <row r="213" spans="2:7" x14ac:dyDescent="0.25">
      <c r="D213" s="14"/>
      <c r="E213" s="14"/>
      <c r="F213" s="14"/>
      <c r="G213" s="14"/>
    </row>
  </sheetData>
  <mergeCells count="9">
    <mergeCell ref="B1:H1"/>
    <mergeCell ref="F4:H4"/>
    <mergeCell ref="B2:H2"/>
    <mergeCell ref="D4:E4"/>
    <mergeCell ref="F13:H13"/>
    <mergeCell ref="B7:C7"/>
    <mergeCell ref="B10:C10"/>
    <mergeCell ref="D12:E12"/>
    <mergeCell ref="F12:H12"/>
  </mergeCells>
  <hyperlinks>
    <hyperlink ref="C209" r:id="rId1" xr:uid="{6C8F8CBE-929C-4BB4-B08C-7EEC0587CDE6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09C6-62AE-4DF7-996B-A6A831C7DCA5}">
  <sheetPr codeName="Sheet2">
    <pageSetUpPr autoPageBreaks="0"/>
  </sheetPr>
  <dimension ref="A1:M179"/>
  <sheetViews>
    <sheetView showGridLines="0" zoomScaleNormal="100" workbookViewId="0"/>
  </sheetViews>
  <sheetFormatPr defaultColWidth="17.7109375" defaultRowHeight="15" x14ac:dyDescent="0.25"/>
  <cols>
    <col min="1" max="1" width="5.140625" style="76" customWidth="1"/>
    <col min="2" max="2" width="49.28515625" style="11" customWidth="1"/>
    <col min="3" max="3" width="21.5703125" style="11" customWidth="1"/>
    <col min="4" max="4" width="30.5703125" style="11" customWidth="1"/>
    <col min="5" max="5" width="32" style="11" customWidth="1"/>
    <col min="6" max="6" width="25" style="11" customWidth="1"/>
    <col min="7" max="7" width="16" style="11" customWidth="1"/>
    <col min="8" max="8" width="11.5703125" style="11" customWidth="1"/>
    <col min="9" max="9" width="17.28515625" style="11" customWidth="1"/>
    <col min="10" max="10" width="19" style="11" bestFit="1" customWidth="1"/>
    <col min="11" max="16384" width="17.7109375" style="11"/>
  </cols>
  <sheetData>
    <row r="1" spans="1:9" ht="21.75" x14ac:dyDescent="0.25">
      <c r="B1" s="287" t="s">
        <v>7</v>
      </c>
      <c r="C1" s="287"/>
      <c r="D1" s="287"/>
      <c r="E1" s="287"/>
      <c r="F1" s="287"/>
      <c r="G1" s="287"/>
      <c r="H1" s="287"/>
    </row>
    <row r="2" spans="1:9" customFormat="1" ht="13.5" customHeight="1" x14ac:dyDescent="0.25">
      <c r="B2" s="276" t="s">
        <v>73</v>
      </c>
      <c r="C2" s="276"/>
      <c r="D2" s="276"/>
      <c r="E2" s="276"/>
      <c r="F2" s="276"/>
      <c r="G2" s="276"/>
      <c r="H2" s="276"/>
    </row>
    <row r="3" spans="1:9" customFormat="1" ht="13.5" customHeight="1" x14ac:dyDescent="0.3">
      <c r="B3" s="144"/>
      <c r="C3" s="144"/>
      <c r="D3" s="144"/>
      <c r="E3" s="144"/>
      <c r="F3" s="144"/>
      <c r="G3" s="144"/>
      <c r="H3" s="144"/>
    </row>
    <row r="4" spans="1:9" s="19" customFormat="1" ht="21" x14ac:dyDescent="0.25">
      <c r="A4" s="75"/>
      <c r="B4" s="55"/>
      <c r="C4" s="56"/>
      <c r="D4" s="273" t="s">
        <v>9</v>
      </c>
      <c r="E4" s="275"/>
      <c r="F4" s="273" t="s">
        <v>56</v>
      </c>
      <c r="G4" s="274"/>
      <c r="H4" s="275"/>
    </row>
    <row r="5" spans="1:9" s="19" customFormat="1" ht="15.75" x14ac:dyDescent="0.25">
      <c r="A5" s="75"/>
      <c r="B5" s="54" t="s">
        <v>2</v>
      </c>
      <c r="C5" s="20"/>
      <c r="D5" s="50"/>
      <c r="E5" s="24"/>
      <c r="F5" s="50"/>
      <c r="G5" s="44"/>
      <c r="H5" s="51"/>
    </row>
    <row r="6" spans="1:9" s="19" customFormat="1" ht="15" customHeight="1" x14ac:dyDescent="0.25">
      <c r="A6" s="75"/>
      <c r="B6" s="25" t="s">
        <v>4</v>
      </c>
      <c r="C6" s="20"/>
      <c r="D6" s="50"/>
      <c r="E6" s="24"/>
      <c r="F6" s="150"/>
      <c r="G6" s="63"/>
      <c r="H6" s="58"/>
    </row>
    <row r="7" spans="1:9" s="19" customFormat="1" ht="30" customHeight="1" x14ac:dyDescent="0.25">
      <c r="A7" s="75"/>
      <c r="B7" s="282" t="s">
        <v>10</v>
      </c>
      <c r="C7" s="283"/>
      <c r="D7" s="147"/>
      <c r="E7" s="24"/>
      <c r="F7" s="50"/>
      <c r="G7" s="20"/>
      <c r="H7" s="24"/>
    </row>
    <row r="8" spans="1:9" s="19" customFormat="1" x14ac:dyDescent="0.25">
      <c r="A8" s="75"/>
      <c r="B8" s="25" t="s">
        <v>3</v>
      </c>
      <c r="C8" s="20"/>
      <c r="D8" s="50"/>
      <c r="E8" s="24"/>
      <c r="F8" s="50"/>
      <c r="G8" s="20"/>
      <c r="H8" s="24"/>
    </row>
    <row r="9" spans="1:9" s="19" customFormat="1" x14ac:dyDescent="0.25">
      <c r="A9" s="75"/>
      <c r="B9" s="50"/>
      <c r="C9" s="20"/>
      <c r="D9" s="50"/>
      <c r="E9" s="24"/>
      <c r="F9" s="50"/>
      <c r="G9" s="20"/>
      <c r="H9" s="24"/>
    </row>
    <row r="10" spans="1:9" s="19" customFormat="1" ht="30" customHeight="1" x14ac:dyDescent="0.25">
      <c r="A10" s="75"/>
      <c r="B10" s="282" t="s">
        <v>8</v>
      </c>
      <c r="C10" s="283"/>
      <c r="D10" s="148"/>
      <c r="E10" s="24"/>
      <c r="F10" s="50"/>
      <c r="G10" s="20"/>
      <c r="H10" s="24"/>
    </row>
    <row r="11" spans="1:9" s="19" customFormat="1" x14ac:dyDescent="0.25">
      <c r="A11" s="75"/>
      <c r="B11" s="50"/>
      <c r="C11" s="20"/>
      <c r="D11" s="50"/>
      <c r="E11" s="24"/>
      <c r="F11" s="50"/>
      <c r="G11" s="20"/>
      <c r="H11" s="24"/>
    </row>
    <row r="12" spans="1:9" s="19" customFormat="1" x14ac:dyDescent="0.25">
      <c r="A12" s="75"/>
      <c r="B12" s="25"/>
      <c r="C12" s="20"/>
      <c r="D12" s="288" t="s">
        <v>60</v>
      </c>
      <c r="E12" s="289"/>
      <c r="F12" s="288" t="s">
        <v>13</v>
      </c>
      <c r="G12" s="290"/>
      <c r="H12" s="289"/>
    </row>
    <row r="13" spans="1:9" s="19" customFormat="1" ht="25.5" customHeight="1" x14ac:dyDescent="0.25">
      <c r="A13" s="75"/>
      <c r="B13" s="26"/>
      <c r="C13" s="68"/>
      <c r="D13" s="151"/>
      <c r="E13" s="69"/>
      <c r="F13" s="277" t="s">
        <v>98</v>
      </c>
      <c r="G13" s="278"/>
      <c r="H13" s="279"/>
    </row>
    <row r="14" spans="1:9" x14ac:dyDescent="0.25">
      <c r="A14" s="75"/>
      <c r="E14" s="67"/>
      <c r="F14" s="67"/>
      <c r="G14" s="67"/>
      <c r="H14" s="67"/>
      <c r="I14" s="19"/>
    </row>
    <row r="15" spans="1:9" x14ac:dyDescent="0.2">
      <c r="A15" s="42"/>
      <c r="B15" s="121" t="s">
        <v>52</v>
      </c>
      <c r="C15" s="193"/>
      <c r="D15" s="193"/>
      <c r="E15" s="193"/>
      <c r="F15" s="193"/>
      <c r="G15" s="193"/>
      <c r="H15" s="41"/>
      <c r="I15" s="19"/>
    </row>
    <row r="16" spans="1:9" customFormat="1" ht="3.75" customHeight="1" x14ac:dyDescent="0.25">
      <c r="A16" s="42"/>
      <c r="B16" s="121"/>
      <c r="C16" s="121"/>
      <c r="D16" s="121"/>
      <c r="E16" s="121"/>
      <c r="F16" s="121"/>
      <c r="G16" s="121"/>
      <c r="H16" s="42"/>
      <c r="I16" s="19"/>
    </row>
    <row r="17" spans="1:9" customFormat="1" ht="3.75" customHeight="1" x14ac:dyDescent="0.25">
      <c r="A17" s="42"/>
      <c r="B17" s="121"/>
      <c r="C17" s="121"/>
      <c r="D17" s="121"/>
      <c r="E17" s="121"/>
      <c r="F17" s="121"/>
      <c r="G17" s="121"/>
      <c r="H17" s="42"/>
      <c r="I17" s="19"/>
    </row>
    <row r="18" spans="1:9" customFormat="1" x14ac:dyDescent="0.25">
      <c r="A18" s="42"/>
      <c r="B18" s="271" t="s">
        <v>475</v>
      </c>
      <c r="C18" s="42"/>
      <c r="D18" s="42"/>
      <c r="E18" s="43"/>
      <c r="F18" s="42"/>
      <c r="G18" s="42"/>
      <c r="H18" s="42"/>
    </row>
    <row r="19" spans="1:9" customFormat="1" ht="15.75" thickBot="1" x14ac:dyDescent="0.3">
      <c r="A19" s="42"/>
      <c r="B19" s="258" t="s">
        <v>122</v>
      </c>
      <c r="C19" s="258" t="s">
        <v>123</v>
      </c>
      <c r="D19" s="258" t="s">
        <v>124</v>
      </c>
      <c r="E19" s="259" t="s">
        <v>125</v>
      </c>
      <c r="F19" s="260" t="s">
        <v>126</v>
      </c>
      <c r="G19" s="261" t="s">
        <v>51</v>
      </c>
      <c r="H19" s="261" t="s">
        <v>127</v>
      </c>
    </row>
    <row r="20" spans="1:9" customFormat="1" x14ac:dyDescent="0.25">
      <c r="A20" s="42"/>
      <c r="B20" s="163" t="s">
        <v>128</v>
      </c>
      <c r="C20" s="164"/>
      <c r="D20" s="164"/>
      <c r="E20" s="165"/>
      <c r="F20" s="166"/>
      <c r="G20" s="167"/>
      <c r="H20" s="168"/>
    </row>
    <row r="21" spans="1:9" customFormat="1" x14ac:dyDescent="0.25">
      <c r="A21" s="42"/>
      <c r="B21" s="254"/>
      <c r="C21" s="254"/>
      <c r="D21" s="254"/>
      <c r="E21" s="224"/>
      <c r="F21" s="160"/>
      <c r="G21" s="161"/>
      <c r="H21" s="162"/>
    </row>
    <row r="22" spans="1:9" customFormat="1" x14ac:dyDescent="0.25">
      <c r="A22" s="42"/>
      <c r="B22" s="173" t="s">
        <v>129</v>
      </c>
      <c r="C22" s="174"/>
      <c r="D22" s="174"/>
      <c r="E22" s="175"/>
      <c r="F22" s="176"/>
      <c r="G22" s="177"/>
      <c r="H22" s="178"/>
    </row>
    <row r="23" spans="1:9" customFormat="1" x14ac:dyDescent="0.25">
      <c r="A23" s="159" t="s">
        <v>48</v>
      </c>
      <c r="B23" s="254" t="s">
        <v>140</v>
      </c>
      <c r="C23" s="254" t="s">
        <v>141</v>
      </c>
      <c r="D23" s="254" t="s">
        <v>67</v>
      </c>
      <c r="E23" s="224">
        <v>128000</v>
      </c>
      <c r="F23" s="160">
        <v>1025.3399999999999</v>
      </c>
      <c r="G23" s="161">
        <v>7.62</v>
      </c>
      <c r="H23" s="162"/>
    </row>
    <row r="24" spans="1:9" customFormat="1" x14ac:dyDescent="0.25">
      <c r="A24" s="159" t="s">
        <v>48</v>
      </c>
      <c r="B24" s="254" t="s">
        <v>142</v>
      </c>
      <c r="C24" s="254" t="s">
        <v>143</v>
      </c>
      <c r="D24" s="254" t="s">
        <v>67</v>
      </c>
      <c r="E24" s="224">
        <v>50830</v>
      </c>
      <c r="F24" s="160">
        <v>717.41</v>
      </c>
      <c r="G24" s="161">
        <v>5.33</v>
      </c>
      <c r="H24" s="162"/>
    </row>
    <row r="25" spans="1:9" customFormat="1" x14ac:dyDescent="0.25">
      <c r="A25" s="159" t="s">
        <v>48</v>
      </c>
      <c r="B25" s="254" t="s">
        <v>146</v>
      </c>
      <c r="C25" s="254" t="s">
        <v>147</v>
      </c>
      <c r="D25" s="254" t="s">
        <v>111</v>
      </c>
      <c r="E25" s="224">
        <v>49060</v>
      </c>
      <c r="F25" s="160">
        <v>639.74</v>
      </c>
      <c r="G25" s="161">
        <v>4.75</v>
      </c>
      <c r="H25" s="162"/>
    </row>
    <row r="26" spans="1:9" customFormat="1" x14ac:dyDescent="0.25">
      <c r="A26" s="159" t="s">
        <v>48</v>
      </c>
      <c r="B26" s="254" t="s">
        <v>154</v>
      </c>
      <c r="C26" s="254" t="s">
        <v>155</v>
      </c>
      <c r="D26" s="254" t="s">
        <v>67</v>
      </c>
      <c r="E26" s="224">
        <v>52020</v>
      </c>
      <c r="F26" s="160">
        <v>541.01</v>
      </c>
      <c r="G26" s="161">
        <v>4.0199999999999996</v>
      </c>
      <c r="H26" s="162"/>
    </row>
    <row r="27" spans="1:9" customFormat="1" x14ac:dyDescent="0.25">
      <c r="A27" s="159" t="s">
        <v>48</v>
      </c>
      <c r="B27" s="254" t="s">
        <v>148</v>
      </c>
      <c r="C27" s="254" t="s">
        <v>149</v>
      </c>
      <c r="D27" s="254" t="s">
        <v>67</v>
      </c>
      <c r="E27" s="224">
        <v>39290</v>
      </c>
      <c r="F27" s="160">
        <v>527.30999999999995</v>
      </c>
      <c r="G27" s="161">
        <v>3.92</v>
      </c>
      <c r="H27" s="162"/>
    </row>
    <row r="28" spans="1:9" customFormat="1" x14ac:dyDescent="0.25">
      <c r="A28" s="159" t="s">
        <v>48</v>
      </c>
      <c r="B28" s="254" t="s">
        <v>144</v>
      </c>
      <c r="C28" s="254" t="s">
        <v>145</v>
      </c>
      <c r="D28" s="254" t="s">
        <v>42</v>
      </c>
      <c r="E28" s="224">
        <v>26804</v>
      </c>
      <c r="F28" s="160">
        <v>512.05999999999995</v>
      </c>
      <c r="G28" s="161">
        <v>3.81</v>
      </c>
      <c r="H28" s="162"/>
    </row>
    <row r="29" spans="1:9" customFormat="1" x14ac:dyDescent="0.25">
      <c r="A29" s="159" t="s">
        <v>48</v>
      </c>
      <c r="B29" s="254" t="s">
        <v>420</v>
      </c>
      <c r="C29" s="254" t="s">
        <v>421</v>
      </c>
      <c r="D29" s="254" t="s">
        <v>68</v>
      </c>
      <c r="E29" s="224">
        <v>189797</v>
      </c>
      <c r="F29" s="160">
        <v>337.74</v>
      </c>
      <c r="G29" s="161">
        <v>2.5099999999999998</v>
      </c>
      <c r="H29" s="162"/>
    </row>
    <row r="30" spans="1:9" customFormat="1" x14ac:dyDescent="0.25">
      <c r="A30" s="159" t="s">
        <v>48</v>
      </c>
      <c r="B30" s="254" t="s">
        <v>162</v>
      </c>
      <c r="C30" s="254" t="s">
        <v>163</v>
      </c>
      <c r="D30" s="254" t="s">
        <v>94</v>
      </c>
      <c r="E30" s="224">
        <v>8075</v>
      </c>
      <c r="F30" s="160">
        <v>325.14999999999998</v>
      </c>
      <c r="G30" s="161">
        <v>2.42</v>
      </c>
      <c r="H30" s="162"/>
    </row>
    <row r="31" spans="1:9" customFormat="1" x14ac:dyDescent="0.25">
      <c r="A31" s="159" t="s">
        <v>48</v>
      </c>
      <c r="B31" s="254" t="s">
        <v>182</v>
      </c>
      <c r="C31" s="254" t="s">
        <v>183</v>
      </c>
      <c r="D31" s="254" t="s">
        <v>93</v>
      </c>
      <c r="E31" s="224">
        <v>5760</v>
      </c>
      <c r="F31" s="160">
        <v>312.57</v>
      </c>
      <c r="G31" s="161">
        <v>2.3199999999999998</v>
      </c>
      <c r="H31" s="162"/>
    </row>
    <row r="32" spans="1:9" customFormat="1" x14ac:dyDescent="0.25">
      <c r="A32" s="78" t="s">
        <v>48</v>
      </c>
      <c r="B32" s="254" t="s">
        <v>374</v>
      </c>
      <c r="C32" s="254" t="s">
        <v>375</v>
      </c>
      <c r="D32" s="254" t="s">
        <v>121</v>
      </c>
      <c r="E32" s="224">
        <v>17470</v>
      </c>
      <c r="F32" s="160">
        <v>312.49</v>
      </c>
      <c r="G32" s="161">
        <v>2.3199999999999998</v>
      </c>
      <c r="H32" s="162"/>
    </row>
    <row r="33" spans="1:8" customFormat="1" x14ac:dyDescent="0.25">
      <c r="A33" s="159"/>
      <c r="B33" s="254" t="s">
        <v>168</v>
      </c>
      <c r="C33" s="254" t="s">
        <v>169</v>
      </c>
      <c r="D33" s="254" t="s">
        <v>50</v>
      </c>
      <c r="E33" s="224">
        <v>28267</v>
      </c>
      <c r="F33" s="160">
        <v>296.01</v>
      </c>
      <c r="G33" s="161">
        <v>2.2000000000000002</v>
      </c>
      <c r="H33" s="162"/>
    </row>
    <row r="34" spans="1:8" customFormat="1" x14ac:dyDescent="0.25">
      <c r="A34" s="42"/>
      <c r="B34" s="254" t="s">
        <v>152</v>
      </c>
      <c r="C34" s="254" t="s">
        <v>153</v>
      </c>
      <c r="D34" s="254" t="s">
        <v>44</v>
      </c>
      <c r="E34" s="224">
        <v>8530</v>
      </c>
      <c r="F34" s="160">
        <v>267.58</v>
      </c>
      <c r="G34" s="161">
        <v>1.99</v>
      </c>
      <c r="H34" s="162"/>
    </row>
    <row r="35" spans="1:8" customFormat="1" x14ac:dyDescent="0.25">
      <c r="A35" s="42"/>
      <c r="B35" s="254" t="s">
        <v>150</v>
      </c>
      <c r="C35" s="254" t="s">
        <v>151</v>
      </c>
      <c r="D35" s="254" t="s">
        <v>105</v>
      </c>
      <c r="E35" s="224">
        <v>82770</v>
      </c>
      <c r="F35" s="160">
        <v>239.99</v>
      </c>
      <c r="G35" s="161">
        <v>1.78</v>
      </c>
      <c r="H35" s="162"/>
    </row>
    <row r="36" spans="1:8" customFormat="1" x14ac:dyDescent="0.25">
      <c r="A36" s="42"/>
      <c r="B36" s="254" t="s">
        <v>186</v>
      </c>
      <c r="C36" s="254" t="s">
        <v>187</v>
      </c>
      <c r="D36" s="254" t="s">
        <v>47</v>
      </c>
      <c r="E36" s="224">
        <v>56920</v>
      </c>
      <c r="F36" s="160">
        <v>237.95</v>
      </c>
      <c r="G36" s="161">
        <v>1.77</v>
      </c>
      <c r="H36" s="162"/>
    </row>
    <row r="37" spans="1:8" customFormat="1" x14ac:dyDescent="0.25">
      <c r="A37" s="42"/>
      <c r="B37" s="254" t="s">
        <v>188</v>
      </c>
      <c r="C37" s="254" t="s">
        <v>189</v>
      </c>
      <c r="D37" s="254" t="s">
        <v>109</v>
      </c>
      <c r="E37" s="224">
        <v>65800</v>
      </c>
      <c r="F37" s="160">
        <v>234.54</v>
      </c>
      <c r="G37" s="161">
        <v>1.74</v>
      </c>
      <c r="H37" s="162"/>
    </row>
    <row r="38" spans="1:8" customFormat="1" x14ac:dyDescent="0.25">
      <c r="A38" s="42"/>
      <c r="B38" s="254" t="s">
        <v>227</v>
      </c>
      <c r="C38" s="254" t="s">
        <v>228</v>
      </c>
      <c r="D38" s="254" t="s">
        <v>114</v>
      </c>
      <c r="E38" s="224">
        <v>10320</v>
      </c>
      <c r="F38" s="160">
        <v>230.22</v>
      </c>
      <c r="G38" s="161">
        <v>1.71</v>
      </c>
      <c r="H38" s="162"/>
    </row>
    <row r="39" spans="1:8" customFormat="1" x14ac:dyDescent="0.25">
      <c r="A39" s="42"/>
      <c r="B39" s="254" t="s">
        <v>352</v>
      </c>
      <c r="C39" s="254" t="s">
        <v>353</v>
      </c>
      <c r="D39" s="254" t="s">
        <v>45</v>
      </c>
      <c r="E39" s="224">
        <v>6680</v>
      </c>
      <c r="F39" s="160">
        <v>222.2</v>
      </c>
      <c r="G39" s="161">
        <v>1.65</v>
      </c>
      <c r="H39" s="162"/>
    </row>
    <row r="40" spans="1:8" customFormat="1" x14ac:dyDescent="0.25">
      <c r="A40" s="42"/>
      <c r="B40" s="254" t="s">
        <v>272</v>
      </c>
      <c r="C40" s="254" t="s">
        <v>273</v>
      </c>
      <c r="D40" s="254" t="s">
        <v>274</v>
      </c>
      <c r="E40" s="224">
        <v>71850</v>
      </c>
      <c r="F40" s="160">
        <v>202.37</v>
      </c>
      <c r="G40" s="161">
        <v>1.5</v>
      </c>
      <c r="H40" s="162"/>
    </row>
    <row r="41" spans="1:8" customFormat="1" x14ac:dyDescent="0.25">
      <c r="A41" s="42"/>
      <c r="B41" s="254" t="s">
        <v>342</v>
      </c>
      <c r="C41" s="254" t="s">
        <v>343</v>
      </c>
      <c r="D41" s="254" t="s">
        <v>114</v>
      </c>
      <c r="E41" s="224">
        <v>8570</v>
      </c>
      <c r="F41" s="160">
        <v>200.82</v>
      </c>
      <c r="G41" s="161">
        <v>1.49</v>
      </c>
      <c r="H41" s="162"/>
    </row>
    <row r="42" spans="1:8" customFormat="1" x14ac:dyDescent="0.25">
      <c r="A42" s="42"/>
      <c r="B42" s="254" t="s">
        <v>225</v>
      </c>
      <c r="C42" s="254" t="s">
        <v>226</v>
      </c>
      <c r="D42" s="254" t="s">
        <v>65</v>
      </c>
      <c r="E42" s="224">
        <v>22550</v>
      </c>
      <c r="F42" s="160">
        <v>198.45</v>
      </c>
      <c r="G42" s="161">
        <v>1.47</v>
      </c>
      <c r="H42" s="162"/>
    </row>
    <row r="43" spans="1:8" customFormat="1" x14ac:dyDescent="0.25">
      <c r="A43" s="42"/>
      <c r="B43" s="254" t="s">
        <v>241</v>
      </c>
      <c r="C43" s="254" t="s">
        <v>242</v>
      </c>
      <c r="D43" s="254" t="s">
        <v>135</v>
      </c>
      <c r="E43" s="224">
        <v>10530</v>
      </c>
      <c r="F43" s="160">
        <v>197.35</v>
      </c>
      <c r="G43" s="161">
        <v>1.47</v>
      </c>
      <c r="H43" s="162"/>
    </row>
    <row r="44" spans="1:8" customFormat="1" x14ac:dyDescent="0.25">
      <c r="A44" s="42"/>
      <c r="B44" s="254" t="s">
        <v>180</v>
      </c>
      <c r="C44" s="254" t="s">
        <v>181</v>
      </c>
      <c r="D44" s="254" t="s">
        <v>44</v>
      </c>
      <c r="E44" s="224">
        <v>1370</v>
      </c>
      <c r="F44" s="160">
        <v>196.81</v>
      </c>
      <c r="G44" s="161">
        <v>1.46</v>
      </c>
      <c r="H44" s="162"/>
    </row>
    <row r="45" spans="1:8" customFormat="1" x14ac:dyDescent="0.25">
      <c r="A45" s="42"/>
      <c r="B45" s="254" t="s">
        <v>277</v>
      </c>
      <c r="C45" s="254" t="s">
        <v>376</v>
      </c>
      <c r="D45" s="254" t="s">
        <v>65</v>
      </c>
      <c r="E45" s="224">
        <v>24320</v>
      </c>
      <c r="F45" s="160">
        <v>194.16</v>
      </c>
      <c r="G45" s="161">
        <v>1.44</v>
      </c>
      <c r="H45" s="162"/>
    </row>
    <row r="46" spans="1:8" customFormat="1" x14ac:dyDescent="0.25">
      <c r="A46" s="42"/>
      <c r="B46" s="254" t="s">
        <v>156</v>
      </c>
      <c r="C46" s="254" t="s">
        <v>157</v>
      </c>
      <c r="D46" s="254" t="s">
        <v>50</v>
      </c>
      <c r="E46" s="224">
        <v>8920</v>
      </c>
      <c r="F46" s="160">
        <v>186.74</v>
      </c>
      <c r="G46" s="161">
        <v>1.39</v>
      </c>
      <c r="H46" s="162"/>
    </row>
    <row r="47" spans="1:8" customFormat="1" x14ac:dyDescent="0.25">
      <c r="A47" s="42"/>
      <c r="B47" s="254" t="s">
        <v>404</v>
      </c>
      <c r="C47" s="254" t="s">
        <v>405</v>
      </c>
      <c r="D47" s="254" t="s">
        <v>66</v>
      </c>
      <c r="E47" s="224">
        <v>20950</v>
      </c>
      <c r="F47" s="160">
        <v>178.21</v>
      </c>
      <c r="G47" s="161">
        <v>1.32</v>
      </c>
      <c r="H47" s="162"/>
    </row>
    <row r="48" spans="1:8" customFormat="1" x14ac:dyDescent="0.25">
      <c r="A48" s="42"/>
      <c r="B48" s="254" t="s">
        <v>329</v>
      </c>
      <c r="C48" s="254" t="s">
        <v>330</v>
      </c>
      <c r="D48" s="254" t="s">
        <v>66</v>
      </c>
      <c r="E48" s="224">
        <v>29860</v>
      </c>
      <c r="F48" s="160">
        <v>165.9</v>
      </c>
      <c r="G48" s="161">
        <v>1.23</v>
      </c>
      <c r="H48" s="162"/>
    </row>
    <row r="49" spans="1:8" customFormat="1" x14ac:dyDescent="0.25">
      <c r="A49" s="42"/>
      <c r="B49" s="254" t="s">
        <v>190</v>
      </c>
      <c r="C49" s="254" t="s">
        <v>191</v>
      </c>
      <c r="D49" s="254" t="s">
        <v>107</v>
      </c>
      <c r="E49" s="224">
        <v>85700</v>
      </c>
      <c r="F49" s="160">
        <v>162.66</v>
      </c>
      <c r="G49" s="161">
        <v>1.21</v>
      </c>
      <c r="H49" s="162"/>
    </row>
    <row r="50" spans="1:8" customFormat="1" x14ac:dyDescent="0.25">
      <c r="A50" s="42"/>
      <c r="B50" s="254" t="s">
        <v>406</v>
      </c>
      <c r="C50" s="254" t="s">
        <v>407</v>
      </c>
      <c r="D50" s="254" t="s">
        <v>117</v>
      </c>
      <c r="E50" s="224">
        <v>2069</v>
      </c>
      <c r="F50" s="160">
        <v>156.26</v>
      </c>
      <c r="G50" s="161">
        <v>1.1599999999999999</v>
      </c>
      <c r="H50" s="162"/>
    </row>
    <row r="51" spans="1:8" customFormat="1" x14ac:dyDescent="0.25">
      <c r="A51" s="42"/>
      <c r="B51" s="254" t="s">
        <v>219</v>
      </c>
      <c r="C51" s="254" t="s">
        <v>220</v>
      </c>
      <c r="D51" s="254" t="s">
        <v>66</v>
      </c>
      <c r="E51" s="224">
        <v>7800</v>
      </c>
      <c r="F51" s="160">
        <v>156.22</v>
      </c>
      <c r="G51" s="161">
        <v>1.1599999999999999</v>
      </c>
      <c r="H51" s="162"/>
    </row>
    <row r="52" spans="1:8" customFormat="1" x14ac:dyDescent="0.25">
      <c r="A52" s="42"/>
      <c r="B52" s="254" t="s">
        <v>392</v>
      </c>
      <c r="C52" s="254" t="s">
        <v>393</v>
      </c>
      <c r="D52" s="254" t="s">
        <v>46</v>
      </c>
      <c r="E52" s="224">
        <v>7030</v>
      </c>
      <c r="F52" s="160">
        <v>153.77000000000001</v>
      </c>
      <c r="G52" s="161">
        <v>1.1399999999999999</v>
      </c>
      <c r="H52" s="162"/>
    </row>
    <row r="53" spans="1:8" customFormat="1" x14ac:dyDescent="0.25">
      <c r="A53" s="42"/>
      <c r="B53" s="254" t="s">
        <v>176</v>
      </c>
      <c r="C53" s="254" t="s">
        <v>177</v>
      </c>
      <c r="D53" s="254" t="s">
        <v>113</v>
      </c>
      <c r="E53" s="224">
        <v>17710</v>
      </c>
      <c r="F53" s="160">
        <v>148.51</v>
      </c>
      <c r="G53" s="161">
        <v>1.1000000000000001</v>
      </c>
      <c r="H53" s="162"/>
    </row>
    <row r="54" spans="1:8" customFormat="1" x14ac:dyDescent="0.25">
      <c r="A54" s="42"/>
      <c r="B54" s="254" t="s">
        <v>365</v>
      </c>
      <c r="C54" s="254" t="s">
        <v>366</v>
      </c>
      <c r="D54" s="254" t="s">
        <v>66</v>
      </c>
      <c r="E54" s="224">
        <v>1640</v>
      </c>
      <c r="F54" s="160">
        <v>145.85</v>
      </c>
      <c r="G54" s="161">
        <v>1.08</v>
      </c>
      <c r="H54" s="162"/>
    </row>
    <row r="55" spans="1:8" customFormat="1" x14ac:dyDescent="0.25">
      <c r="A55" s="42"/>
      <c r="B55" s="254" t="s">
        <v>338</v>
      </c>
      <c r="C55" s="254" t="s">
        <v>339</v>
      </c>
      <c r="D55" s="254" t="s">
        <v>66</v>
      </c>
      <c r="E55" s="224">
        <v>10110</v>
      </c>
      <c r="F55" s="160">
        <v>145.58000000000001</v>
      </c>
      <c r="G55" s="161">
        <v>1.08</v>
      </c>
      <c r="H55" s="162"/>
    </row>
    <row r="56" spans="1:8" customFormat="1" x14ac:dyDescent="0.25">
      <c r="A56" s="42"/>
      <c r="B56" s="254" t="s">
        <v>158</v>
      </c>
      <c r="C56" s="254" t="s">
        <v>159</v>
      </c>
      <c r="D56" s="254" t="s">
        <v>43</v>
      </c>
      <c r="E56" s="224">
        <v>1270</v>
      </c>
      <c r="F56" s="160">
        <v>140.69999999999999</v>
      </c>
      <c r="G56" s="161">
        <v>1.05</v>
      </c>
      <c r="H56" s="162"/>
    </row>
    <row r="57" spans="1:8" customFormat="1" x14ac:dyDescent="0.25">
      <c r="A57" s="42"/>
      <c r="B57" s="254" t="s">
        <v>275</v>
      </c>
      <c r="C57" s="254" t="s">
        <v>276</v>
      </c>
      <c r="D57" s="254" t="s">
        <v>45</v>
      </c>
      <c r="E57" s="224">
        <v>2880</v>
      </c>
      <c r="F57" s="160">
        <v>137.33000000000001</v>
      </c>
      <c r="G57" s="161">
        <v>1.02</v>
      </c>
      <c r="H57" s="162"/>
    </row>
    <row r="58" spans="1:8" customFormat="1" x14ac:dyDescent="0.25">
      <c r="A58" s="42"/>
      <c r="B58" s="254" t="s">
        <v>350</v>
      </c>
      <c r="C58" s="254" t="s">
        <v>351</v>
      </c>
      <c r="D58" s="254" t="s">
        <v>68</v>
      </c>
      <c r="E58" s="224">
        <v>112870</v>
      </c>
      <c r="F58" s="160">
        <v>134.26</v>
      </c>
      <c r="G58" s="161">
        <v>1</v>
      </c>
      <c r="H58" s="162"/>
    </row>
    <row r="59" spans="1:8" customFormat="1" x14ac:dyDescent="0.25">
      <c r="A59" s="42"/>
      <c r="B59" s="254" t="s">
        <v>178</v>
      </c>
      <c r="C59" s="254" t="s">
        <v>179</v>
      </c>
      <c r="D59" s="254" t="s">
        <v>44</v>
      </c>
      <c r="E59" s="224">
        <v>3660</v>
      </c>
      <c r="F59" s="160">
        <v>132.76</v>
      </c>
      <c r="G59" s="161">
        <v>0.99</v>
      </c>
      <c r="H59" s="162"/>
    </row>
    <row r="60" spans="1:8" customFormat="1" x14ac:dyDescent="0.25">
      <c r="A60" s="42"/>
      <c r="B60" s="254" t="s">
        <v>170</v>
      </c>
      <c r="C60" s="254" t="s">
        <v>171</v>
      </c>
      <c r="D60" s="254" t="s">
        <v>44</v>
      </c>
      <c r="E60" s="224">
        <v>1730</v>
      </c>
      <c r="F60" s="160">
        <v>126.97</v>
      </c>
      <c r="G60" s="161">
        <v>0.94</v>
      </c>
      <c r="H60" s="162"/>
    </row>
    <row r="61" spans="1:8" customFormat="1" x14ac:dyDescent="0.25">
      <c r="A61" s="42"/>
      <c r="B61" s="254" t="s">
        <v>209</v>
      </c>
      <c r="C61" s="254" t="s">
        <v>210</v>
      </c>
      <c r="D61" s="254" t="s">
        <v>43</v>
      </c>
      <c r="E61" s="224">
        <v>33670</v>
      </c>
      <c r="F61" s="160">
        <v>122.95</v>
      </c>
      <c r="G61" s="161">
        <v>0.91</v>
      </c>
      <c r="H61" s="162"/>
    </row>
    <row r="62" spans="1:8" customFormat="1" x14ac:dyDescent="0.25">
      <c r="A62" s="42"/>
      <c r="B62" s="254" t="s">
        <v>239</v>
      </c>
      <c r="C62" s="254" t="s">
        <v>240</v>
      </c>
      <c r="D62" s="254" t="s">
        <v>120</v>
      </c>
      <c r="E62" s="224">
        <v>50750</v>
      </c>
      <c r="F62" s="160">
        <v>120.7</v>
      </c>
      <c r="G62" s="161">
        <v>0.9</v>
      </c>
      <c r="H62" s="162"/>
    </row>
    <row r="63" spans="1:8" customFormat="1" x14ac:dyDescent="0.25">
      <c r="A63" s="42"/>
      <c r="B63" s="254" t="s">
        <v>192</v>
      </c>
      <c r="C63" s="254" t="s">
        <v>193</v>
      </c>
      <c r="D63" s="254" t="s">
        <v>109</v>
      </c>
      <c r="E63" s="224">
        <v>41200</v>
      </c>
      <c r="F63" s="160">
        <v>118.59</v>
      </c>
      <c r="G63" s="161">
        <v>0.88</v>
      </c>
      <c r="H63" s="162"/>
    </row>
    <row r="64" spans="1:8" customFormat="1" x14ac:dyDescent="0.25">
      <c r="A64" s="42"/>
      <c r="B64" s="254" t="s">
        <v>284</v>
      </c>
      <c r="C64" s="254" t="s">
        <v>285</v>
      </c>
      <c r="D64" s="254" t="s">
        <v>67</v>
      </c>
      <c r="E64" s="224">
        <v>14670</v>
      </c>
      <c r="F64" s="160">
        <v>117.21</v>
      </c>
      <c r="G64" s="161">
        <v>0.87</v>
      </c>
      <c r="H64" s="162"/>
    </row>
    <row r="65" spans="1:8" customFormat="1" x14ac:dyDescent="0.25">
      <c r="A65" s="42"/>
      <c r="B65" s="254" t="s">
        <v>414</v>
      </c>
      <c r="C65" s="254" t="s">
        <v>415</v>
      </c>
      <c r="D65" s="254" t="s">
        <v>118</v>
      </c>
      <c r="E65" s="224">
        <v>10319</v>
      </c>
      <c r="F65" s="160">
        <v>115.22</v>
      </c>
      <c r="G65" s="161">
        <v>0.86</v>
      </c>
      <c r="H65" s="162"/>
    </row>
    <row r="66" spans="1:8" customFormat="1" x14ac:dyDescent="0.25">
      <c r="A66" s="42"/>
      <c r="B66" s="254" t="s">
        <v>282</v>
      </c>
      <c r="C66" s="254" t="s">
        <v>283</v>
      </c>
      <c r="D66" s="254" t="s">
        <v>50</v>
      </c>
      <c r="E66" s="224">
        <v>8100</v>
      </c>
      <c r="F66" s="160">
        <v>114.22</v>
      </c>
      <c r="G66" s="161">
        <v>0.85</v>
      </c>
      <c r="H66" s="162"/>
    </row>
    <row r="67" spans="1:8" customFormat="1" x14ac:dyDescent="0.25">
      <c r="A67" s="42"/>
      <c r="B67" s="254" t="s">
        <v>435</v>
      </c>
      <c r="C67" s="254" t="s">
        <v>436</v>
      </c>
      <c r="D67" s="254" t="s">
        <v>117</v>
      </c>
      <c r="E67" s="224">
        <v>6710</v>
      </c>
      <c r="F67" s="160">
        <v>110.67</v>
      </c>
      <c r="G67" s="161">
        <v>0.82</v>
      </c>
      <c r="H67" s="162"/>
    </row>
    <row r="68" spans="1:8" customFormat="1" x14ac:dyDescent="0.25">
      <c r="A68" s="42"/>
      <c r="B68" s="254" t="s">
        <v>359</v>
      </c>
      <c r="C68" s="254" t="s">
        <v>360</v>
      </c>
      <c r="D68" s="254" t="s">
        <v>65</v>
      </c>
      <c r="E68" s="224">
        <v>42290</v>
      </c>
      <c r="F68" s="160">
        <v>108.17</v>
      </c>
      <c r="G68" s="161">
        <v>0.8</v>
      </c>
      <c r="H68" s="162"/>
    </row>
    <row r="69" spans="1:8" customFormat="1" x14ac:dyDescent="0.25">
      <c r="A69" s="42"/>
      <c r="B69" s="254" t="s">
        <v>235</v>
      </c>
      <c r="C69" s="254" t="s">
        <v>236</v>
      </c>
      <c r="D69" s="254" t="s">
        <v>94</v>
      </c>
      <c r="E69" s="224">
        <v>7440</v>
      </c>
      <c r="F69" s="160">
        <v>102.97</v>
      </c>
      <c r="G69" s="161">
        <v>0.77</v>
      </c>
      <c r="H69" s="162"/>
    </row>
    <row r="70" spans="1:8" customFormat="1" x14ac:dyDescent="0.25">
      <c r="A70" s="42"/>
      <c r="B70" s="254" t="s">
        <v>229</v>
      </c>
      <c r="C70" s="254" t="s">
        <v>230</v>
      </c>
      <c r="D70" s="254" t="s">
        <v>120</v>
      </c>
      <c r="E70" s="224">
        <v>24380</v>
      </c>
      <c r="F70" s="160">
        <v>102.91</v>
      </c>
      <c r="G70" s="161">
        <v>0.76</v>
      </c>
      <c r="H70" s="162"/>
    </row>
    <row r="71" spans="1:8" customFormat="1" x14ac:dyDescent="0.25">
      <c r="A71" s="42"/>
      <c r="B71" s="254" t="s">
        <v>346</v>
      </c>
      <c r="C71" s="254" t="s">
        <v>347</v>
      </c>
      <c r="D71" s="254" t="s">
        <v>112</v>
      </c>
      <c r="E71" s="224">
        <v>28970</v>
      </c>
      <c r="F71" s="160">
        <v>100.7</v>
      </c>
      <c r="G71" s="161">
        <v>0.75</v>
      </c>
      <c r="H71" s="162"/>
    </row>
    <row r="72" spans="1:8" customFormat="1" x14ac:dyDescent="0.25">
      <c r="A72" s="42"/>
      <c r="B72" s="254" t="s">
        <v>199</v>
      </c>
      <c r="C72" s="254" t="s">
        <v>200</v>
      </c>
      <c r="D72" s="254" t="s">
        <v>50</v>
      </c>
      <c r="E72" s="224">
        <v>8640</v>
      </c>
      <c r="F72" s="160">
        <v>98.41</v>
      </c>
      <c r="G72" s="161">
        <v>0.73</v>
      </c>
      <c r="H72" s="162"/>
    </row>
    <row r="73" spans="1:8" customFormat="1" x14ac:dyDescent="0.25">
      <c r="A73" s="42"/>
      <c r="B73" s="254" t="s">
        <v>270</v>
      </c>
      <c r="C73" s="254" t="s">
        <v>271</v>
      </c>
      <c r="D73" s="254" t="s">
        <v>45</v>
      </c>
      <c r="E73" s="224">
        <v>6820</v>
      </c>
      <c r="F73" s="160">
        <v>97.6</v>
      </c>
      <c r="G73" s="161">
        <v>0.73</v>
      </c>
      <c r="H73" s="162"/>
    </row>
    <row r="74" spans="1:8" customFormat="1" x14ac:dyDescent="0.25">
      <c r="A74" s="42"/>
      <c r="B74" s="254" t="s">
        <v>166</v>
      </c>
      <c r="C74" s="254" t="s">
        <v>167</v>
      </c>
      <c r="D74" s="254" t="s">
        <v>50</v>
      </c>
      <c r="E74" s="224">
        <v>6250</v>
      </c>
      <c r="F74" s="160">
        <v>91.5</v>
      </c>
      <c r="G74" s="161">
        <v>0.68</v>
      </c>
      <c r="H74" s="162"/>
    </row>
    <row r="75" spans="1:8" customFormat="1" x14ac:dyDescent="0.25">
      <c r="A75" s="42"/>
      <c r="B75" s="254" t="s">
        <v>203</v>
      </c>
      <c r="C75" s="254" t="s">
        <v>204</v>
      </c>
      <c r="D75" s="254" t="s">
        <v>130</v>
      </c>
      <c r="E75" s="224">
        <v>17310</v>
      </c>
      <c r="F75" s="160">
        <v>89.28</v>
      </c>
      <c r="G75" s="161">
        <v>0.66</v>
      </c>
      <c r="H75" s="162"/>
    </row>
    <row r="76" spans="1:8" customFormat="1" x14ac:dyDescent="0.25">
      <c r="A76" s="42"/>
      <c r="B76" s="254" t="s">
        <v>425</v>
      </c>
      <c r="C76" s="254" t="s">
        <v>426</v>
      </c>
      <c r="D76" s="254" t="s">
        <v>67</v>
      </c>
      <c r="E76" s="224">
        <v>29560</v>
      </c>
      <c r="F76" s="160">
        <v>86.26</v>
      </c>
      <c r="G76" s="161">
        <v>0.64</v>
      </c>
      <c r="H76" s="162"/>
    </row>
    <row r="77" spans="1:8" customFormat="1" x14ac:dyDescent="0.25">
      <c r="A77" s="42"/>
      <c r="B77" s="254" t="s">
        <v>367</v>
      </c>
      <c r="C77" s="254" t="s">
        <v>368</v>
      </c>
      <c r="D77" s="254" t="s">
        <v>369</v>
      </c>
      <c r="E77" s="224">
        <v>204990</v>
      </c>
      <c r="F77" s="160">
        <v>84</v>
      </c>
      <c r="G77" s="161">
        <v>0.62</v>
      </c>
      <c r="H77" s="162"/>
    </row>
    <row r="78" spans="1:8" customFormat="1" x14ac:dyDescent="0.25">
      <c r="A78" s="42"/>
      <c r="B78" s="254" t="s">
        <v>280</v>
      </c>
      <c r="C78" s="254" t="s">
        <v>281</v>
      </c>
      <c r="D78" s="254" t="s">
        <v>111</v>
      </c>
      <c r="E78" s="224">
        <v>21030</v>
      </c>
      <c r="F78" s="160">
        <v>83.96</v>
      </c>
      <c r="G78" s="161">
        <v>0.62</v>
      </c>
      <c r="H78" s="162"/>
    </row>
    <row r="79" spans="1:8" customFormat="1" x14ac:dyDescent="0.25">
      <c r="A79" s="42"/>
      <c r="B79" s="254" t="s">
        <v>354</v>
      </c>
      <c r="C79" s="254" t="s">
        <v>355</v>
      </c>
      <c r="D79" s="254" t="s">
        <v>356</v>
      </c>
      <c r="E79" s="224">
        <v>12090</v>
      </c>
      <c r="F79" s="160">
        <v>82.77</v>
      </c>
      <c r="G79" s="161">
        <v>0.62</v>
      </c>
      <c r="H79" s="162"/>
    </row>
    <row r="80" spans="1:8" customFormat="1" x14ac:dyDescent="0.25">
      <c r="A80" s="42"/>
      <c r="B80" s="254" t="s">
        <v>160</v>
      </c>
      <c r="C80" s="254" t="s">
        <v>161</v>
      </c>
      <c r="D80" s="254" t="s">
        <v>111</v>
      </c>
      <c r="E80" s="224">
        <v>25990</v>
      </c>
      <c r="F80" s="160">
        <v>80.09</v>
      </c>
      <c r="G80" s="161">
        <v>0.6</v>
      </c>
      <c r="H80" s="162"/>
    </row>
    <row r="81" spans="1:8" customFormat="1" x14ac:dyDescent="0.25">
      <c r="A81" s="42"/>
      <c r="B81" s="254" t="s">
        <v>380</v>
      </c>
      <c r="C81" s="254" t="s">
        <v>381</v>
      </c>
      <c r="D81" s="254" t="s">
        <v>65</v>
      </c>
      <c r="E81" s="224">
        <v>2361</v>
      </c>
      <c r="F81" s="160">
        <v>78.73</v>
      </c>
      <c r="G81" s="161">
        <v>0.59</v>
      </c>
      <c r="H81" s="162"/>
    </row>
    <row r="82" spans="1:8" customFormat="1" x14ac:dyDescent="0.25">
      <c r="A82" s="42"/>
      <c r="B82" s="254" t="s">
        <v>348</v>
      </c>
      <c r="C82" s="254" t="s">
        <v>349</v>
      </c>
      <c r="D82" s="254" t="s">
        <v>274</v>
      </c>
      <c r="E82" s="224">
        <v>30620</v>
      </c>
      <c r="F82" s="160">
        <v>76.02</v>
      </c>
      <c r="G82" s="161">
        <v>0.56000000000000005</v>
      </c>
      <c r="H82" s="162"/>
    </row>
    <row r="83" spans="1:8" customFormat="1" x14ac:dyDescent="0.25">
      <c r="A83" s="42"/>
      <c r="B83" s="254" t="s">
        <v>372</v>
      </c>
      <c r="C83" s="254" t="s">
        <v>373</v>
      </c>
      <c r="D83" s="254" t="s">
        <v>94</v>
      </c>
      <c r="E83" s="224">
        <v>2858</v>
      </c>
      <c r="F83" s="160">
        <v>75.2</v>
      </c>
      <c r="G83" s="161">
        <v>0.56000000000000005</v>
      </c>
      <c r="H83" s="162"/>
    </row>
    <row r="84" spans="1:8" customFormat="1" x14ac:dyDescent="0.25">
      <c r="A84" s="42"/>
      <c r="B84" s="254" t="s">
        <v>422</v>
      </c>
      <c r="C84" s="254" t="s">
        <v>423</v>
      </c>
      <c r="D84" s="254" t="s">
        <v>424</v>
      </c>
      <c r="E84" s="224">
        <v>16640</v>
      </c>
      <c r="F84" s="160">
        <v>69.900000000000006</v>
      </c>
      <c r="G84" s="161">
        <v>0.52</v>
      </c>
      <c r="H84" s="162"/>
    </row>
    <row r="85" spans="1:8" customFormat="1" x14ac:dyDescent="0.25">
      <c r="A85" s="42"/>
      <c r="B85" s="254" t="s">
        <v>363</v>
      </c>
      <c r="C85" s="254" t="s">
        <v>364</v>
      </c>
      <c r="D85" s="254" t="s">
        <v>46</v>
      </c>
      <c r="E85" s="224">
        <v>3080</v>
      </c>
      <c r="F85" s="160">
        <v>69.66</v>
      </c>
      <c r="G85" s="161">
        <v>0.52</v>
      </c>
      <c r="H85" s="162"/>
    </row>
    <row r="86" spans="1:8" customFormat="1" x14ac:dyDescent="0.25">
      <c r="A86" s="42"/>
      <c r="B86" s="254" t="s">
        <v>296</v>
      </c>
      <c r="C86" s="254" t="s">
        <v>297</v>
      </c>
      <c r="D86" s="254" t="s">
        <v>121</v>
      </c>
      <c r="E86" s="224">
        <v>3770</v>
      </c>
      <c r="F86" s="160">
        <v>60.19</v>
      </c>
      <c r="G86" s="161">
        <v>0.45</v>
      </c>
      <c r="H86" s="162"/>
    </row>
    <row r="87" spans="1:8" customFormat="1" x14ac:dyDescent="0.25">
      <c r="A87" s="42"/>
      <c r="B87" s="254" t="s">
        <v>292</v>
      </c>
      <c r="C87" s="254" t="s">
        <v>293</v>
      </c>
      <c r="D87" s="254" t="s">
        <v>50</v>
      </c>
      <c r="E87" s="224">
        <v>1268</v>
      </c>
      <c r="F87" s="160">
        <v>59.38</v>
      </c>
      <c r="G87" s="161">
        <v>0.44</v>
      </c>
      <c r="H87" s="162"/>
    </row>
    <row r="88" spans="1:8" customFormat="1" x14ac:dyDescent="0.25">
      <c r="A88" s="42"/>
      <c r="B88" s="254" t="s">
        <v>215</v>
      </c>
      <c r="C88" s="254" t="s">
        <v>216</v>
      </c>
      <c r="D88" s="254" t="s">
        <v>46</v>
      </c>
      <c r="E88" s="224">
        <v>7770</v>
      </c>
      <c r="F88" s="160">
        <v>48.31</v>
      </c>
      <c r="G88" s="161">
        <v>0.36</v>
      </c>
      <c r="H88" s="162"/>
    </row>
    <row r="89" spans="1:8" customFormat="1" x14ac:dyDescent="0.25">
      <c r="A89" s="42"/>
      <c r="B89" s="254" t="s">
        <v>278</v>
      </c>
      <c r="C89" s="254" t="s">
        <v>279</v>
      </c>
      <c r="D89" s="254" t="s">
        <v>43</v>
      </c>
      <c r="E89" s="224">
        <v>1490</v>
      </c>
      <c r="F89" s="160">
        <v>45.52</v>
      </c>
      <c r="G89" s="161">
        <v>0.34</v>
      </c>
      <c r="H89" s="162"/>
    </row>
    <row r="90" spans="1:8" customFormat="1" x14ac:dyDescent="0.25">
      <c r="A90" s="42"/>
      <c r="B90" s="254" t="s">
        <v>416</v>
      </c>
      <c r="C90" s="254" t="s">
        <v>417</v>
      </c>
      <c r="D90" s="254" t="s">
        <v>418</v>
      </c>
      <c r="E90" s="224">
        <v>2140</v>
      </c>
      <c r="F90" s="160">
        <v>34.049999999999997</v>
      </c>
      <c r="G90" s="161">
        <v>0.25</v>
      </c>
      <c r="H90" s="162"/>
    </row>
    <row r="91" spans="1:8" customFormat="1" x14ac:dyDescent="0.25">
      <c r="A91" s="42"/>
      <c r="B91" s="254" t="s">
        <v>384</v>
      </c>
      <c r="C91" s="254" t="s">
        <v>385</v>
      </c>
      <c r="D91" s="254" t="s">
        <v>45</v>
      </c>
      <c r="E91" s="224">
        <v>5080</v>
      </c>
      <c r="F91" s="160">
        <v>23.09</v>
      </c>
      <c r="G91" s="161">
        <v>0.17</v>
      </c>
      <c r="H91" s="162"/>
    </row>
    <row r="92" spans="1:8" customFormat="1" x14ac:dyDescent="0.25">
      <c r="A92" s="42"/>
      <c r="B92" s="169" t="s">
        <v>245</v>
      </c>
      <c r="C92" s="169"/>
      <c r="D92" s="169"/>
      <c r="E92" s="170"/>
      <c r="F92" s="262">
        <v>13109.22</v>
      </c>
      <c r="G92" s="263">
        <v>97.39</v>
      </c>
      <c r="H92" s="171"/>
    </row>
    <row r="93" spans="1:8" customFormat="1" x14ac:dyDescent="0.25">
      <c r="A93" s="42"/>
      <c r="B93" s="254"/>
      <c r="C93" s="254"/>
      <c r="D93" s="254"/>
      <c r="E93" s="224"/>
      <c r="F93" s="160"/>
      <c r="G93" s="161"/>
      <c r="H93" s="162"/>
    </row>
    <row r="94" spans="1:8" customFormat="1" x14ac:dyDescent="0.25">
      <c r="A94" s="42"/>
      <c r="B94" s="173" t="s">
        <v>246</v>
      </c>
      <c r="C94" s="174"/>
      <c r="D94" s="174"/>
      <c r="E94" s="175"/>
      <c r="F94" s="176"/>
      <c r="G94" s="177"/>
      <c r="H94" s="178"/>
    </row>
    <row r="95" spans="1:8" customFormat="1" x14ac:dyDescent="0.25">
      <c r="A95" s="42"/>
      <c r="B95" s="254"/>
      <c r="C95" s="254"/>
      <c r="D95" s="254"/>
      <c r="E95" s="224"/>
      <c r="F95" s="161">
        <v>0</v>
      </c>
      <c r="G95" s="161">
        <v>0</v>
      </c>
      <c r="H95" s="162"/>
    </row>
    <row r="96" spans="1:8" customFormat="1" x14ac:dyDescent="0.25">
      <c r="A96" s="42"/>
      <c r="B96" s="169" t="s">
        <v>245</v>
      </c>
      <c r="C96" s="254"/>
      <c r="D96" s="254"/>
      <c r="E96" s="224"/>
      <c r="F96" s="264" t="s">
        <v>247</v>
      </c>
      <c r="G96" s="264" t="s">
        <v>247</v>
      </c>
      <c r="H96" s="162"/>
    </row>
    <row r="97" spans="1:8" customFormat="1" x14ac:dyDescent="0.25">
      <c r="A97" s="42"/>
      <c r="B97" s="254"/>
      <c r="C97" s="254"/>
      <c r="D97" s="254"/>
      <c r="E97" s="224"/>
      <c r="F97" s="160"/>
      <c r="G97" s="161"/>
      <c r="H97" s="162"/>
    </row>
    <row r="98" spans="1:8" customFormat="1" x14ac:dyDescent="0.25">
      <c r="A98" s="42"/>
      <c r="B98" s="265" t="s">
        <v>248</v>
      </c>
      <c r="C98" s="266"/>
      <c r="D98" s="266"/>
      <c r="E98" s="267"/>
      <c r="F98" s="262">
        <v>13109.22</v>
      </c>
      <c r="G98" s="263">
        <v>97.39</v>
      </c>
      <c r="H98" s="171"/>
    </row>
    <row r="99" spans="1:8" customFormat="1" x14ac:dyDescent="0.25">
      <c r="A99" s="42"/>
      <c r="B99" s="254"/>
      <c r="C99" s="254"/>
      <c r="D99" s="254"/>
      <c r="E99" s="224"/>
      <c r="F99" s="160"/>
      <c r="G99" s="161"/>
      <c r="H99" s="162"/>
    </row>
    <row r="100" spans="1:8" customFormat="1" x14ac:dyDescent="0.25">
      <c r="A100" s="42"/>
      <c r="B100" s="163" t="s">
        <v>249</v>
      </c>
      <c r="C100" s="164"/>
      <c r="D100" s="164"/>
      <c r="E100" s="165"/>
      <c r="F100" s="166"/>
      <c r="G100" s="167"/>
      <c r="H100" s="168"/>
    </row>
    <row r="101" spans="1:8" customFormat="1" x14ac:dyDescent="0.25">
      <c r="A101" s="42"/>
      <c r="B101" s="173" t="s">
        <v>300</v>
      </c>
      <c r="C101" s="174"/>
      <c r="D101" s="174"/>
      <c r="E101" s="175"/>
      <c r="F101" s="176"/>
      <c r="G101" s="177"/>
      <c r="H101" s="178"/>
    </row>
    <row r="102" spans="1:8" customFormat="1" x14ac:dyDescent="0.25">
      <c r="A102" s="42"/>
      <c r="B102" s="254" t="s">
        <v>280</v>
      </c>
      <c r="C102" s="254"/>
      <c r="D102" s="254"/>
      <c r="E102" s="187">
        <v>-10125</v>
      </c>
      <c r="F102" s="179">
        <v>-40.53</v>
      </c>
      <c r="G102" s="161">
        <v>-0.3</v>
      </c>
      <c r="H102" s="162"/>
    </row>
    <row r="103" spans="1:8" customFormat="1" x14ac:dyDescent="0.25">
      <c r="A103" s="42"/>
      <c r="B103" s="254" t="s">
        <v>160</v>
      </c>
      <c r="C103" s="254"/>
      <c r="D103" s="254"/>
      <c r="E103" s="187">
        <v>-9875</v>
      </c>
      <c r="F103" s="179">
        <v>-30.58</v>
      </c>
      <c r="G103" s="161">
        <v>-0.23</v>
      </c>
      <c r="H103" s="162"/>
    </row>
    <row r="104" spans="1:8" customFormat="1" x14ac:dyDescent="0.25">
      <c r="A104" s="42"/>
      <c r="B104" s="254"/>
      <c r="C104" s="254"/>
      <c r="D104" s="254"/>
      <c r="E104" s="224"/>
      <c r="F104" s="160"/>
      <c r="G104" s="161"/>
      <c r="H104" s="162"/>
    </row>
    <row r="105" spans="1:8" customFormat="1" x14ac:dyDescent="0.25">
      <c r="A105" s="42"/>
      <c r="B105" s="169" t="s">
        <v>245</v>
      </c>
      <c r="C105" s="169"/>
      <c r="D105" s="169"/>
      <c r="E105" s="170"/>
      <c r="F105" s="268">
        <v>-71.11</v>
      </c>
      <c r="G105" s="263">
        <v>-0.53</v>
      </c>
      <c r="H105" s="171"/>
    </row>
    <row r="106" spans="1:8" customFormat="1" x14ac:dyDescent="0.25">
      <c r="A106" s="42"/>
      <c r="B106" s="254"/>
      <c r="C106" s="254"/>
      <c r="D106" s="254"/>
      <c r="E106" s="224"/>
      <c r="F106" s="160"/>
      <c r="G106" s="161"/>
      <c r="H106" s="162"/>
    </row>
    <row r="107" spans="1:8" customFormat="1" x14ac:dyDescent="0.25">
      <c r="A107" s="42"/>
      <c r="B107" s="265" t="s">
        <v>250</v>
      </c>
      <c r="C107" s="269"/>
      <c r="D107" s="269"/>
      <c r="E107" s="270"/>
      <c r="F107" s="268">
        <v>-71.11</v>
      </c>
      <c r="G107" s="263">
        <v>-0.53</v>
      </c>
      <c r="H107" s="162"/>
    </row>
    <row r="108" spans="1:8" customFormat="1" x14ac:dyDescent="0.25">
      <c r="A108" s="42"/>
      <c r="B108" s="254"/>
      <c r="C108" s="254"/>
      <c r="D108" s="254"/>
      <c r="E108" s="224"/>
      <c r="F108" s="160"/>
      <c r="G108" s="161"/>
      <c r="H108" s="162"/>
    </row>
    <row r="109" spans="1:8" customFormat="1" x14ac:dyDescent="0.25">
      <c r="A109" s="42"/>
      <c r="B109" s="163" t="s">
        <v>251</v>
      </c>
      <c r="C109" s="164"/>
      <c r="D109" s="164"/>
      <c r="E109" s="165"/>
      <c r="F109" s="166"/>
      <c r="G109" s="167"/>
      <c r="H109" s="168"/>
    </row>
    <row r="110" spans="1:8" customFormat="1" x14ac:dyDescent="0.25">
      <c r="A110" s="42"/>
      <c r="B110" s="254"/>
      <c r="C110" s="254"/>
      <c r="D110" s="254"/>
      <c r="E110" s="224"/>
      <c r="F110" s="160"/>
      <c r="G110" s="161"/>
      <c r="H110" s="162"/>
    </row>
    <row r="111" spans="1:8" customFormat="1" x14ac:dyDescent="0.25">
      <c r="A111" s="42"/>
      <c r="B111" s="173" t="s">
        <v>252</v>
      </c>
      <c r="C111" s="174"/>
      <c r="D111" s="174"/>
      <c r="E111" s="175"/>
      <c r="F111" s="176"/>
      <c r="G111" s="177"/>
      <c r="H111" s="178"/>
    </row>
    <row r="112" spans="1:8" customFormat="1" x14ac:dyDescent="0.25">
      <c r="A112" s="42"/>
      <c r="B112" s="254" t="s">
        <v>429</v>
      </c>
      <c r="C112" s="254" t="s">
        <v>261</v>
      </c>
      <c r="D112" s="254" t="s">
        <v>409</v>
      </c>
      <c r="E112" s="224">
        <v>29200</v>
      </c>
      <c r="F112" s="160">
        <v>3.04</v>
      </c>
      <c r="G112" s="161">
        <v>0.02</v>
      </c>
      <c r="H112" s="162">
        <v>11.896699999999999</v>
      </c>
    </row>
    <row r="113" spans="1:8" customFormat="1" x14ac:dyDescent="0.25">
      <c r="A113" s="42"/>
      <c r="B113" s="169" t="s">
        <v>245</v>
      </c>
      <c r="C113" s="169"/>
      <c r="D113" s="169"/>
      <c r="E113" s="170"/>
      <c r="F113" s="262">
        <v>3.04</v>
      </c>
      <c r="G113" s="263">
        <v>0.02</v>
      </c>
      <c r="H113" s="171"/>
    </row>
    <row r="114" spans="1:8" customFormat="1" x14ac:dyDescent="0.25">
      <c r="A114" s="42"/>
      <c r="B114" s="254"/>
      <c r="C114" s="254"/>
      <c r="D114" s="254"/>
      <c r="E114" s="224"/>
      <c r="F114" s="160"/>
      <c r="G114" s="161"/>
      <c r="H114" s="162"/>
    </row>
    <row r="115" spans="1:8" customFormat="1" x14ac:dyDescent="0.25">
      <c r="A115" s="42"/>
      <c r="B115" s="173" t="s">
        <v>262</v>
      </c>
      <c r="C115" s="174"/>
      <c r="D115" s="174"/>
      <c r="E115" s="175"/>
      <c r="F115" s="176"/>
      <c r="G115" s="177"/>
      <c r="H115" s="178"/>
    </row>
    <row r="116" spans="1:8" customFormat="1" x14ac:dyDescent="0.25">
      <c r="A116" s="42"/>
      <c r="B116" s="254"/>
      <c r="C116" s="254"/>
      <c r="D116" s="254"/>
      <c r="E116" s="224"/>
      <c r="F116" s="161">
        <v>0</v>
      </c>
      <c r="G116" s="161">
        <v>0</v>
      </c>
      <c r="H116" s="162"/>
    </row>
    <row r="117" spans="1:8" customFormat="1" x14ac:dyDescent="0.25">
      <c r="A117" s="78"/>
      <c r="B117" s="169" t="s">
        <v>245</v>
      </c>
      <c r="C117" s="254"/>
      <c r="D117" s="254"/>
      <c r="E117" s="224"/>
      <c r="F117" s="264" t="s">
        <v>247</v>
      </c>
      <c r="G117" s="264" t="s">
        <v>247</v>
      </c>
      <c r="H117" s="162"/>
    </row>
    <row r="118" spans="1:8" s="219" customFormat="1" x14ac:dyDescent="0.25">
      <c r="B118" s="254"/>
      <c r="C118" s="254"/>
      <c r="D118" s="254"/>
      <c r="E118" s="224"/>
      <c r="F118" s="160"/>
      <c r="G118" s="161"/>
      <c r="H118" s="162"/>
    </row>
    <row r="119" spans="1:8" s="219" customFormat="1" x14ac:dyDescent="0.25">
      <c r="B119" s="173" t="s">
        <v>263</v>
      </c>
      <c r="C119" s="174"/>
      <c r="D119" s="174"/>
      <c r="E119" s="175"/>
      <c r="F119" s="176"/>
      <c r="G119" s="177"/>
      <c r="H119" s="178"/>
    </row>
    <row r="120" spans="1:8" s="219" customFormat="1" x14ac:dyDescent="0.25">
      <c r="A120" s="42"/>
      <c r="B120" s="254"/>
      <c r="C120" s="254"/>
      <c r="D120" s="254"/>
      <c r="E120" s="224"/>
      <c r="F120" s="161">
        <v>0</v>
      </c>
      <c r="G120" s="161">
        <v>0</v>
      </c>
      <c r="H120" s="162"/>
    </row>
    <row r="121" spans="1:8" s="222" customFormat="1" x14ac:dyDescent="0.25">
      <c r="A121" s="42"/>
      <c r="B121" s="169" t="s">
        <v>245</v>
      </c>
      <c r="C121" s="254"/>
      <c r="D121" s="254"/>
      <c r="E121" s="224"/>
      <c r="F121" s="264" t="s">
        <v>247</v>
      </c>
      <c r="G121" s="264" t="s">
        <v>247</v>
      </c>
      <c r="H121" s="162"/>
    </row>
    <row r="122" spans="1:8" s="222" customFormat="1" x14ac:dyDescent="0.25">
      <c r="A122" s="42"/>
      <c r="B122" s="254"/>
      <c r="C122" s="254"/>
      <c r="D122" s="254"/>
      <c r="E122" s="224"/>
      <c r="F122" s="160"/>
      <c r="G122" s="161"/>
      <c r="H122" s="162"/>
    </row>
    <row r="123" spans="1:8" s="222" customFormat="1" x14ac:dyDescent="0.25">
      <c r="A123" s="42"/>
      <c r="B123" s="265" t="s">
        <v>248</v>
      </c>
      <c r="C123" s="266"/>
      <c r="D123" s="266"/>
      <c r="E123" s="267"/>
      <c r="F123" s="262">
        <v>3.04</v>
      </c>
      <c r="G123" s="263">
        <v>0.02</v>
      </c>
      <c r="H123" s="171"/>
    </row>
    <row r="124" spans="1:8" s="222" customFormat="1" x14ac:dyDescent="0.25">
      <c r="A124" s="42"/>
      <c r="B124" s="254"/>
      <c r="C124" s="254"/>
      <c r="D124" s="254"/>
      <c r="E124" s="224"/>
      <c r="F124" s="160"/>
      <c r="G124" s="161"/>
      <c r="H124" s="162"/>
    </row>
    <row r="125" spans="1:8" s="222" customFormat="1" x14ac:dyDescent="0.25">
      <c r="A125" s="42"/>
      <c r="B125" s="254"/>
      <c r="C125" s="254"/>
      <c r="D125" s="254"/>
      <c r="E125" s="224"/>
      <c r="F125" s="160"/>
      <c r="G125" s="161"/>
      <c r="H125" s="162"/>
    </row>
    <row r="126" spans="1:8" s="222" customFormat="1" x14ac:dyDescent="0.25">
      <c r="A126" s="42"/>
      <c r="B126" s="163" t="s">
        <v>382</v>
      </c>
      <c r="C126" s="164"/>
      <c r="D126" s="164"/>
      <c r="E126" s="165"/>
      <c r="F126" s="166"/>
      <c r="G126" s="167"/>
      <c r="H126" s="168"/>
    </row>
    <row r="127" spans="1:8" s="222" customFormat="1" x14ac:dyDescent="0.25">
      <c r="A127" s="42"/>
      <c r="B127" s="254" t="s">
        <v>476</v>
      </c>
      <c r="C127" s="254" t="s">
        <v>467</v>
      </c>
      <c r="D127" s="254"/>
      <c r="E127" s="224"/>
      <c r="F127" s="160">
        <v>159.96</v>
      </c>
      <c r="G127" s="161">
        <v>1.19</v>
      </c>
      <c r="H127" s="162">
        <v>5.1081000000000003</v>
      </c>
    </row>
    <row r="128" spans="1:8" s="222" customFormat="1" x14ac:dyDescent="0.25">
      <c r="A128" s="42"/>
      <c r="B128" s="169" t="s">
        <v>245</v>
      </c>
      <c r="C128" s="169"/>
      <c r="D128" s="169"/>
      <c r="E128" s="170"/>
      <c r="F128" s="262">
        <v>159.96</v>
      </c>
      <c r="G128" s="263">
        <v>1.19</v>
      </c>
      <c r="H128" s="171"/>
    </row>
    <row r="129" spans="1:13" s="222" customFormat="1" x14ac:dyDescent="0.25">
      <c r="A129" s="42"/>
      <c r="B129" s="254"/>
      <c r="C129" s="254"/>
      <c r="D129" s="254"/>
      <c r="E129" s="224"/>
      <c r="F129" s="160"/>
      <c r="G129" s="161"/>
      <c r="H129" s="162"/>
    </row>
    <row r="130" spans="1:13" s="222" customFormat="1" x14ac:dyDescent="0.25">
      <c r="A130" s="42"/>
      <c r="B130" s="265" t="s">
        <v>248</v>
      </c>
      <c r="C130" s="266"/>
      <c r="D130" s="266"/>
      <c r="E130" s="267"/>
      <c r="F130" s="262">
        <v>159.96</v>
      </c>
      <c r="G130" s="263">
        <v>1.19</v>
      </c>
      <c r="H130" s="171"/>
    </row>
    <row r="131" spans="1:13" s="222" customFormat="1" x14ac:dyDescent="0.25">
      <c r="A131" s="42"/>
      <c r="B131" s="254"/>
      <c r="C131" s="254"/>
      <c r="D131" s="254"/>
      <c r="E131" s="224"/>
      <c r="F131" s="160"/>
      <c r="G131" s="161"/>
      <c r="H131" s="162"/>
    </row>
    <row r="132" spans="1:13" s="222" customFormat="1" x14ac:dyDescent="0.25">
      <c r="A132" s="42"/>
      <c r="B132" s="254" t="s">
        <v>266</v>
      </c>
      <c r="C132" s="254"/>
      <c r="D132" s="254"/>
      <c r="E132" s="224"/>
      <c r="F132" s="160">
        <v>253.82</v>
      </c>
      <c r="G132" s="161">
        <v>1.9300000000000068</v>
      </c>
      <c r="H132" s="162"/>
    </row>
    <row r="133" spans="1:13" s="222" customFormat="1" x14ac:dyDescent="0.25">
      <c r="A133" s="42"/>
      <c r="B133" s="254"/>
      <c r="C133" s="254"/>
      <c r="D133" s="254"/>
      <c r="E133" s="224"/>
      <c r="F133" s="160"/>
      <c r="G133" s="161"/>
      <c r="H133" s="162"/>
    </row>
    <row r="134" spans="1:13" s="222" customFormat="1" x14ac:dyDescent="0.25">
      <c r="A134" s="42"/>
      <c r="B134" s="265" t="s">
        <v>267</v>
      </c>
      <c r="C134" s="266"/>
      <c r="D134" s="266"/>
      <c r="E134" s="267"/>
      <c r="F134" s="262">
        <v>13454.93</v>
      </c>
      <c r="G134" s="263">
        <v>100</v>
      </c>
      <c r="H134" s="172"/>
    </row>
    <row r="135" spans="1:13" x14ac:dyDescent="0.25">
      <c r="A135" s="78" t="s">
        <v>48</v>
      </c>
      <c r="B135" s="1" t="s">
        <v>361</v>
      </c>
      <c r="D135" s="109"/>
      <c r="E135" s="110"/>
      <c r="F135" s="115"/>
      <c r="G135" s="116"/>
      <c r="H135" s="113"/>
      <c r="I135" s="84"/>
      <c r="J135" s="85"/>
    </row>
    <row r="136" spans="1:13" ht="15.75" x14ac:dyDescent="0.15">
      <c r="A136" s="80"/>
      <c r="B136" s="40" t="s">
        <v>0</v>
      </c>
      <c r="D136" s="81"/>
      <c r="E136" s="82"/>
      <c r="F136" s="87"/>
      <c r="G136" s="117"/>
      <c r="H136" s="118"/>
      <c r="I136" s="84"/>
      <c r="J136" s="85"/>
    </row>
    <row r="137" spans="1:13" x14ac:dyDescent="0.15">
      <c r="A137" s="80"/>
      <c r="B137" s="40" t="s">
        <v>408</v>
      </c>
      <c r="D137" s="121"/>
      <c r="E137" s="82"/>
      <c r="F137" s="87"/>
      <c r="G137" s="82"/>
      <c r="H137" s="82"/>
      <c r="I137" s="84"/>
      <c r="J137" s="113"/>
    </row>
    <row r="138" spans="1:13" x14ac:dyDescent="0.15">
      <c r="A138" s="80"/>
      <c r="B138" s="40" t="s">
        <v>31</v>
      </c>
      <c r="D138" s="81"/>
      <c r="E138" s="82"/>
      <c r="F138" s="87"/>
      <c r="G138" s="82"/>
      <c r="H138" s="82"/>
      <c r="I138" s="84"/>
      <c r="J138" s="113"/>
    </row>
    <row r="139" spans="1:13" x14ac:dyDescent="0.25">
      <c r="A139" s="12"/>
      <c r="D139" s="82"/>
      <c r="E139" s="87"/>
      <c r="F139" s="87"/>
      <c r="G139" s="87"/>
      <c r="H139" s="82"/>
    </row>
    <row r="140" spans="1:13" x14ac:dyDescent="0.25">
      <c r="A140" s="80" t="s">
        <v>137</v>
      </c>
      <c r="B140" s="88" t="s">
        <v>1</v>
      </c>
      <c r="C140" s="89" t="s">
        <v>51</v>
      </c>
      <c r="D140" s="120"/>
      <c r="E140" s="91"/>
      <c r="F140" s="87"/>
      <c r="G140" s="87"/>
      <c r="H140" s="82"/>
      <c r="I140" s="82"/>
      <c r="K140" s="92"/>
      <c r="L140" s="93"/>
    </row>
    <row r="141" spans="1:13" x14ac:dyDescent="0.25">
      <c r="A141" s="94"/>
      <c r="B141" s="7" t="s">
        <v>67</v>
      </c>
      <c r="C141" s="96">
        <f t="shared" ref="C141:C171" si="0">SUMIF($D$19:$D$134,B141,$G$19:$G$134)</f>
        <v>22.400000000000002</v>
      </c>
      <c r="D141" s="97"/>
      <c r="E141" s="98"/>
      <c r="F141" s="99"/>
      <c r="G141" s="87"/>
      <c r="H141" s="82"/>
      <c r="J141" s="92"/>
      <c r="K141" s="93"/>
      <c r="L141" s="84"/>
      <c r="M141" s="93"/>
    </row>
    <row r="142" spans="1:13" x14ac:dyDescent="0.25">
      <c r="A142" s="94"/>
      <c r="B142" s="7" t="s">
        <v>50</v>
      </c>
      <c r="C142" s="96">
        <f t="shared" si="0"/>
        <v>6.29</v>
      </c>
      <c r="D142" s="97"/>
      <c r="E142" s="98"/>
      <c r="F142" s="99"/>
      <c r="G142" s="87"/>
      <c r="H142" s="82"/>
      <c r="K142" s="93"/>
      <c r="L142" s="84"/>
      <c r="M142" s="93"/>
    </row>
    <row r="143" spans="1:13" x14ac:dyDescent="0.25">
      <c r="A143" s="94"/>
      <c r="B143" s="7" t="s">
        <v>111</v>
      </c>
      <c r="C143" s="96">
        <f t="shared" si="0"/>
        <v>5.97</v>
      </c>
      <c r="D143" s="97"/>
      <c r="E143" s="98"/>
      <c r="F143" s="99"/>
      <c r="G143" s="87"/>
      <c r="H143" s="82"/>
      <c r="K143" s="93"/>
      <c r="L143" s="84"/>
      <c r="M143" s="93"/>
    </row>
    <row r="144" spans="1:13" x14ac:dyDescent="0.25">
      <c r="A144" s="94"/>
      <c r="B144" s="7" t="s">
        <v>66</v>
      </c>
      <c r="C144" s="96">
        <f t="shared" si="0"/>
        <v>5.87</v>
      </c>
      <c r="D144" s="97"/>
      <c r="E144" s="98"/>
      <c r="F144" s="99"/>
      <c r="G144" s="87"/>
      <c r="H144" s="82"/>
      <c r="K144" s="93"/>
      <c r="L144" s="84"/>
      <c r="M144" s="93"/>
    </row>
    <row r="145" spans="1:13" x14ac:dyDescent="0.25">
      <c r="A145" s="94"/>
      <c r="B145" s="7" t="s">
        <v>44</v>
      </c>
      <c r="C145" s="96">
        <f t="shared" si="0"/>
        <v>5.3800000000000008</v>
      </c>
      <c r="D145" s="97"/>
      <c r="E145" s="98"/>
      <c r="F145" s="99"/>
      <c r="G145" s="87"/>
      <c r="H145" s="82"/>
      <c r="J145" s="92"/>
      <c r="K145" s="93"/>
      <c r="L145" s="84"/>
      <c r="M145" s="93"/>
    </row>
    <row r="146" spans="1:13" x14ac:dyDescent="0.25">
      <c r="A146" s="94"/>
      <c r="B146" s="7" t="s">
        <v>65</v>
      </c>
      <c r="C146" s="96">
        <f t="shared" si="0"/>
        <v>4.3</v>
      </c>
      <c r="D146" s="97"/>
      <c r="E146" s="98"/>
      <c r="F146" s="99"/>
      <c r="G146" s="87"/>
      <c r="H146" s="82"/>
      <c r="J146" s="92"/>
      <c r="K146" s="93"/>
      <c r="L146" s="84"/>
      <c r="M146" s="93"/>
    </row>
    <row r="147" spans="1:13" x14ac:dyDescent="0.25">
      <c r="A147" s="94"/>
      <c r="B147" s="7" t="s">
        <v>42</v>
      </c>
      <c r="C147" s="96">
        <f t="shared" si="0"/>
        <v>3.81</v>
      </c>
      <c r="D147" s="97"/>
      <c r="E147" s="98"/>
      <c r="F147" s="99"/>
      <c r="G147" s="87"/>
      <c r="H147" s="82"/>
      <c r="J147" s="92"/>
      <c r="K147" s="93"/>
      <c r="L147" s="84"/>
      <c r="M147" s="93"/>
    </row>
    <row r="148" spans="1:13" x14ac:dyDescent="0.25">
      <c r="A148" s="94"/>
      <c r="B148" s="7" t="s">
        <v>94</v>
      </c>
      <c r="C148" s="96">
        <f t="shared" si="0"/>
        <v>3.75</v>
      </c>
      <c r="D148" s="97"/>
      <c r="E148" s="98"/>
      <c r="F148" s="99"/>
      <c r="G148" s="87"/>
      <c r="H148" s="82"/>
      <c r="J148" s="92"/>
      <c r="K148" s="93"/>
      <c r="L148" s="84"/>
      <c r="M148" s="93"/>
    </row>
    <row r="149" spans="1:13" x14ac:dyDescent="0.25">
      <c r="A149" s="94"/>
      <c r="B149" s="7" t="s">
        <v>45</v>
      </c>
      <c r="C149" s="96">
        <f t="shared" si="0"/>
        <v>3.57</v>
      </c>
      <c r="D149" s="97"/>
      <c r="E149" s="98"/>
      <c r="F149" s="99"/>
      <c r="G149" s="87"/>
      <c r="H149" s="82"/>
      <c r="J149" s="92"/>
      <c r="K149" s="93"/>
      <c r="L149" s="84"/>
      <c r="M149" s="93"/>
    </row>
    <row r="150" spans="1:13" x14ac:dyDescent="0.25">
      <c r="A150" s="94"/>
      <c r="B150" s="7" t="s">
        <v>68</v>
      </c>
      <c r="C150" s="96">
        <f t="shared" si="0"/>
        <v>3.51</v>
      </c>
      <c r="D150" s="137"/>
      <c r="E150" s="98"/>
      <c r="F150" s="99"/>
      <c r="G150" s="87"/>
      <c r="H150" s="82"/>
      <c r="J150" s="92"/>
      <c r="K150" s="93"/>
      <c r="L150" s="84"/>
      <c r="M150" s="93"/>
    </row>
    <row r="151" spans="1:13" x14ac:dyDescent="0.25">
      <c r="A151" s="94"/>
      <c r="B151" s="7" t="s">
        <v>114</v>
      </c>
      <c r="C151" s="96">
        <f t="shared" si="0"/>
        <v>3.2</v>
      </c>
      <c r="D151" s="137"/>
      <c r="E151" s="98"/>
      <c r="F151" s="99"/>
      <c r="G151" s="87"/>
      <c r="H151" s="82"/>
      <c r="J151" s="92"/>
      <c r="K151" s="93"/>
      <c r="L151" s="84"/>
      <c r="M151" s="93"/>
    </row>
    <row r="152" spans="1:13" x14ac:dyDescent="0.25">
      <c r="A152" s="94"/>
      <c r="B152" s="7" t="s">
        <v>121</v>
      </c>
      <c r="C152" s="96">
        <f t="shared" si="0"/>
        <v>2.77</v>
      </c>
      <c r="D152" s="137"/>
      <c r="E152" s="98"/>
      <c r="F152" s="99"/>
      <c r="G152" s="87"/>
      <c r="H152" s="82"/>
      <c r="J152" s="92"/>
      <c r="K152" s="93"/>
      <c r="L152" s="84"/>
      <c r="M152" s="93"/>
    </row>
    <row r="153" spans="1:13" x14ac:dyDescent="0.25">
      <c r="A153" s="94"/>
      <c r="B153" s="7" t="s">
        <v>109</v>
      </c>
      <c r="C153" s="96">
        <f t="shared" si="0"/>
        <v>2.62</v>
      </c>
      <c r="D153" s="137"/>
      <c r="E153" s="98"/>
      <c r="F153" s="99"/>
      <c r="G153" s="87"/>
      <c r="H153" s="82"/>
      <c r="J153" s="92"/>
      <c r="K153" s="93"/>
      <c r="L153" s="84"/>
      <c r="M153" s="93"/>
    </row>
    <row r="154" spans="1:13" x14ac:dyDescent="0.25">
      <c r="A154" s="94"/>
      <c r="B154" s="7" t="s">
        <v>93</v>
      </c>
      <c r="C154" s="96">
        <f t="shared" si="0"/>
        <v>2.3199999999999998</v>
      </c>
      <c r="D154" s="137"/>
      <c r="E154" s="98"/>
      <c r="F154" s="99"/>
      <c r="G154" s="87"/>
      <c r="H154" s="82"/>
      <c r="J154" s="92"/>
      <c r="K154" s="93"/>
      <c r="L154" s="84"/>
      <c r="M154" s="93"/>
    </row>
    <row r="155" spans="1:13" x14ac:dyDescent="0.25">
      <c r="A155" s="94"/>
      <c r="B155" s="7" t="s">
        <v>43</v>
      </c>
      <c r="C155" s="96">
        <f t="shared" si="0"/>
        <v>2.2999999999999998</v>
      </c>
      <c r="D155" s="137"/>
      <c r="E155" s="98"/>
      <c r="F155" s="99"/>
      <c r="G155" s="87"/>
      <c r="H155" s="82"/>
      <c r="J155" s="92"/>
      <c r="K155" s="93"/>
      <c r="L155" s="84"/>
      <c r="M155" s="93"/>
    </row>
    <row r="156" spans="1:13" x14ac:dyDescent="0.25">
      <c r="A156" s="94"/>
      <c r="B156" s="7" t="s">
        <v>274</v>
      </c>
      <c r="C156" s="96">
        <f t="shared" si="0"/>
        <v>2.06</v>
      </c>
      <c r="D156" s="137"/>
      <c r="E156" s="98"/>
      <c r="F156" s="99"/>
      <c r="G156" s="87"/>
      <c r="H156" s="82"/>
      <c r="J156" s="92"/>
      <c r="K156" s="93"/>
      <c r="L156" s="84"/>
      <c r="M156" s="93"/>
    </row>
    <row r="157" spans="1:13" x14ac:dyDescent="0.25">
      <c r="A157" s="94"/>
      <c r="B157" s="7" t="s">
        <v>46</v>
      </c>
      <c r="C157" s="96">
        <f t="shared" si="0"/>
        <v>2.02</v>
      </c>
      <c r="D157" s="137"/>
      <c r="E157" s="98"/>
      <c r="F157" s="99"/>
      <c r="G157" s="87"/>
      <c r="H157" s="82"/>
      <c r="J157" s="92"/>
      <c r="K157" s="93"/>
      <c r="L157" s="84"/>
      <c r="M157" s="93"/>
    </row>
    <row r="158" spans="1:13" x14ac:dyDescent="0.25">
      <c r="A158" s="94"/>
      <c r="B158" s="7" t="s">
        <v>117</v>
      </c>
      <c r="C158" s="96">
        <f t="shared" si="0"/>
        <v>1.98</v>
      </c>
      <c r="D158" s="137"/>
      <c r="E158" s="98"/>
      <c r="F158" s="99"/>
      <c r="G158" s="87"/>
      <c r="H158" s="82"/>
      <c r="J158" s="92"/>
      <c r="K158" s="93"/>
      <c r="L158" s="84"/>
      <c r="M158" s="93"/>
    </row>
    <row r="159" spans="1:13" x14ac:dyDescent="0.25">
      <c r="A159" s="94"/>
      <c r="B159" s="7" t="s">
        <v>105</v>
      </c>
      <c r="C159" s="96">
        <f t="shared" si="0"/>
        <v>1.78</v>
      </c>
      <c r="D159" s="137"/>
      <c r="E159" s="98"/>
      <c r="F159" s="99"/>
      <c r="G159" s="87"/>
      <c r="H159" s="82"/>
      <c r="J159" s="92"/>
      <c r="K159" s="93"/>
      <c r="L159" s="84"/>
      <c r="M159" s="93"/>
    </row>
    <row r="160" spans="1:13" x14ac:dyDescent="0.25">
      <c r="A160" s="94"/>
      <c r="B160" s="7" t="s">
        <v>47</v>
      </c>
      <c r="C160" s="96">
        <f t="shared" si="0"/>
        <v>1.77</v>
      </c>
      <c r="D160" s="137"/>
      <c r="E160" s="98"/>
      <c r="F160" s="99"/>
      <c r="G160" s="87"/>
      <c r="H160" s="82"/>
      <c r="J160" s="92"/>
      <c r="K160" s="93"/>
      <c r="L160" s="84"/>
      <c r="M160" s="93"/>
    </row>
    <row r="161" spans="1:13" x14ac:dyDescent="0.25">
      <c r="A161" s="94"/>
      <c r="B161" s="7" t="s">
        <v>120</v>
      </c>
      <c r="C161" s="96">
        <f t="shared" si="0"/>
        <v>1.6600000000000001</v>
      </c>
      <c r="D161" s="137"/>
      <c r="E161" s="98"/>
      <c r="F161" s="99"/>
      <c r="G161" s="87"/>
      <c r="H161" s="82"/>
      <c r="J161" s="92"/>
      <c r="K161" s="93"/>
      <c r="L161" s="84"/>
      <c r="M161" s="93"/>
    </row>
    <row r="162" spans="1:13" x14ac:dyDescent="0.25">
      <c r="A162" s="94"/>
      <c r="B162" s="7" t="s">
        <v>135</v>
      </c>
      <c r="C162" s="96">
        <f t="shared" si="0"/>
        <v>1.47</v>
      </c>
      <c r="D162" s="137"/>
      <c r="E162" s="98"/>
      <c r="F162" s="99"/>
      <c r="G162" s="87"/>
      <c r="H162" s="82"/>
      <c r="J162" s="92"/>
      <c r="K162" s="93"/>
      <c r="L162" s="84"/>
      <c r="M162" s="93"/>
    </row>
    <row r="163" spans="1:13" x14ac:dyDescent="0.25">
      <c r="A163" s="94"/>
      <c r="B163" s="7" t="s">
        <v>107</v>
      </c>
      <c r="C163" s="96">
        <f t="shared" si="0"/>
        <v>1.21</v>
      </c>
      <c r="D163" s="137"/>
      <c r="E163" s="98"/>
      <c r="F163" s="99"/>
      <c r="G163" s="87"/>
      <c r="H163" s="82"/>
      <c r="J163" s="92"/>
      <c r="K163" s="93"/>
      <c r="L163" s="84"/>
      <c r="M163" s="93"/>
    </row>
    <row r="164" spans="1:13" x14ac:dyDescent="0.25">
      <c r="A164" s="94"/>
      <c r="B164" s="7" t="s">
        <v>113</v>
      </c>
      <c r="C164" s="96">
        <f t="shared" si="0"/>
        <v>1.1000000000000001</v>
      </c>
      <c r="D164" s="137"/>
      <c r="E164" s="98"/>
      <c r="F164" s="99"/>
      <c r="G164" s="87"/>
      <c r="H164" s="82"/>
      <c r="J164" s="92"/>
      <c r="K164" s="93"/>
      <c r="L164" s="84"/>
      <c r="M164" s="93"/>
    </row>
    <row r="165" spans="1:13" x14ac:dyDescent="0.25">
      <c r="A165" s="94"/>
      <c r="B165" s="7" t="s">
        <v>118</v>
      </c>
      <c r="C165" s="96">
        <f t="shared" si="0"/>
        <v>0.86</v>
      </c>
      <c r="D165" s="137"/>
      <c r="E165" s="98"/>
      <c r="F165" s="99"/>
      <c r="G165" s="87"/>
      <c r="H165" s="82"/>
      <c r="J165" s="92"/>
      <c r="K165" s="93"/>
      <c r="L165" s="84"/>
      <c r="M165" s="93"/>
    </row>
    <row r="166" spans="1:13" x14ac:dyDescent="0.25">
      <c r="A166" s="94"/>
      <c r="B166" s="7" t="s">
        <v>112</v>
      </c>
      <c r="C166" s="96">
        <f t="shared" si="0"/>
        <v>0.75</v>
      </c>
      <c r="D166" s="137"/>
      <c r="E166" s="98"/>
      <c r="F166" s="99"/>
      <c r="G166" s="87"/>
      <c r="H166" s="82"/>
      <c r="J166" s="92"/>
      <c r="K166" s="93"/>
      <c r="L166" s="84"/>
      <c r="M166" s="93"/>
    </row>
    <row r="167" spans="1:13" x14ac:dyDescent="0.25">
      <c r="A167" s="94"/>
      <c r="B167" s="7" t="s">
        <v>130</v>
      </c>
      <c r="C167" s="96">
        <f t="shared" si="0"/>
        <v>0.66</v>
      </c>
      <c r="D167" s="137"/>
      <c r="E167" s="98"/>
      <c r="F167" s="99"/>
      <c r="G167" s="87"/>
      <c r="H167" s="82"/>
      <c r="J167" s="92"/>
      <c r="K167" s="93"/>
      <c r="L167" s="84"/>
      <c r="M167" s="93"/>
    </row>
    <row r="168" spans="1:13" x14ac:dyDescent="0.25">
      <c r="A168" s="94"/>
      <c r="B168" s="7" t="s">
        <v>369</v>
      </c>
      <c r="C168" s="96">
        <f t="shared" si="0"/>
        <v>0.62</v>
      </c>
      <c r="D168" s="137"/>
      <c r="E168" s="98"/>
      <c r="F168" s="99"/>
      <c r="G168" s="87"/>
      <c r="H168" s="82"/>
      <c r="J168" s="92"/>
      <c r="K168" s="93"/>
      <c r="L168" s="84"/>
      <c r="M168" s="93"/>
    </row>
    <row r="169" spans="1:13" x14ac:dyDescent="0.25">
      <c r="A169" s="94"/>
      <c r="B169" s="7" t="s">
        <v>356</v>
      </c>
      <c r="C169" s="96">
        <f t="shared" si="0"/>
        <v>0.62</v>
      </c>
      <c r="D169" s="137"/>
      <c r="E169" s="98"/>
      <c r="F169" s="99"/>
      <c r="G169" s="87"/>
      <c r="H169" s="82"/>
      <c r="J169" s="92"/>
      <c r="K169" s="93"/>
      <c r="L169" s="84"/>
      <c r="M169" s="93"/>
    </row>
    <row r="170" spans="1:13" x14ac:dyDescent="0.25">
      <c r="A170" s="94"/>
      <c r="B170" s="7" t="s">
        <v>424</v>
      </c>
      <c r="C170" s="96">
        <f t="shared" si="0"/>
        <v>0.52</v>
      </c>
      <c r="D170" s="137"/>
      <c r="E170" s="98"/>
      <c r="F170" s="99"/>
      <c r="G170" s="87"/>
      <c r="H170" s="82"/>
      <c r="J170" s="92"/>
      <c r="K170" s="93"/>
      <c r="L170" s="84"/>
      <c r="M170" s="93"/>
    </row>
    <row r="171" spans="1:13" x14ac:dyDescent="0.25">
      <c r="A171" s="94"/>
      <c r="B171" s="7" t="s">
        <v>418</v>
      </c>
      <c r="C171" s="96">
        <f t="shared" si="0"/>
        <v>0.25</v>
      </c>
      <c r="D171" s="198"/>
      <c r="E171" s="98"/>
      <c r="F171" s="99"/>
      <c r="G171" s="87"/>
      <c r="H171" s="82"/>
      <c r="J171" s="92"/>
      <c r="K171" s="93"/>
      <c r="L171" s="84"/>
      <c r="M171" s="93"/>
    </row>
    <row r="172" spans="1:13" x14ac:dyDescent="0.25">
      <c r="B172" s="101" t="s">
        <v>138</v>
      </c>
      <c r="C172" s="74"/>
      <c r="D172" s="13"/>
      <c r="E172" s="211">
        <f>SUM(C140:C172)-G98</f>
        <v>0</v>
      </c>
      <c r="F172" s="86"/>
      <c r="G172" s="86"/>
    </row>
    <row r="173" spans="1:13" x14ac:dyDescent="0.25">
      <c r="B173" s="105"/>
      <c r="D173" s="13"/>
      <c r="E173" s="209"/>
      <c r="F173" s="86"/>
      <c r="G173" s="86"/>
    </row>
    <row r="174" spans="1:13" x14ac:dyDescent="0.25">
      <c r="B174" t="s">
        <v>136</v>
      </c>
      <c r="D174" s="13"/>
      <c r="E174" s="86"/>
      <c r="F174" s="86"/>
      <c r="G174" s="86"/>
    </row>
    <row r="175" spans="1:13" x14ac:dyDescent="0.25">
      <c r="B175" t="s">
        <v>344</v>
      </c>
      <c r="D175" s="86"/>
      <c r="E175" s="86"/>
      <c r="F175" s="86"/>
      <c r="G175" s="86"/>
    </row>
    <row r="176" spans="1:13" x14ac:dyDescent="0.25">
      <c r="B176" s="229" t="s">
        <v>388</v>
      </c>
      <c r="C176" s="230" t="s">
        <v>387</v>
      </c>
      <c r="D176" s="14"/>
      <c r="E176" s="86"/>
      <c r="F176" s="86"/>
      <c r="G176" s="86"/>
    </row>
    <row r="177" spans="1:7" x14ac:dyDescent="0.25">
      <c r="D177" s="86"/>
      <c r="E177" s="86"/>
      <c r="F177" s="86"/>
      <c r="G177" s="86"/>
    </row>
    <row r="178" spans="1:7" x14ac:dyDescent="0.25">
      <c r="A178" s="100"/>
      <c r="D178" s="86"/>
      <c r="E178" s="86"/>
      <c r="F178" s="86"/>
      <c r="G178" s="86"/>
    </row>
    <row r="179" spans="1:7" x14ac:dyDescent="0.25">
      <c r="D179" s="86"/>
      <c r="E179" s="86"/>
      <c r="F179" s="86"/>
      <c r="G179" s="86"/>
    </row>
  </sheetData>
  <mergeCells count="9">
    <mergeCell ref="B1:H1"/>
    <mergeCell ref="B2:H2"/>
    <mergeCell ref="D4:E4"/>
    <mergeCell ref="B10:C10"/>
    <mergeCell ref="B7:C7"/>
    <mergeCell ref="F13:H13"/>
    <mergeCell ref="D12:E12"/>
    <mergeCell ref="F12:H12"/>
    <mergeCell ref="F4:H4"/>
  </mergeCells>
  <hyperlinks>
    <hyperlink ref="C176" r:id="rId1" xr:uid="{7AC9A116-6C22-4089-B1A8-A3EDA2CD4B02}"/>
  </hyperlinks>
  <printOptions gridLines="1"/>
  <pageMargins left="0.7" right="0.7" top="0.75" bottom="0.75" header="0.3" footer="0.3"/>
  <pageSetup paperSize="9" scale="54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F59E-39BC-4A52-AE79-531BC369BD9E}">
  <sheetPr codeName="Sheet3">
    <pageSetUpPr autoPageBreaks="0"/>
  </sheetPr>
  <dimension ref="A1:M181"/>
  <sheetViews>
    <sheetView showGridLines="0" zoomScaleNormal="100" workbookViewId="0"/>
  </sheetViews>
  <sheetFormatPr defaultColWidth="17.7109375" defaultRowHeight="15" x14ac:dyDescent="0.25"/>
  <cols>
    <col min="1" max="1" width="5.28515625" style="76" customWidth="1"/>
    <col min="2" max="2" width="49.7109375" style="11" customWidth="1"/>
    <col min="3" max="3" width="20.140625" style="11" customWidth="1"/>
    <col min="4" max="4" width="34.28515625" style="11" customWidth="1"/>
    <col min="5" max="5" width="27.7109375" style="11" customWidth="1"/>
    <col min="6" max="6" width="26" style="11" customWidth="1"/>
    <col min="7" max="7" width="19.5703125" style="11" customWidth="1"/>
    <col min="8" max="8" width="11" style="11" customWidth="1"/>
    <col min="9" max="9" width="17.28515625" style="11" customWidth="1"/>
    <col min="10" max="10" width="19" style="11" bestFit="1" customWidth="1"/>
    <col min="11" max="16384" width="17.7109375" style="11"/>
  </cols>
  <sheetData>
    <row r="1" spans="1:10" ht="21.75" x14ac:dyDescent="0.25">
      <c r="B1" s="287" t="s">
        <v>41</v>
      </c>
      <c r="C1" s="287"/>
      <c r="D1" s="287"/>
      <c r="E1" s="287"/>
      <c r="F1" s="287"/>
      <c r="G1" s="287"/>
      <c r="H1" s="287"/>
    </row>
    <row r="2" spans="1:10" customFormat="1" ht="13.5" customHeight="1" x14ac:dyDescent="0.25">
      <c r="B2" s="276" t="s">
        <v>71</v>
      </c>
      <c r="C2" s="276"/>
      <c r="D2" s="276"/>
      <c r="E2" s="276"/>
      <c r="F2" s="276"/>
      <c r="G2" s="276"/>
      <c r="H2" s="276"/>
    </row>
    <row r="3" spans="1:10" customFormat="1" ht="13.5" customHeight="1" x14ac:dyDescent="0.3">
      <c r="B3" s="144"/>
      <c r="C3" s="144"/>
      <c r="D3" s="144"/>
      <c r="E3" s="144"/>
      <c r="F3" s="144"/>
      <c r="G3" s="144"/>
      <c r="H3" s="144"/>
    </row>
    <row r="4" spans="1:10" s="19" customFormat="1" ht="21" x14ac:dyDescent="0.25">
      <c r="A4" s="75"/>
      <c r="B4" s="55"/>
      <c r="C4" s="56"/>
      <c r="D4" s="273" t="s">
        <v>9</v>
      </c>
      <c r="E4" s="275"/>
      <c r="F4" s="273" t="s">
        <v>56</v>
      </c>
      <c r="G4" s="274"/>
      <c r="H4" s="275"/>
    </row>
    <row r="5" spans="1:10" s="19" customFormat="1" ht="15.75" x14ac:dyDescent="0.25">
      <c r="A5" s="75"/>
      <c r="B5" s="54" t="s">
        <v>2</v>
      </c>
      <c r="C5" s="20"/>
      <c r="D5" s="50"/>
      <c r="E5" s="24"/>
      <c r="F5" s="50"/>
      <c r="G5" s="44"/>
      <c r="H5" s="51"/>
    </row>
    <row r="6" spans="1:10" s="19" customFormat="1" x14ac:dyDescent="0.25">
      <c r="A6" s="75"/>
      <c r="B6" s="25" t="s">
        <v>5</v>
      </c>
      <c r="C6" s="20"/>
      <c r="D6" s="50"/>
      <c r="E6" s="24"/>
      <c r="F6" s="150"/>
      <c r="G6" s="63"/>
      <c r="H6" s="58"/>
    </row>
    <row r="7" spans="1:10" s="19" customFormat="1" ht="29.25" customHeight="1" x14ac:dyDescent="0.25">
      <c r="A7" s="75"/>
      <c r="B7" s="282" t="s">
        <v>11</v>
      </c>
      <c r="C7" s="291"/>
      <c r="D7" s="147"/>
      <c r="E7" s="24"/>
      <c r="F7" s="50"/>
      <c r="G7" s="20"/>
      <c r="H7" s="24"/>
    </row>
    <row r="8" spans="1:10" s="19" customFormat="1" x14ac:dyDescent="0.25">
      <c r="A8" s="75"/>
      <c r="B8" s="25" t="s">
        <v>3</v>
      </c>
      <c r="C8" s="20"/>
      <c r="D8" s="50"/>
      <c r="E8" s="24"/>
      <c r="F8" s="50"/>
      <c r="G8" s="20"/>
      <c r="H8" s="24"/>
    </row>
    <row r="9" spans="1:10" s="19" customFormat="1" x14ac:dyDescent="0.25">
      <c r="A9" s="75"/>
      <c r="B9" s="50"/>
      <c r="C9" s="20"/>
      <c r="D9" s="50"/>
      <c r="E9" s="24"/>
      <c r="F9" s="50"/>
      <c r="G9" s="20"/>
      <c r="H9" s="24"/>
    </row>
    <row r="10" spans="1:10" s="19" customFormat="1" ht="29.25" customHeight="1" x14ac:dyDescent="0.25">
      <c r="A10" s="75"/>
      <c r="B10" s="282" t="s">
        <v>8</v>
      </c>
      <c r="C10" s="291"/>
      <c r="D10" s="148"/>
      <c r="E10" s="24"/>
      <c r="F10" s="50"/>
      <c r="G10" s="20"/>
      <c r="H10" s="24"/>
    </row>
    <row r="11" spans="1:10" s="19" customFormat="1" ht="25.5" customHeight="1" x14ac:dyDescent="0.25">
      <c r="A11" s="75"/>
      <c r="B11" s="50"/>
      <c r="C11" s="20"/>
      <c r="D11" s="50"/>
      <c r="E11" s="24"/>
      <c r="F11" s="50"/>
      <c r="G11" s="20"/>
      <c r="H11" s="24"/>
    </row>
    <row r="12" spans="1:10" s="19" customFormat="1" ht="15.75" customHeight="1" x14ac:dyDescent="0.25">
      <c r="A12" s="75"/>
      <c r="B12" s="25"/>
      <c r="C12" s="20"/>
      <c r="D12" s="288" t="s">
        <v>60</v>
      </c>
      <c r="E12" s="289"/>
      <c r="F12" s="288" t="s">
        <v>13</v>
      </c>
      <c r="G12" s="290"/>
      <c r="H12" s="289"/>
    </row>
    <row r="13" spans="1:10" s="19" customFormat="1" ht="27.75" customHeight="1" x14ac:dyDescent="0.25">
      <c r="A13" s="75"/>
      <c r="B13" s="26"/>
      <c r="C13" s="68"/>
      <c r="D13" s="151"/>
      <c r="E13" s="69"/>
      <c r="F13" s="277" t="s">
        <v>98</v>
      </c>
      <c r="G13" s="278"/>
      <c r="H13" s="279"/>
    </row>
    <row r="14" spans="1:10" s="19" customFormat="1" x14ac:dyDescent="0.25">
      <c r="A14" s="75"/>
      <c r="B14" s="72"/>
      <c r="C14" s="72"/>
      <c r="D14" s="72"/>
    </row>
    <row r="15" spans="1:10" x14ac:dyDescent="0.2">
      <c r="A15" s="42"/>
      <c r="B15" s="121" t="s">
        <v>53</v>
      </c>
      <c r="C15" s="193"/>
      <c r="D15" s="193"/>
      <c r="E15" s="193"/>
      <c r="F15" s="193"/>
      <c r="G15" s="193"/>
      <c r="H15" s="41"/>
      <c r="I15" s="19"/>
      <c r="J15" s="19"/>
    </row>
    <row r="16" spans="1:10" customFormat="1" ht="5.25" customHeight="1" x14ac:dyDescent="0.25">
      <c r="A16" s="42"/>
      <c r="B16" s="121"/>
      <c r="C16" s="121"/>
      <c r="D16" s="121"/>
      <c r="E16" s="121"/>
      <c r="F16" s="121"/>
      <c r="G16" s="121"/>
      <c r="H16" s="42"/>
      <c r="I16" s="19"/>
      <c r="J16" s="19"/>
    </row>
    <row r="17" spans="1:10" customFormat="1" ht="5.25" customHeight="1" x14ac:dyDescent="0.25">
      <c r="A17" s="42"/>
      <c r="B17" s="121"/>
      <c r="C17" s="121"/>
      <c r="D17" s="121"/>
      <c r="E17" s="121"/>
      <c r="F17" s="121"/>
      <c r="G17" s="121"/>
      <c r="H17" s="42"/>
      <c r="I17" s="19"/>
      <c r="J17" s="19"/>
    </row>
    <row r="18" spans="1:10" customFormat="1" x14ac:dyDescent="0.25">
      <c r="A18" s="42"/>
      <c r="B18" s="271" t="s">
        <v>475</v>
      </c>
      <c r="C18" s="42"/>
      <c r="D18" s="42"/>
      <c r="E18" s="43"/>
      <c r="F18" s="42"/>
      <c r="G18" s="42"/>
      <c r="H18" s="42"/>
    </row>
    <row r="19" spans="1:10" customFormat="1" ht="15.75" thickBot="1" x14ac:dyDescent="0.3">
      <c r="A19" s="42"/>
      <c r="B19" s="258" t="s">
        <v>122</v>
      </c>
      <c r="C19" s="258" t="s">
        <v>123</v>
      </c>
      <c r="D19" s="258" t="s">
        <v>124</v>
      </c>
      <c r="E19" s="259" t="s">
        <v>125</v>
      </c>
      <c r="F19" s="260" t="s">
        <v>126</v>
      </c>
      <c r="G19" s="261" t="s">
        <v>51</v>
      </c>
      <c r="H19" s="261" t="s">
        <v>127</v>
      </c>
    </row>
    <row r="20" spans="1:10" customFormat="1" x14ac:dyDescent="0.25">
      <c r="A20" s="42"/>
      <c r="B20" s="163" t="s">
        <v>128</v>
      </c>
      <c r="C20" s="164"/>
      <c r="D20" s="164"/>
      <c r="E20" s="165"/>
      <c r="F20" s="166"/>
      <c r="G20" s="167"/>
      <c r="H20" s="168"/>
    </row>
    <row r="21" spans="1:10" customFormat="1" x14ac:dyDescent="0.25">
      <c r="A21" s="42"/>
      <c r="B21" s="254"/>
      <c r="C21" s="254"/>
      <c r="D21" s="254"/>
      <c r="E21" s="224"/>
      <c r="F21" s="160"/>
      <c r="G21" s="161"/>
      <c r="H21" s="162"/>
    </row>
    <row r="22" spans="1:10" customFormat="1" x14ac:dyDescent="0.25">
      <c r="A22" s="42"/>
      <c r="B22" s="173" t="s">
        <v>129</v>
      </c>
      <c r="C22" s="174"/>
      <c r="D22" s="174"/>
      <c r="E22" s="175"/>
      <c r="F22" s="176"/>
      <c r="G22" s="177"/>
      <c r="H22" s="178"/>
    </row>
    <row r="23" spans="1:10" customFormat="1" x14ac:dyDescent="0.25">
      <c r="A23" s="159" t="s">
        <v>48</v>
      </c>
      <c r="B23" s="254" t="s">
        <v>140</v>
      </c>
      <c r="C23" s="254" t="s">
        <v>141</v>
      </c>
      <c r="D23" s="254" t="s">
        <v>67</v>
      </c>
      <c r="E23" s="224">
        <v>46860</v>
      </c>
      <c r="F23" s="160">
        <v>375.37</v>
      </c>
      <c r="G23" s="161">
        <v>7.88</v>
      </c>
      <c r="H23" s="162"/>
    </row>
    <row r="24" spans="1:10" customFormat="1" x14ac:dyDescent="0.25">
      <c r="A24" s="159" t="s">
        <v>48</v>
      </c>
      <c r="B24" s="254" t="s">
        <v>142</v>
      </c>
      <c r="C24" s="254" t="s">
        <v>143</v>
      </c>
      <c r="D24" s="254" t="s">
        <v>67</v>
      </c>
      <c r="E24" s="224">
        <v>16899</v>
      </c>
      <c r="F24" s="160">
        <v>238.51</v>
      </c>
      <c r="G24" s="161">
        <v>5.01</v>
      </c>
      <c r="H24" s="162"/>
    </row>
    <row r="25" spans="1:10" customFormat="1" x14ac:dyDescent="0.25">
      <c r="A25" s="159" t="s">
        <v>48</v>
      </c>
      <c r="B25" s="254" t="s">
        <v>146</v>
      </c>
      <c r="C25" s="254" t="s">
        <v>147</v>
      </c>
      <c r="D25" s="254" t="s">
        <v>111</v>
      </c>
      <c r="E25" s="224">
        <v>18250</v>
      </c>
      <c r="F25" s="160">
        <v>237.98</v>
      </c>
      <c r="G25" s="161">
        <v>5</v>
      </c>
      <c r="H25" s="162"/>
    </row>
    <row r="26" spans="1:10" customFormat="1" x14ac:dyDescent="0.25">
      <c r="A26" s="159" t="s">
        <v>48</v>
      </c>
      <c r="B26" s="254" t="s">
        <v>148</v>
      </c>
      <c r="C26" s="254" t="s">
        <v>149</v>
      </c>
      <c r="D26" s="254" t="s">
        <v>67</v>
      </c>
      <c r="E26" s="224">
        <v>14710</v>
      </c>
      <c r="F26" s="160">
        <v>197.42</v>
      </c>
      <c r="G26" s="161">
        <v>4.1399999999999997</v>
      </c>
      <c r="H26" s="162"/>
    </row>
    <row r="27" spans="1:10" customFormat="1" x14ac:dyDescent="0.25">
      <c r="A27" s="159" t="s">
        <v>48</v>
      </c>
      <c r="B27" s="254" t="s">
        <v>154</v>
      </c>
      <c r="C27" s="254" t="s">
        <v>155</v>
      </c>
      <c r="D27" s="254" t="s">
        <v>67</v>
      </c>
      <c r="E27" s="224">
        <v>18620</v>
      </c>
      <c r="F27" s="160">
        <v>193.65</v>
      </c>
      <c r="G27" s="161">
        <v>4.07</v>
      </c>
      <c r="H27" s="162"/>
    </row>
    <row r="28" spans="1:10" customFormat="1" x14ac:dyDescent="0.25">
      <c r="A28" s="159" t="s">
        <v>48</v>
      </c>
      <c r="B28" s="254" t="s">
        <v>144</v>
      </c>
      <c r="C28" s="254" t="s">
        <v>145</v>
      </c>
      <c r="D28" s="254" t="s">
        <v>42</v>
      </c>
      <c r="E28" s="224">
        <v>9582</v>
      </c>
      <c r="F28" s="160">
        <v>183.05</v>
      </c>
      <c r="G28" s="161">
        <v>3.84</v>
      </c>
      <c r="H28" s="162"/>
    </row>
    <row r="29" spans="1:10" customFormat="1" x14ac:dyDescent="0.25">
      <c r="A29" s="159" t="s">
        <v>48</v>
      </c>
      <c r="B29" s="254" t="s">
        <v>182</v>
      </c>
      <c r="C29" s="254" t="s">
        <v>183</v>
      </c>
      <c r="D29" s="254" t="s">
        <v>93</v>
      </c>
      <c r="E29" s="224">
        <v>2160</v>
      </c>
      <c r="F29" s="160">
        <v>117.21</v>
      </c>
      <c r="G29" s="161">
        <v>2.46</v>
      </c>
      <c r="H29" s="162"/>
    </row>
    <row r="30" spans="1:10" customFormat="1" x14ac:dyDescent="0.25">
      <c r="A30" s="159" t="s">
        <v>48</v>
      </c>
      <c r="B30" s="254" t="s">
        <v>162</v>
      </c>
      <c r="C30" s="254" t="s">
        <v>163</v>
      </c>
      <c r="D30" s="254" t="s">
        <v>94</v>
      </c>
      <c r="E30" s="224">
        <v>2895</v>
      </c>
      <c r="F30" s="160">
        <v>116.57</v>
      </c>
      <c r="G30" s="161">
        <v>2.4500000000000002</v>
      </c>
      <c r="H30" s="162"/>
    </row>
    <row r="31" spans="1:10" customFormat="1" x14ac:dyDescent="0.25">
      <c r="A31" s="159" t="s">
        <v>48</v>
      </c>
      <c r="B31" s="254" t="s">
        <v>168</v>
      </c>
      <c r="C31" s="254" t="s">
        <v>169</v>
      </c>
      <c r="D31" s="254" t="s">
        <v>50</v>
      </c>
      <c r="E31" s="224">
        <v>10148</v>
      </c>
      <c r="F31" s="160">
        <v>106.27</v>
      </c>
      <c r="G31" s="161">
        <v>2.23</v>
      </c>
      <c r="H31" s="162"/>
    </row>
    <row r="32" spans="1:10" customFormat="1" x14ac:dyDescent="0.25">
      <c r="A32" s="78" t="s">
        <v>48</v>
      </c>
      <c r="B32" s="254" t="s">
        <v>420</v>
      </c>
      <c r="C32" s="254" t="s">
        <v>421</v>
      </c>
      <c r="D32" s="254" t="s">
        <v>68</v>
      </c>
      <c r="E32" s="224">
        <v>56780</v>
      </c>
      <c r="F32" s="160">
        <v>101.04</v>
      </c>
      <c r="G32" s="161">
        <v>2.12</v>
      </c>
      <c r="H32" s="162"/>
    </row>
    <row r="33" spans="1:8" customFormat="1" x14ac:dyDescent="0.25">
      <c r="A33" s="78"/>
      <c r="B33" s="254" t="s">
        <v>374</v>
      </c>
      <c r="C33" s="254" t="s">
        <v>375</v>
      </c>
      <c r="D33" s="254" t="s">
        <v>121</v>
      </c>
      <c r="E33" s="224">
        <v>5460</v>
      </c>
      <c r="F33" s="160">
        <v>97.66</v>
      </c>
      <c r="G33" s="161">
        <v>2.0499999999999998</v>
      </c>
      <c r="H33" s="162"/>
    </row>
    <row r="34" spans="1:8" customFormat="1" x14ac:dyDescent="0.25">
      <c r="A34" s="42"/>
      <c r="B34" s="254" t="s">
        <v>152</v>
      </c>
      <c r="C34" s="254" t="s">
        <v>153</v>
      </c>
      <c r="D34" s="254" t="s">
        <v>44</v>
      </c>
      <c r="E34" s="224">
        <v>3060</v>
      </c>
      <c r="F34" s="160">
        <v>95.99</v>
      </c>
      <c r="G34" s="161">
        <v>2.02</v>
      </c>
      <c r="H34" s="162"/>
    </row>
    <row r="35" spans="1:8" customFormat="1" x14ac:dyDescent="0.25">
      <c r="A35" s="42"/>
      <c r="B35" s="254" t="s">
        <v>188</v>
      </c>
      <c r="C35" s="254" t="s">
        <v>189</v>
      </c>
      <c r="D35" s="254" t="s">
        <v>109</v>
      </c>
      <c r="E35" s="224">
        <v>26355</v>
      </c>
      <c r="F35" s="160">
        <v>93.94</v>
      </c>
      <c r="G35" s="161">
        <v>1.97</v>
      </c>
      <c r="H35" s="162"/>
    </row>
    <row r="36" spans="1:8" customFormat="1" x14ac:dyDescent="0.25">
      <c r="A36" s="42"/>
      <c r="B36" s="254" t="s">
        <v>186</v>
      </c>
      <c r="C36" s="254" t="s">
        <v>187</v>
      </c>
      <c r="D36" s="254" t="s">
        <v>47</v>
      </c>
      <c r="E36" s="224">
        <v>20360</v>
      </c>
      <c r="F36" s="160">
        <v>85.11</v>
      </c>
      <c r="G36" s="161">
        <v>1.79</v>
      </c>
      <c r="H36" s="162"/>
    </row>
    <row r="37" spans="1:8" customFormat="1" x14ac:dyDescent="0.25">
      <c r="A37" s="42"/>
      <c r="B37" s="254" t="s">
        <v>227</v>
      </c>
      <c r="C37" s="254" t="s">
        <v>228</v>
      </c>
      <c r="D37" s="254" t="s">
        <v>114</v>
      </c>
      <c r="E37" s="224">
        <v>3710</v>
      </c>
      <c r="F37" s="160">
        <v>82.76</v>
      </c>
      <c r="G37" s="161">
        <v>1.74</v>
      </c>
      <c r="H37" s="162"/>
    </row>
    <row r="38" spans="1:8" customFormat="1" x14ac:dyDescent="0.25">
      <c r="A38" s="42"/>
      <c r="B38" s="254" t="s">
        <v>150</v>
      </c>
      <c r="C38" s="254" t="s">
        <v>151</v>
      </c>
      <c r="D38" s="254" t="s">
        <v>105</v>
      </c>
      <c r="E38" s="224">
        <v>27970</v>
      </c>
      <c r="F38" s="160">
        <v>81.099999999999994</v>
      </c>
      <c r="G38" s="161">
        <v>1.7</v>
      </c>
      <c r="H38" s="162"/>
    </row>
    <row r="39" spans="1:8" customFormat="1" x14ac:dyDescent="0.25">
      <c r="A39" s="42"/>
      <c r="B39" s="254" t="s">
        <v>352</v>
      </c>
      <c r="C39" s="254" t="s">
        <v>353</v>
      </c>
      <c r="D39" s="254" t="s">
        <v>45</v>
      </c>
      <c r="E39" s="224">
        <v>2400</v>
      </c>
      <c r="F39" s="160">
        <v>79.83</v>
      </c>
      <c r="G39" s="161">
        <v>1.68</v>
      </c>
      <c r="H39" s="162"/>
    </row>
    <row r="40" spans="1:8" customFormat="1" x14ac:dyDescent="0.25">
      <c r="A40" s="42"/>
      <c r="B40" s="254" t="s">
        <v>342</v>
      </c>
      <c r="C40" s="254" t="s">
        <v>343</v>
      </c>
      <c r="D40" s="254" t="s">
        <v>114</v>
      </c>
      <c r="E40" s="224">
        <v>3090</v>
      </c>
      <c r="F40" s="160">
        <v>72.41</v>
      </c>
      <c r="G40" s="161">
        <v>1.52</v>
      </c>
      <c r="H40" s="162"/>
    </row>
    <row r="41" spans="1:8" customFormat="1" x14ac:dyDescent="0.25">
      <c r="A41" s="42"/>
      <c r="B41" s="254" t="s">
        <v>272</v>
      </c>
      <c r="C41" s="254" t="s">
        <v>273</v>
      </c>
      <c r="D41" s="254" t="s">
        <v>274</v>
      </c>
      <c r="E41" s="224">
        <v>25670</v>
      </c>
      <c r="F41" s="160">
        <v>72.3</v>
      </c>
      <c r="G41" s="161">
        <v>1.52</v>
      </c>
      <c r="H41" s="162"/>
    </row>
    <row r="42" spans="1:8" customFormat="1" x14ac:dyDescent="0.25">
      <c r="A42" s="42"/>
      <c r="B42" s="254" t="s">
        <v>241</v>
      </c>
      <c r="C42" s="254" t="s">
        <v>242</v>
      </c>
      <c r="D42" s="254" t="s">
        <v>135</v>
      </c>
      <c r="E42" s="224">
        <v>3795</v>
      </c>
      <c r="F42" s="160">
        <v>71.13</v>
      </c>
      <c r="G42" s="161">
        <v>1.49</v>
      </c>
      <c r="H42" s="162"/>
    </row>
    <row r="43" spans="1:8" customFormat="1" x14ac:dyDescent="0.25">
      <c r="A43" s="42"/>
      <c r="B43" s="254" t="s">
        <v>225</v>
      </c>
      <c r="C43" s="254" t="s">
        <v>226</v>
      </c>
      <c r="D43" s="254" t="s">
        <v>65</v>
      </c>
      <c r="E43" s="224">
        <v>8010</v>
      </c>
      <c r="F43" s="160">
        <v>70.489999999999995</v>
      </c>
      <c r="G43" s="161">
        <v>1.48</v>
      </c>
      <c r="H43" s="162"/>
    </row>
    <row r="44" spans="1:8" customFormat="1" x14ac:dyDescent="0.25">
      <c r="A44" s="42"/>
      <c r="B44" s="254" t="s">
        <v>180</v>
      </c>
      <c r="C44" s="254" t="s">
        <v>181</v>
      </c>
      <c r="D44" s="254" t="s">
        <v>44</v>
      </c>
      <c r="E44" s="224">
        <v>480</v>
      </c>
      <c r="F44" s="160">
        <v>68.959999999999994</v>
      </c>
      <c r="G44" s="161">
        <v>1.45</v>
      </c>
      <c r="H44" s="162"/>
    </row>
    <row r="45" spans="1:8" customFormat="1" x14ac:dyDescent="0.25">
      <c r="A45" s="42"/>
      <c r="B45" s="254" t="s">
        <v>277</v>
      </c>
      <c r="C45" s="254" t="s">
        <v>376</v>
      </c>
      <c r="D45" s="254" t="s">
        <v>65</v>
      </c>
      <c r="E45" s="224">
        <v>8420</v>
      </c>
      <c r="F45" s="160">
        <v>67.22</v>
      </c>
      <c r="G45" s="161">
        <v>1.41</v>
      </c>
      <c r="H45" s="162"/>
    </row>
    <row r="46" spans="1:8" customFormat="1" x14ac:dyDescent="0.25">
      <c r="A46" s="42"/>
      <c r="B46" s="254" t="s">
        <v>156</v>
      </c>
      <c r="C46" s="254" t="s">
        <v>157</v>
      </c>
      <c r="D46" s="254" t="s">
        <v>50</v>
      </c>
      <c r="E46" s="224">
        <v>3200</v>
      </c>
      <c r="F46" s="160">
        <v>66.989999999999995</v>
      </c>
      <c r="G46" s="161">
        <v>1.41</v>
      </c>
      <c r="H46" s="162"/>
    </row>
    <row r="47" spans="1:8" customFormat="1" x14ac:dyDescent="0.25">
      <c r="A47" s="42"/>
      <c r="B47" s="254" t="s">
        <v>404</v>
      </c>
      <c r="C47" s="254" t="s">
        <v>405</v>
      </c>
      <c r="D47" s="254" t="s">
        <v>66</v>
      </c>
      <c r="E47" s="224">
        <v>7700</v>
      </c>
      <c r="F47" s="160">
        <v>65.5</v>
      </c>
      <c r="G47" s="161">
        <v>1.38</v>
      </c>
      <c r="H47" s="162"/>
    </row>
    <row r="48" spans="1:8" customFormat="1" x14ac:dyDescent="0.25">
      <c r="A48" s="42"/>
      <c r="B48" s="254" t="s">
        <v>329</v>
      </c>
      <c r="C48" s="254" t="s">
        <v>330</v>
      </c>
      <c r="D48" s="254" t="s">
        <v>66</v>
      </c>
      <c r="E48" s="224">
        <v>10900</v>
      </c>
      <c r="F48" s="160">
        <v>60.56</v>
      </c>
      <c r="G48" s="161">
        <v>1.27</v>
      </c>
      <c r="H48" s="162"/>
    </row>
    <row r="49" spans="1:8" customFormat="1" x14ac:dyDescent="0.25">
      <c r="A49" s="42"/>
      <c r="B49" s="254" t="s">
        <v>190</v>
      </c>
      <c r="C49" s="254" t="s">
        <v>191</v>
      </c>
      <c r="D49" s="254" t="s">
        <v>107</v>
      </c>
      <c r="E49" s="224">
        <v>30900</v>
      </c>
      <c r="F49" s="160">
        <v>58.65</v>
      </c>
      <c r="G49" s="161">
        <v>1.23</v>
      </c>
      <c r="H49" s="162"/>
    </row>
    <row r="50" spans="1:8" customFormat="1" x14ac:dyDescent="0.25">
      <c r="A50" s="42"/>
      <c r="B50" s="254" t="s">
        <v>406</v>
      </c>
      <c r="C50" s="254" t="s">
        <v>407</v>
      </c>
      <c r="D50" s="254" t="s">
        <v>117</v>
      </c>
      <c r="E50" s="224">
        <v>755</v>
      </c>
      <c r="F50" s="160">
        <v>57.02</v>
      </c>
      <c r="G50" s="161">
        <v>1.2</v>
      </c>
      <c r="H50" s="162"/>
    </row>
    <row r="51" spans="1:8" customFormat="1" x14ac:dyDescent="0.25">
      <c r="A51" s="42"/>
      <c r="B51" s="254" t="s">
        <v>219</v>
      </c>
      <c r="C51" s="254" t="s">
        <v>220</v>
      </c>
      <c r="D51" s="254" t="s">
        <v>66</v>
      </c>
      <c r="E51" s="224">
        <v>2800</v>
      </c>
      <c r="F51" s="160">
        <v>56.08</v>
      </c>
      <c r="G51" s="161">
        <v>1.18</v>
      </c>
      <c r="H51" s="162"/>
    </row>
    <row r="52" spans="1:8" customFormat="1" x14ac:dyDescent="0.25">
      <c r="A52" s="42"/>
      <c r="B52" s="254" t="s">
        <v>392</v>
      </c>
      <c r="C52" s="254" t="s">
        <v>393</v>
      </c>
      <c r="D52" s="254" t="s">
        <v>46</v>
      </c>
      <c r="E52" s="224">
        <v>2540</v>
      </c>
      <c r="F52" s="160">
        <v>55.56</v>
      </c>
      <c r="G52" s="161">
        <v>1.17</v>
      </c>
      <c r="H52" s="162"/>
    </row>
    <row r="53" spans="1:8" customFormat="1" x14ac:dyDescent="0.25">
      <c r="A53" s="42"/>
      <c r="B53" s="254" t="s">
        <v>275</v>
      </c>
      <c r="C53" s="254" t="s">
        <v>276</v>
      </c>
      <c r="D53" s="254" t="s">
        <v>45</v>
      </c>
      <c r="E53" s="224">
        <v>1139</v>
      </c>
      <c r="F53" s="160">
        <v>54.31</v>
      </c>
      <c r="G53" s="161">
        <v>1.1399999999999999</v>
      </c>
      <c r="H53" s="162"/>
    </row>
    <row r="54" spans="1:8" customFormat="1" x14ac:dyDescent="0.25">
      <c r="A54" s="42"/>
      <c r="B54" s="254" t="s">
        <v>176</v>
      </c>
      <c r="C54" s="254" t="s">
        <v>177</v>
      </c>
      <c r="D54" s="254" t="s">
        <v>113</v>
      </c>
      <c r="E54" s="224">
        <v>6360</v>
      </c>
      <c r="F54" s="160">
        <v>53.33</v>
      </c>
      <c r="G54" s="161">
        <v>1.1200000000000001</v>
      </c>
      <c r="H54" s="162"/>
    </row>
    <row r="55" spans="1:8" customFormat="1" x14ac:dyDescent="0.25">
      <c r="A55" s="42"/>
      <c r="B55" s="254" t="s">
        <v>365</v>
      </c>
      <c r="C55" s="254" t="s">
        <v>366</v>
      </c>
      <c r="D55" s="254" t="s">
        <v>66</v>
      </c>
      <c r="E55" s="224">
        <v>590</v>
      </c>
      <c r="F55" s="160">
        <v>52.47</v>
      </c>
      <c r="G55" s="161">
        <v>1.1000000000000001</v>
      </c>
      <c r="H55" s="162"/>
    </row>
    <row r="56" spans="1:8" customFormat="1" x14ac:dyDescent="0.25">
      <c r="A56" s="42"/>
      <c r="B56" s="254" t="s">
        <v>338</v>
      </c>
      <c r="C56" s="254" t="s">
        <v>339</v>
      </c>
      <c r="D56" s="254" t="s">
        <v>66</v>
      </c>
      <c r="E56" s="224">
        <v>3640</v>
      </c>
      <c r="F56" s="160">
        <v>52.42</v>
      </c>
      <c r="G56" s="161">
        <v>1.1000000000000001</v>
      </c>
      <c r="H56" s="162"/>
    </row>
    <row r="57" spans="1:8" customFormat="1" x14ac:dyDescent="0.25">
      <c r="A57" s="42"/>
      <c r="B57" s="254" t="s">
        <v>158</v>
      </c>
      <c r="C57" s="254" t="s">
        <v>159</v>
      </c>
      <c r="D57" s="254" t="s">
        <v>43</v>
      </c>
      <c r="E57" s="224">
        <v>460</v>
      </c>
      <c r="F57" s="160">
        <v>50.96</v>
      </c>
      <c r="G57" s="161">
        <v>1.07</v>
      </c>
      <c r="H57" s="162"/>
    </row>
    <row r="58" spans="1:8" customFormat="1" x14ac:dyDescent="0.25">
      <c r="A58" s="42"/>
      <c r="B58" s="254" t="s">
        <v>178</v>
      </c>
      <c r="C58" s="254" t="s">
        <v>179</v>
      </c>
      <c r="D58" s="254" t="s">
        <v>44</v>
      </c>
      <c r="E58" s="224">
        <v>1320</v>
      </c>
      <c r="F58" s="160">
        <v>47.88</v>
      </c>
      <c r="G58" s="161">
        <v>1.01</v>
      </c>
      <c r="H58" s="162"/>
    </row>
    <row r="59" spans="1:8" customFormat="1" x14ac:dyDescent="0.25">
      <c r="A59" s="42"/>
      <c r="B59" s="254" t="s">
        <v>170</v>
      </c>
      <c r="C59" s="254" t="s">
        <v>171</v>
      </c>
      <c r="D59" s="254" t="s">
        <v>44</v>
      </c>
      <c r="E59" s="224">
        <v>620</v>
      </c>
      <c r="F59" s="160">
        <v>45.5</v>
      </c>
      <c r="G59" s="161">
        <v>0.96</v>
      </c>
      <c r="H59" s="162"/>
    </row>
    <row r="60" spans="1:8" customFormat="1" x14ac:dyDescent="0.25">
      <c r="A60" s="42"/>
      <c r="B60" s="254" t="s">
        <v>209</v>
      </c>
      <c r="C60" s="254" t="s">
        <v>210</v>
      </c>
      <c r="D60" s="254" t="s">
        <v>43</v>
      </c>
      <c r="E60" s="224">
        <v>12010</v>
      </c>
      <c r="F60" s="160">
        <v>43.85</v>
      </c>
      <c r="G60" s="161">
        <v>0.92</v>
      </c>
      <c r="H60" s="162"/>
    </row>
    <row r="61" spans="1:8" customFormat="1" x14ac:dyDescent="0.25">
      <c r="A61" s="42"/>
      <c r="B61" s="254" t="s">
        <v>414</v>
      </c>
      <c r="C61" s="254" t="s">
        <v>415</v>
      </c>
      <c r="D61" s="254" t="s">
        <v>118</v>
      </c>
      <c r="E61" s="224">
        <v>3896</v>
      </c>
      <c r="F61" s="160">
        <v>43.5</v>
      </c>
      <c r="G61" s="161">
        <v>0.91</v>
      </c>
      <c r="H61" s="162"/>
    </row>
    <row r="62" spans="1:8" customFormat="1" x14ac:dyDescent="0.25">
      <c r="A62" s="42"/>
      <c r="B62" s="254" t="s">
        <v>284</v>
      </c>
      <c r="C62" s="254" t="s">
        <v>285</v>
      </c>
      <c r="D62" s="254" t="s">
        <v>67</v>
      </c>
      <c r="E62" s="224">
        <v>5350</v>
      </c>
      <c r="F62" s="160">
        <v>42.74</v>
      </c>
      <c r="G62" s="161">
        <v>0.9</v>
      </c>
      <c r="H62" s="162"/>
    </row>
    <row r="63" spans="1:8" customFormat="1" x14ac:dyDescent="0.25">
      <c r="A63" s="42"/>
      <c r="B63" s="254" t="s">
        <v>192</v>
      </c>
      <c r="C63" s="254" t="s">
        <v>193</v>
      </c>
      <c r="D63" s="254" t="s">
        <v>109</v>
      </c>
      <c r="E63" s="224">
        <v>14670</v>
      </c>
      <c r="F63" s="160">
        <v>42.23</v>
      </c>
      <c r="G63" s="161">
        <v>0.89</v>
      </c>
      <c r="H63" s="162"/>
    </row>
    <row r="64" spans="1:8" customFormat="1" x14ac:dyDescent="0.25">
      <c r="A64" s="42"/>
      <c r="B64" s="254" t="s">
        <v>282</v>
      </c>
      <c r="C64" s="254" t="s">
        <v>283</v>
      </c>
      <c r="D64" s="254" t="s">
        <v>50</v>
      </c>
      <c r="E64" s="224">
        <v>2900</v>
      </c>
      <c r="F64" s="160">
        <v>40.89</v>
      </c>
      <c r="G64" s="161">
        <v>0.86</v>
      </c>
      <c r="H64" s="162"/>
    </row>
    <row r="65" spans="1:8" customFormat="1" x14ac:dyDescent="0.25">
      <c r="A65" s="42"/>
      <c r="B65" s="254" t="s">
        <v>435</v>
      </c>
      <c r="C65" s="254" t="s">
        <v>436</v>
      </c>
      <c r="D65" s="254" t="s">
        <v>117</v>
      </c>
      <c r="E65" s="224">
        <v>2380</v>
      </c>
      <c r="F65" s="160">
        <v>39.25</v>
      </c>
      <c r="G65" s="161">
        <v>0.82</v>
      </c>
      <c r="H65" s="162"/>
    </row>
    <row r="66" spans="1:8" customFormat="1" x14ac:dyDescent="0.25">
      <c r="A66" s="42"/>
      <c r="B66" s="254" t="s">
        <v>359</v>
      </c>
      <c r="C66" s="254" t="s">
        <v>360</v>
      </c>
      <c r="D66" s="254" t="s">
        <v>65</v>
      </c>
      <c r="E66" s="224">
        <v>15220</v>
      </c>
      <c r="F66" s="160">
        <v>38.93</v>
      </c>
      <c r="G66" s="161">
        <v>0.82</v>
      </c>
      <c r="H66" s="162"/>
    </row>
    <row r="67" spans="1:8" customFormat="1" x14ac:dyDescent="0.25">
      <c r="A67" s="42"/>
      <c r="B67" s="254" t="s">
        <v>239</v>
      </c>
      <c r="C67" s="254" t="s">
        <v>240</v>
      </c>
      <c r="D67" s="254" t="s">
        <v>120</v>
      </c>
      <c r="E67" s="224">
        <v>16030</v>
      </c>
      <c r="F67" s="160">
        <v>38.130000000000003</v>
      </c>
      <c r="G67" s="161">
        <v>0.8</v>
      </c>
      <c r="H67" s="162"/>
    </row>
    <row r="68" spans="1:8" customFormat="1" x14ac:dyDescent="0.25">
      <c r="A68" s="42"/>
      <c r="B68" s="254" t="s">
        <v>229</v>
      </c>
      <c r="C68" s="254" t="s">
        <v>230</v>
      </c>
      <c r="D68" s="254" t="s">
        <v>120</v>
      </c>
      <c r="E68" s="224">
        <v>8700</v>
      </c>
      <c r="F68" s="160">
        <v>36.72</v>
      </c>
      <c r="G68" s="161">
        <v>0.77</v>
      </c>
      <c r="H68" s="162"/>
    </row>
    <row r="69" spans="1:8" customFormat="1" x14ac:dyDescent="0.25">
      <c r="A69" s="42"/>
      <c r="B69" s="254" t="s">
        <v>235</v>
      </c>
      <c r="C69" s="254" t="s">
        <v>236</v>
      </c>
      <c r="D69" s="254" t="s">
        <v>94</v>
      </c>
      <c r="E69" s="224">
        <v>2650</v>
      </c>
      <c r="F69" s="160">
        <v>36.68</v>
      </c>
      <c r="G69" s="161">
        <v>0.77</v>
      </c>
      <c r="H69" s="162"/>
    </row>
    <row r="70" spans="1:8" customFormat="1" x14ac:dyDescent="0.25">
      <c r="A70" s="42"/>
      <c r="B70" s="254" t="s">
        <v>346</v>
      </c>
      <c r="C70" s="254" t="s">
        <v>347</v>
      </c>
      <c r="D70" s="254" t="s">
        <v>112</v>
      </c>
      <c r="E70" s="224">
        <v>10420</v>
      </c>
      <c r="F70" s="160">
        <v>36.22</v>
      </c>
      <c r="G70" s="161">
        <v>0.76</v>
      </c>
      <c r="H70" s="162"/>
    </row>
    <row r="71" spans="1:8" customFormat="1" x14ac:dyDescent="0.25">
      <c r="A71" s="42"/>
      <c r="B71" s="254" t="s">
        <v>270</v>
      </c>
      <c r="C71" s="254" t="s">
        <v>271</v>
      </c>
      <c r="D71" s="254" t="s">
        <v>45</v>
      </c>
      <c r="E71" s="224">
        <v>2493</v>
      </c>
      <c r="F71" s="160">
        <v>35.68</v>
      </c>
      <c r="G71" s="161">
        <v>0.75</v>
      </c>
      <c r="H71" s="162"/>
    </row>
    <row r="72" spans="1:8" customFormat="1" x14ac:dyDescent="0.25">
      <c r="A72" s="42"/>
      <c r="B72" s="254" t="s">
        <v>199</v>
      </c>
      <c r="C72" s="254" t="s">
        <v>200</v>
      </c>
      <c r="D72" s="254" t="s">
        <v>50</v>
      </c>
      <c r="E72" s="224">
        <v>3100</v>
      </c>
      <c r="F72" s="160">
        <v>35.31</v>
      </c>
      <c r="G72" s="161">
        <v>0.74</v>
      </c>
      <c r="H72" s="162"/>
    </row>
    <row r="73" spans="1:8" customFormat="1" x14ac:dyDescent="0.25">
      <c r="A73" s="42"/>
      <c r="B73" s="254" t="s">
        <v>350</v>
      </c>
      <c r="C73" s="254" t="s">
        <v>351</v>
      </c>
      <c r="D73" s="254" t="s">
        <v>68</v>
      </c>
      <c r="E73" s="224">
        <v>29370</v>
      </c>
      <c r="F73" s="160">
        <v>34.94</v>
      </c>
      <c r="G73" s="161">
        <v>0.73</v>
      </c>
      <c r="H73" s="162"/>
    </row>
    <row r="74" spans="1:8" customFormat="1" x14ac:dyDescent="0.25">
      <c r="A74" s="42"/>
      <c r="B74" s="254" t="s">
        <v>166</v>
      </c>
      <c r="C74" s="254" t="s">
        <v>167</v>
      </c>
      <c r="D74" s="254" t="s">
        <v>50</v>
      </c>
      <c r="E74" s="224">
        <v>2235</v>
      </c>
      <c r="F74" s="160">
        <v>32.72</v>
      </c>
      <c r="G74" s="161">
        <v>0.69</v>
      </c>
      <c r="H74" s="162"/>
    </row>
    <row r="75" spans="1:8" customFormat="1" x14ac:dyDescent="0.25">
      <c r="A75" s="42"/>
      <c r="B75" s="254" t="s">
        <v>367</v>
      </c>
      <c r="C75" s="254" t="s">
        <v>368</v>
      </c>
      <c r="D75" s="254" t="s">
        <v>369</v>
      </c>
      <c r="E75" s="224">
        <v>79660</v>
      </c>
      <c r="F75" s="160">
        <v>32.64</v>
      </c>
      <c r="G75" s="161">
        <v>0.69</v>
      </c>
      <c r="H75" s="162"/>
    </row>
    <row r="76" spans="1:8" customFormat="1" x14ac:dyDescent="0.25">
      <c r="A76" s="42"/>
      <c r="B76" s="254" t="s">
        <v>354</v>
      </c>
      <c r="C76" s="254" t="s">
        <v>355</v>
      </c>
      <c r="D76" s="254" t="s">
        <v>356</v>
      </c>
      <c r="E76" s="224">
        <v>4650</v>
      </c>
      <c r="F76" s="160">
        <v>31.84</v>
      </c>
      <c r="G76" s="161">
        <v>0.67</v>
      </c>
      <c r="H76" s="162"/>
    </row>
    <row r="77" spans="1:8" customFormat="1" x14ac:dyDescent="0.25">
      <c r="A77" s="42"/>
      <c r="B77" s="254" t="s">
        <v>425</v>
      </c>
      <c r="C77" s="254" t="s">
        <v>426</v>
      </c>
      <c r="D77" s="254" t="s">
        <v>67</v>
      </c>
      <c r="E77" s="224">
        <v>10760</v>
      </c>
      <c r="F77" s="160">
        <v>31.4</v>
      </c>
      <c r="G77" s="161">
        <v>0.66</v>
      </c>
      <c r="H77" s="162"/>
    </row>
    <row r="78" spans="1:8" customFormat="1" x14ac:dyDescent="0.25">
      <c r="A78" s="42"/>
      <c r="B78" s="254" t="s">
        <v>372</v>
      </c>
      <c r="C78" s="254" t="s">
        <v>373</v>
      </c>
      <c r="D78" s="254" t="s">
        <v>94</v>
      </c>
      <c r="E78" s="224">
        <v>1190</v>
      </c>
      <c r="F78" s="160">
        <v>31.31</v>
      </c>
      <c r="G78" s="161">
        <v>0.66</v>
      </c>
      <c r="H78" s="162"/>
    </row>
    <row r="79" spans="1:8" customFormat="1" x14ac:dyDescent="0.25">
      <c r="A79" s="42"/>
      <c r="B79" s="254" t="s">
        <v>280</v>
      </c>
      <c r="C79" s="254" t="s">
        <v>281</v>
      </c>
      <c r="D79" s="254" t="s">
        <v>111</v>
      </c>
      <c r="E79" s="224">
        <v>7670</v>
      </c>
      <c r="F79" s="160">
        <v>30.62</v>
      </c>
      <c r="G79" s="161">
        <v>0.64</v>
      </c>
      <c r="H79" s="162"/>
    </row>
    <row r="80" spans="1:8" customFormat="1" x14ac:dyDescent="0.25">
      <c r="A80" s="42"/>
      <c r="B80" s="254" t="s">
        <v>203</v>
      </c>
      <c r="C80" s="254" t="s">
        <v>204</v>
      </c>
      <c r="D80" s="254" t="s">
        <v>130</v>
      </c>
      <c r="E80" s="224">
        <v>5860</v>
      </c>
      <c r="F80" s="160">
        <v>30.23</v>
      </c>
      <c r="G80" s="161">
        <v>0.63</v>
      </c>
      <c r="H80" s="162"/>
    </row>
    <row r="81" spans="1:8" customFormat="1" x14ac:dyDescent="0.25">
      <c r="A81" s="42"/>
      <c r="B81" s="254" t="s">
        <v>160</v>
      </c>
      <c r="C81" s="254" t="s">
        <v>161</v>
      </c>
      <c r="D81" s="254" t="s">
        <v>111</v>
      </c>
      <c r="E81" s="224">
        <v>9420</v>
      </c>
      <c r="F81" s="160">
        <v>29.03</v>
      </c>
      <c r="G81" s="161">
        <v>0.61</v>
      </c>
      <c r="H81" s="162"/>
    </row>
    <row r="82" spans="1:8" customFormat="1" x14ac:dyDescent="0.25">
      <c r="A82" s="42"/>
      <c r="B82" s="254" t="s">
        <v>380</v>
      </c>
      <c r="C82" s="254" t="s">
        <v>381</v>
      </c>
      <c r="D82" s="254" t="s">
        <v>65</v>
      </c>
      <c r="E82" s="224">
        <v>845</v>
      </c>
      <c r="F82" s="160">
        <v>28.18</v>
      </c>
      <c r="G82" s="161">
        <v>0.59</v>
      </c>
      <c r="H82" s="162"/>
    </row>
    <row r="83" spans="1:8" customFormat="1" x14ac:dyDescent="0.25">
      <c r="A83" s="42"/>
      <c r="B83" s="254" t="s">
        <v>348</v>
      </c>
      <c r="C83" s="254" t="s">
        <v>349</v>
      </c>
      <c r="D83" s="254" t="s">
        <v>274</v>
      </c>
      <c r="E83" s="224">
        <v>11040</v>
      </c>
      <c r="F83" s="160">
        <v>27.41</v>
      </c>
      <c r="G83" s="161">
        <v>0.57999999999999996</v>
      </c>
      <c r="H83" s="162"/>
    </row>
    <row r="84" spans="1:8" customFormat="1" x14ac:dyDescent="0.25">
      <c r="A84" s="42"/>
      <c r="B84" s="254" t="s">
        <v>422</v>
      </c>
      <c r="C84" s="254" t="s">
        <v>423</v>
      </c>
      <c r="D84" s="254" t="s">
        <v>424</v>
      </c>
      <c r="E84" s="224">
        <v>5900</v>
      </c>
      <c r="F84" s="160">
        <v>24.78</v>
      </c>
      <c r="G84" s="161">
        <v>0.52</v>
      </c>
      <c r="H84" s="162"/>
    </row>
    <row r="85" spans="1:8" customFormat="1" x14ac:dyDescent="0.25">
      <c r="A85" s="42"/>
      <c r="B85" s="254" t="s">
        <v>363</v>
      </c>
      <c r="C85" s="254" t="s">
        <v>364</v>
      </c>
      <c r="D85" s="254" t="s">
        <v>46</v>
      </c>
      <c r="E85" s="224">
        <v>1090</v>
      </c>
      <c r="F85" s="160">
        <v>24.65</v>
      </c>
      <c r="G85" s="161">
        <v>0.52</v>
      </c>
      <c r="H85" s="162"/>
    </row>
    <row r="86" spans="1:8" customFormat="1" x14ac:dyDescent="0.25">
      <c r="A86" s="42"/>
      <c r="B86" s="254" t="s">
        <v>296</v>
      </c>
      <c r="C86" s="254" t="s">
        <v>297</v>
      </c>
      <c r="D86" s="254" t="s">
        <v>121</v>
      </c>
      <c r="E86" s="224">
        <v>1370</v>
      </c>
      <c r="F86" s="160">
        <v>21.87</v>
      </c>
      <c r="G86" s="161">
        <v>0.46</v>
      </c>
      <c r="H86" s="162"/>
    </row>
    <row r="87" spans="1:8" customFormat="1" x14ac:dyDescent="0.25">
      <c r="A87" s="42"/>
      <c r="B87" s="254" t="s">
        <v>292</v>
      </c>
      <c r="C87" s="254" t="s">
        <v>293</v>
      </c>
      <c r="D87" s="254" t="s">
        <v>50</v>
      </c>
      <c r="E87" s="224">
        <v>420</v>
      </c>
      <c r="F87" s="160">
        <v>19.670000000000002</v>
      </c>
      <c r="G87" s="161">
        <v>0.41</v>
      </c>
      <c r="H87" s="162"/>
    </row>
    <row r="88" spans="1:8" customFormat="1" x14ac:dyDescent="0.25">
      <c r="A88" s="42"/>
      <c r="B88" s="254" t="s">
        <v>215</v>
      </c>
      <c r="C88" s="254" t="s">
        <v>216</v>
      </c>
      <c r="D88" s="254" t="s">
        <v>46</v>
      </c>
      <c r="E88" s="224">
        <v>2770</v>
      </c>
      <c r="F88" s="160">
        <v>17.22</v>
      </c>
      <c r="G88" s="161">
        <v>0.36</v>
      </c>
      <c r="H88" s="162"/>
    </row>
    <row r="89" spans="1:8" customFormat="1" x14ac:dyDescent="0.25">
      <c r="A89" s="42"/>
      <c r="B89" s="254" t="s">
        <v>278</v>
      </c>
      <c r="C89" s="254" t="s">
        <v>279</v>
      </c>
      <c r="D89" s="254" t="s">
        <v>43</v>
      </c>
      <c r="E89" s="224">
        <v>540</v>
      </c>
      <c r="F89" s="160">
        <v>16.5</v>
      </c>
      <c r="G89" s="161">
        <v>0.35</v>
      </c>
      <c r="H89" s="162"/>
    </row>
    <row r="90" spans="1:8" customFormat="1" x14ac:dyDescent="0.25">
      <c r="A90" s="42"/>
      <c r="B90" s="254" t="s">
        <v>384</v>
      </c>
      <c r="C90" s="254" t="s">
        <v>385</v>
      </c>
      <c r="D90" s="254" t="s">
        <v>45</v>
      </c>
      <c r="E90" s="224">
        <v>1830</v>
      </c>
      <c r="F90" s="160">
        <v>8.32</v>
      </c>
      <c r="G90" s="161">
        <v>0.17</v>
      </c>
      <c r="H90" s="162"/>
    </row>
    <row r="91" spans="1:8" customFormat="1" x14ac:dyDescent="0.25">
      <c r="A91" s="42"/>
      <c r="B91" s="254" t="s">
        <v>288</v>
      </c>
      <c r="C91" s="254" t="s">
        <v>289</v>
      </c>
      <c r="D91" s="254" t="s">
        <v>66</v>
      </c>
      <c r="E91" s="224">
        <v>1381</v>
      </c>
      <c r="F91" s="160">
        <v>7.77</v>
      </c>
      <c r="G91" s="161">
        <v>0.16</v>
      </c>
      <c r="H91" s="162"/>
    </row>
    <row r="92" spans="1:8" customFormat="1" x14ac:dyDescent="0.25">
      <c r="A92" s="42"/>
      <c r="B92" s="169" t="s">
        <v>245</v>
      </c>
      <c r="C92" s="169"/>
      <c r="D92" s="169"/>
      <c r="E92" s="170"/>
      <c r="F92" s="262">
        <v>4674.43</v>
      </c>
      <c r="G92" s="263">
        <v>98.17</v>
      </c>
      <c r="H92" s="171"/>
    </row>
    <row r="93" spans="1:8" customFormat="1" x14ac:dyDescent="0.25">
      <c r="A93" s="42"/>
      <c r="B93" s="254"/>
      <c r="C93" s="254"/>
      <c r="D93" s="254"/>
      <c r="E93" s="224"/>
      <c r="F93" s="160"/>
      <c r="G93" s="161"/>
      <c r="H93" s="162"/>
    </row>
    <row r="94" spans="1:8" customFormat="1" x14ac:dyDescent="0.25">
      <c r="A94" s="42"/>
      <c r="B94" s="173" t="s">
        <v>246</v>
      </c>
      <c r="C94" s="174"/>
      <c r="D94" s="174"/>
      <c r="E94" s="175"/>
      <c r="F94" s="176"/>
      <c r="G94" s="177"/>
      <c r="H94" s="178"/>
    </row>
    <row r="95" spans="1:8" customFormat="1" x14ac:dyDescent="0.25">
      <c r="A95" s="42"/>
      <c r="B95" s="254"/>
      <c r="C95" s="254"/>
      <c r="D95" s="254"/>
      <c r="E95" s="224"/>
      <c r="F95" s="161">
        <v>0</v>
      </c>
      <c r="G95" s="161">
        <v>0</v>
      </c>
      <c r="H95" s="162"/>
    </row>
    <row r="96" spans="1:8" customFormat="1" x14ac:dyDescent="0.25">
      <c r="A96" s="42"/>
      <c r="B96" s="169" t="s">
        <v>245</v>
      </c>
      <c r="C96" s="254"/>
      <c r="D96" s="254"/>
      <c r="E96" s="224"/>
      <c r="F96" s="264" t="s">
        <v>247</v>
      </c>
      <c r="G96" s="264" t="s">
        <v>247</v>
      </c>
      <c r="H96" s="162"/>
    </row>
    <row r="97" spans="1:8" customFormat="1" x14ac:dyDescent="0.25">
      <c r="A97" s="42"/>
      <c r="B97" s="254"/>
      <c r="C97" s="254"/>
      <c r="D97" s="254"/>
      <c r="E97" s="224"/>
      <c r="F97" s="160"/>
      <c r="G97" s="161"/>
      <c r="H97" s="162"/>
    </row>
    <row r="98" spans="1:8" customFormat="1" x14ac:dyDescent="0.25">
      <c r="A98" s="42"/>
      <c r="B98" s="265" t="s">
        <v>248</v>
      </c>
      <c r="C98" s="266"/>
      <c r="D98" s="266"/>
      <c r="E98" s="267"/>
      <c r="F98" s="262">
        <v>4674.43</v>
      </c>
      <c r="G98" s="263">
        <v>98.17</v>
      </c>
      <c r="H98" s="171"/>
    </row>
    <row r="99" spans="1:8" customFormat="1" x14ac:dyDescent="0.25">
      <c r="A99" s="42"/>
      <c r="B99" s="254"/>
      <c r="C99" s="254"/>
      <c r="D99" s="254"/>
      <c r="E99" s="224"/>
      <c r="F99" s="160"/>
      <c r="G99" s="161"/>
      <c r="H99" s="162"/>
    </row>
    <row r="100" spans="1:8" customFormat="1" x14ac:dyDescent="0.25">
      <c r="A100" s="42"/>
      <c r="B100" s="163" t="s">
        <v>249</v>
      </c>
      <c r="C100" s="164"/>
      <c r="D100" s="164"/>
      <c r="E100" s="165"/>
      <c r="F100" s="166"/>
      <c r="G100" s="167"/>
      <c r="H100" s="168"/>
    </row>
    <row r="101" spans="1:8" customFormat="1" x14ac:dyDescent="0.25">
      <c r="A101" s="42"/>
      <c r="B101" s="173" t="s">
        <v>300</v>
      </c>
      <c r="C101" s="174"/>
      <c r="D101" s="174"/>
      <c r="E101" s="175"/>
      <c r="F101" s="176"/>
      <c r="G101" s="177"/>
      <c r="H101" s="178"/>
    </row>
    <row r="102" spans="1:8" customFormat="1" x14ac:dyDescent="0.25">
      <c r="A102" s="42"/>
      <c r="B102" s="254" t="s">
        <v>160</v>
      </c>
      <c r="C102" s="254"/>
      <c r="D102" s="254"/>
      <c r="E102" s="187">
        <v>-3950</v>
      </c>
      <c r="F102" s="179">
        <v>-12.23</v>
      </c>
      <c r="G102" s="161">
        <v>-0.26</v>
      </c>
      <c r="H102" s="162"/>
    </row>
    <row r="103" spans="1:8" customFormat="1" x14ac:dyDescent="0.25">
      <c r="A103" s="42"/>
      <c r="B103" s="254" t="s">
        <v>280</v>
      </c>
      <c r="C103" s="254"/>
      <c r="D103" s="254"/>
      <c r="E103" s="187">
        <v>-2025</v>
      </c>
      <c r="F103" s="179">
        <v>-8.11</v>
      </c>
      <c r="G103" s="161">
        <v>-0.17</v>
      </c>
      <c r="H103" s="162"/>
    </row>
    <row r="104" spans="1:8" customFormat="1" x14ac:dyDescent="0.25">
      <c r="A104" s="42"/>
      <c r="B104" s="254"/>
      <c r="C104" s="254"/>
      <c r="D104" s="254"/>
      <c r="E104" s="224"/>
      <c r="F104" s="160"/>
      <c r="G104" s="161"/>
      <c r="H104" s="162"/>
    </row>
    <row r="105" spans="1:8" customFormat="1" x14ac:dyDescent="0.25">
      <c r="A105" s="42"/>
      <c r="B105" s="169" t="s">
        <v>245</v>
      </c>
      <c r="C105" s="169"/>
      <c r="D105" s="169"/>
      <c r="E105" s="170"/>
      <c r="F105" s="268">
        <v>-20.34</v>
      </c>
      <c r="G105" s="263">
        <v>-0.43</v>
      </c>
      <c r="H105" s="171"/>
    </row>
    <row r="106" spans="1:8" customFormat="1" x14ac:dyDescent="0.25">
      <c r="A106" s="42"/>
      <c r="B106" s="254"/>
      <c r="C106" s="254"/>
      <c r="D106" s="254"/>
      <c r="E106" s="224"/>
      <c r="F106" s="160"/>
      <c r="G106" s="161"/>
      <c r="H106" s="162"/>
    </row>
    <row r="107" spans="1:8" customFormat="1" x14ac:dyDescent="0.25">
      <c r="A107" s="42"/>
      <c r="B107" s="265" t="s">
        <v>250</v>
      </c>
      <c r="C107" s="269"/>
      <c r="D107" s="269"/>
      <c r="E107" s="270"/>
      <c r="F107" s="268">
        <v>-20.34</v>
      </c>
      <c r="G107" s="263">
        <v>-0.43</v>
      </c>
      <c r="H107" s="162"/>
    </row>
    <row r="108" spans="1:8" customFormat="1" x14ac:dyDescent="0.25">
      <c r="A108" s="42"/>
      <c r="B108" s="254"/>
      <c r="C108" s="254"/>
      <c r="D108" s="254"/>
      <c r="E108" s="224"/>
      <c r="F108" s="160"/>
      <c r="G108" s="161"/>
      <c r="H108" s="162"/>
    </row>
    <row r="109" spans="1:8" customFormat="1" x14ac:dyDescent="0.25">
      <c r="A109" s="42"/>
      <c r="B109" s="163" t="s">
        <v>251</v>
      </c>
      <c r="C109" s="164"/>
      <c r="D109" s="164"/>
      <c r="E109" s="165"/>
      <c r="F109" s="166"/>
      <c r="G109" s="167"/>
      <c r="H109" s="168"/>
    </row>
    <row r="110" spans="1:8" customFormat="1" x14ac:dyDescent="0.25">
      <c r="A110" s="42"/>
      <c r="B110" s="254"/>
      <c r="C110" s="254"/>
      <c r="D110" s="254"/>
      <c r="E110" s="224"/>
      <c r="F110" s="160"/>
      <c r="G110" s="161"/>
      <c r="H110" s="162"/>
    </row>
    <row r="111" spans="1:8" customFormat="1" x14ac:dyDescent="0.25">
      <c r="A111" s="42"/>
      <c r="B111" s="173" t="s">
        <v>252</v>
      </c>
      <c r="C111" s="174"/>
      <c r="D111" s="174"/>
      <c r="E111" s="175"/>
      <c r="F111" s="176"/>
      <c r="G111" s="177"/>
      <c r="H111" s="178"/>
    </row>
    <row r="112" spans="1:8" customFormat="1" x14ac:dyDescent="0.25">
      <c r="A112" s="42"/>
      <c r="B112" s="254" t="s">
        <v>429</v>
      </c>
      <c r="C112" s="254" t="s">
        <v>261</v>
      </c>
      <c r="D112" s="254" t="s">
        <v>409</v>
      </c>
      <c r="E112" s="224">
        <v>10000</v>
      </c>
      <c r="F112" s="160">
        <v>1.04</v>
      </c>
      <c r="G112" s="161">
        <v>0.02</v>
      </c>
      <c r="H112" s="162">
        <v>11.896699999999999</v>
      </c>
    </row>
    <row r="113" spans="1:8" customFormat="1" ht="15.75" customHeight="1" x14ac:dyDescent="0.25">
      <c r="A113" s="42"/>
      <c r="B113" s="169" t="s">
        <v>245</v>
      </c>
      <c r="C113" s="169"/>
      <c r="D113" s="169"/>
      <c r="E113" s="170"/>
      <c r="F113" s="262">
        <v>1.04</v>
      </c>
      <c r="G113" s="263">
        <v>0.02</v>
      </c>
      <c r="H113" s="171"/>
    </row>
    <row r="114" spans="1:8" customFormat="1" ht="15.75" customHeight="1" x14ac:dyDescent="0.25">
      <c r="A114" s="42"/>
      <c r="B114" s="254"/>
      <c r="C114" s="254"/>
      <c r="D114" s="254"/>
      <c r="E114" s="224"/>
      <c r="F114" s="160"/>
      <c r="G114" s="161"/>
      <c r="H114" s="162"/>
    </row>
    <row r="115" spans="1:8" customFormat="1" ht="15.75" customHeight="1" x14ac:dyDescent="0.25">
      <c r="A115" s="42"/>
      <c r="B115" s="173" t="s">
        <v>262</v>
      </c>
      <c r="C115" s="174"/>
      <c r="D115" s="174"/>
      <c r="E115" s="175"/>
      <c r="F115" s="176"/>
      <c r="G115" s="177"/>
      <c r="H115" s="178"/>
    </row>
    <row r="116" spans="1:8" customFormat="1" ht="15.75" customHeight="1" x14ac:dyDescent="0.25">
      <c r="A116" s="42"/>
      <c r="B116" s="254"/>
      <c r="C116" s="254"/>
      <c r="D116" s="254"/>
      <c r="E116" s="224"/>
      <c r="F116" s="161">
        <v>0</v>
      </c>
      <c r="G116" s="161">
        <v>0</v>
      </c>
      <c r="H116" s="162"/>
    </row>
    <row r="117" spans="1:8" customFormat="1" ht="15.75" customHeight="1" x14ac:dyDescent="0.25">
      <c r="A117" s="78"/>
      <c r="B117" s="169" t="s">
        <v>245</v>
      </c>
      <c r="C117" s="254"/>
      <c r="D117" s="254"/>
      <c r="E117" s="224"/>
      <c r="F117" s="264" t="s">
        <v>247</v>
      </c>
      <c r="G117" s="264" t="s">
        <v>247</v>
      </c>
      <c r="H117" s="162"/>
    </row>
    <row r="118" spans="1:8" customFormat="1" ht="15.75" customHeight="1" x14ac:dyDescent="0.25">
      <c r="A118" s="76"/>
      <c r="B118" s="254"/>
      <c r="C118" s="254"/>
      <c r="D118" s="254"/>
      <c r="E118" s="224"/>
      <c r="F118" s="160"/>
      <c r="G118" s="161"/>
      <c r="H118" s="162"/>
    </row>
    <row r="119" spans="1:8" s="222" customFormat="1" ht="15.75" customHeight="1" x14ac:dyDescent="0.25">
      <c r="A119" s="76"/>
      <c r="B119" s="173" t="s">
        <v>263</v>
      </c>
      <c r="C119" s="174"/>
      <c r="D119" s="174"/>
      <c r="E119" s="175"/>
      <c r="F119" s="176"/>
      <c r="G119" s="177"/>
      <c r="H119" s="178"/>
    </row>
    <row r="120" spans="1:8" s="222" customFormat="1" ht="15.75" customHeight="1" x14ac:dyDescent="0.25">
      <c r="A120" s="76"/>
      <c r="B120" s="254"/>
      <c r="C120" s="254"/>
      <c r="D120" s="254"/>
      <c r="E120" s="224"/>
      <c r="F120" s="161">
        <v>0</v>
      </c>
      <c r="G120" s="161">
        <v>0</v>
      </c>
      <c r="H120" s="162"/>
    </row>
    <row r="121" spans="1:8" s="222" customFormat="1" ht="15.75" customHeight="1" x14ac:dyDescent="0.25">
      <c r="A121" s="76"/>
      <c r="B121" s="169" t="s">
        <v>245</v>
      </c>
      <c r="C121" s="254"/>
      <c r="D121" s="254"/>
      <c r="E121" s="224"/>
      <c r="F121" s="264" t="s">
        <v>247</v>
      </c>
      <c r="G121" s="264" t="s">
        <v>247</v>
      </c>
      <c r="H121" s="162"/>
    </row>
    <row r="122" spans="1:8" s="222" customFormat="1" ht="15.75" customHeight="1" x14ac:dyDescent="0.25">
      <c r="A122" s="76"/>
      <c r="B122" s="254"/>
      <c r="C122" s="254"/>
      <c r="D122" s="254"/>
      <c r="E122" s="224"/>
      <c r="F122" s="160"/>
      <c r="G122" s="161"/>
      <c r="H122" s="162"/>
    </row>
    <row r="123" spans="1:8" s="222" customFormat="1" ht="15.75" customHeight="1" x14ac:dyDescent="0.25">
      <c r="A123" s="76"/>
      <c r="B123" s="265" t="s">
        <v>248</v>
      </c>
      <c r="C123" s="266"/>
      <c r="D123" s="266"/>
      <c r="E123" s="267"/>
      <c r="F123" s="262">
        <v>1.04</v>
      </c>
      <c r="G123" s="263">
        <v>0.02</v>
      </c>
      <c r="H123" s="171"/>
    </row>
    <row r="124" spans="1:8" s="222" customFormat="1" ht="15.75" customHeight="1" x14ac:dyDescent="0.25">
      <c r="A124" s="76"/>
      <c r="B124" s="254"/>
      <c r="C124" s="254"/>
      <c r="D124" s="254"/>
      <c r="E124" s="224"/>
      <c r="F124" s="160"/>
      <c r="G124" s="161"/>
      <c r="H124" s="162"/>
    </row>
    <row r="125" spans="1:8" s="222" customFormat="1" ht="15.75" customHeight="1" x14ac:dyDescent="0.25">
      <c r="A125" s="76"/>
      <c r="B125" s="254"/>
      <c r="C125" s="254"/>
      <c r="D125" s="254"/>
      <c r="E125" s="224"/>
      <c r="F125" s="160"/>
      <c r="G125" s="161"/>
      <c r="H125" s="162"/>
    </row>
    <row r="126" spans="1:8" s="222" customFormat="1" ht="15.75" customHeight="1" x14ac:dyDescent="0.25">
      <c r="A126" s="76"/>
      <c r="B126" s="163" t="s">
        <v>382</v>
      </c>
      <c r="C126" s="164"/>
      <c r="D126" s="164"/>
      <c r="E126" s="165"/>
      <c r="F126" s="166"/>
      <c r="G126" s="167"/>
      <c r="H126" s="168"/>
    </row>
    <row r="127" spans="1:8" s="222" customFormat="1" ht="15.75" customHeight="1" x14ac:dyDescent="0.25">
      <c r="A127" s="76"/>
      <c r="B127" s="254" t="s">
        <v>476</v>
      </c>
      <c r="C127" s="254" t="s">
        <v>467</v>
      </c>
      <c r="D127" s="254"/>
      <c r="E127" s="224"/>
      <c r="F127" s="160">
        <v>29.99</v>
      </c>
      <c r="G127" s="161">
        <v>0.63</v>
      </c>
      <c r="H127" s="162">
        <v>5.1081000000000003</v>
      </c>
    </row>
    <row r="128" spans="1:8" s="222" customFormat="1" ht="15.75" customHeight="1" x14ac:dyDescent="0.25">
      <c r="A128" s="76"/>
      <c r="B128" s="169" t="s">
        <v>245</v>
      </c>
      <c r="C128" s="169"/>
      <c r="D128" s="169"/>
      <c r="E128" s="170"/>
      <c r="F128" s="262">
        <v>29.99</v>
      </c>
      <c r="G128" s="263">
        <v>0.63</v>
      </c>
      <c r="H128" s="171"/>
    </row>
    <row r="129" spans="1:13" s="222" customFormat="1" ht="15.75" customHeight="1" x14ac:dyDescent="0.25">
      <c r="A129" s="76"/>
      <c r="B129" s="254"/>
      <c r="C129" s="254"/>
      <c r="D129" s="254"/>
      <c r="E129" s="224"/>
      <c r="F129" s="160"/>
      <c r="G129" s="161"/>
      <c r="H129" s="162"/>
    </row>
    <row r="130" spans="1:13" s="222" customFormat="1" ht="15.75" customHeight="1" x14ac:dyDescent="0.25">
      <c r="A130" s="76"/>
      <c r="B130" s="265" t="s">
        <v>248</v>
      </c>
      <c r="C130" s="266"/>
      <c r="D130" s="266"/>
      <c r="E130" s="267"/>
      <c r="F130" s="262">
        <v>29.99</v>
      </c>
      <c r="G130" s="263">
        <v>0.63</v>
      </c>
      <c r="H130" s="171"/>
    </row>
    <row r="131" spans="1:13" s="222" customFormat="1" ht="15.75" customHeight="1" x14ac:dyDescent="0.25">
      <c r="A131" s="76"/>
      <c r="B131" s="254"/>
      <c r="C131" s="254"/>
      <c r="D131" s="254"/>
      <c r="E131" s="224"/>
      <c r="F131" s="160"/>
      <c r="G131" s="161"/>
      <c r="H131" s="162"/>
    </row>
    <row r="132" spans="1:13" s="222" customFormat="1" ht="15.75" customHeight="1" x14ac:dyDescent="0.25">
      <c r="A132" s="76"/>
      <c r="B132" s="254" t="s">
        <v>266</v>
      </c>
      <c r="C132" s="254"/>
      <c r="D132" s="254"/>
      <c r="E132" s="224"/>
      <c r="F132" s="160">
        <v>77.94</v>
      </c>
      <c r="G132" s="161">
        <v>1.6100000000000136</v>
      </c>
      <c r="H132" s="162"/>
    </row>
    <row r="133" spans="1:13" s="222" customFormat="1" ht="15.75" customHeight="1" x14ac:dyDescent="0.25">
      <c r="A133" s="76"/>
      <c r="B133" s="254"/>
      <c r="C133" s="254"/>
      <c r="D133" s="254"/>
      <c r="E133" s="224"/>
      <c r="F133" s="160"/>
      <c r="G133" s="161"/>
      <c r="H133" s="162"/>
    </row>
    <row r="134" spans="1:13" s="222" customFormat="1" ht="15.75" customHeight="1" x14ac:dyDescent="0.25">
      <c r="A134" s="76"/>
      <c r="B134" s="265" t="s">
        <v>267</v>
      </c>
      <c r="C134" s="266"/>
      <c r="D134" s="266"/>
      <c r="E134" s="267"/>
      <c r="F134" s="262">
        <v>4763.0600000000004</v>
      </c>
      <c r="G134" s="263">
        <v>100</v>
      </c>
      <c r="H134" s="172"/>
    </row>
    <row r="135" spans="1:13" x14ac:dyDescent="0.25">
      <c r="A135" s="78" t="s">
        <v>48</v>
      </c>
      <c r="B135" s="1" t="s">
        <v>361</v>
      </c>
      <c r="D135" s="109"/>
      <c r="E135" s="110"/>
      <c r="F135" s="115"/>
      <c r="G135" s="116"/>
      <c r="H135" s="113"/>
      <c r="I135" s="84"/>
      <c r="J135" s="85"/>
    </row>
    <row r="136" spans="1:13" x14ac:dyDescent="0.15">
      <c r="A136" s="80"/>
      <c r="B136" s="40" t="s">
        <v>0</v>
      </c>
      <c r="D136" s="109"/>
      <c r="E136" s="110"/>
      <c r="F136" s="115"/>
      <c r="G136" s="116"/>
      <c r="H136" s="113"/>
      <c r="I136" s="84"/>
      <c r="J136" s="85"/>
    </row>
    <row r="137" spans="1:13" x14ac:dyDescent="0.15">
      <c r="A137" s="80"/>
      <c r="B137" s="40" t="s">
        <v>408</v>
      </c>
      <c r="D137" s="81"/>
      <c r="E137" s="82"/>
      <c r="F137" s="87"/>
      <c r="G137" s="82"/>
      <c r="H137" s="82"/>
      <c r="I137" s="84"/>
      <c r="J137" s="113"/>
    </row>
    <row r="138" spans="1:13" x14ac:dyDescent="0.15">
      <c r="A138" s="80"/>
      <c r="B138" s="40" t="s">
        <v>31</v>
      </c>
      <c r="D138" s="81"/>
      <c r="E138" s="82"/>
      <c r="F138" s="87"/>
      <c r="G138" s="82"/>
      <c r="H138" s="82"/>
      <c r="I138" s="84"/>
      <c r="J138" s="113"/>
    </row>
    <row r="139" spans="1:13" x14ac:dyDescent="0.25">
      <c r="A139" s="12"/>
      <c r="D139" s="82"/>
      <c r="E139" s="86"/>
      <c r="F139" s="87"/>
      <c r="G139" s="82"/>
      <c r="H139" s="82"/>
    </row>
    <row r="140" spans="1:13" x14ac:dyDescent="0.25">
      <c r="A140" s="80" t="s">
        <v>137</v>
      </c>
      <c r="B140" s="88" t="s">
        <v>1</v>
      </c>
      <c r="C140" s="89" t="s">
        <v>51</v>
      </c>
      <c r="D140" s="90"/>
      <c r="E140" s="91"/>
      <c r="F140" s="87"/>
      <c r="G140" s="87"/>
      <c r="H140" s="82"/>
      <c r="I140" s="82"/>
      <c r="K140" s="92"/>
      <c r="L140" s="93"/>
    </row>
    <row r="141" spans="1:13" x14ac:dyDescent="0.25">
      <c r="A141" s="94"/>
      <c r="B141" s="7" t="s">
        <v>67</v>
      </c>
      <c r="C141" s="96">
        <f t="shared" ref="C141:C170" si="0">SUMIF($D$17:$D$134,B141,$G$17:$G$134)</f>
        <v>22.66</v>
      </c>
      <c r="D141" s="97"/>
      <c r="E141" s="98"/>
      <c r="F141" s="99"/>
      <c r="G141" s="87"/>
      <c r="H141" s="82"/>
      <c r="J141" s="92"/>
      <c r="K141" s="93"/>
      <c r="L141" s="84"/>
      <c r="M141" s="93"/>
    </row>
    <row r="142" spans="1:13" x14ac:dyDescent="0.25">
      <c r="A142" s="94"/>
      <c r="B142" s="7" t="s">
        <v>50</v>
      </c>
      <c r="C142" s="96">
        <f t="shared" si="0"/>
        <v>6.34</v>
      </c>
      <c r="D142" s="97"/>
      <c r="E142" s="98"/>
      <c r="F142" s="99"/>
      <c r="G142" s="87"/>
      <c r="H142" s="82"/>
      <c r="K142" s="93"/>
      <c r="L142" s="84"/>
      <c r="M142" s="93"/>
    </row>
    <row r="143" spans="1:13" x14ac:dyDescent="0.25">
      <c r="A143" s="94"/>
      <c r="B143" s="7" t="s">
        <v>111</v>
      </c>
      <c r="C143" s="96">
        <f t="shared" si="0"/>
        <v>6.25</v>
      </c>
      <c r="D143" s="97"/>
      <c r="E143" s="98"/>
      <c r="F143" s="99"/>
      <c r="G143" s="87"/>
      <c r="H143" s="82"/>
      <c r="K143" s="93"/>
      <c r="L143" s="84"/>
      <c r="M143" s="93"/>
    </row>
    <row r="144" spans="1:13" x14ac:dyDescent="0.25">
      <c r="A144" s="94"/>
      <c r="B144" s="7" t="s">
        <v>66</v>
      </c>
      <c r="C144" s="96">
        <f t="shared" si="0"/>
        <v>6.1899999999999995</v>
      </c>
      <c r="D144" s="97"/>
      <c r="E144" s="98"/>
      <c r="F144" s="99"/>
      <c r="G144" s="87"/>
      <c r="H144" s="82"/>
      <c r="K144" s="93"/>
      <c r="L144" s="84"/>
      <c r="M144" s="93"/>
    </row>
    <row r="145" spans="1:13" x14ac:dyDescent="0.25">
      <c r="A145" s="94"/>
      <c r="B145" s="7" t="s">
        <v>44</v>
      </c>
      <c r="C145" s="96">
        <f t="shared" si="0"/>
        <v>5.4399999999999995</v>
      </c>
      <c r="D145" s="97"/>
      <c r="E145" s="98"/>
      <c r="F145" s="99"/>
      <c r="G145" s="87"/>
      <c r="H145" s="82"/>
      <c r="J145" s="92"/>
      <c r="K145" s="93"/>
      <c r="L145" s="84"/>
      <c r="M145" s="93"/>
    </row>
    <row r="146" spans="1:13" x14ac:dyDescent="0.25">
      <c r="A146" s="94"/>
      <c r="B146" s="7" t="s">
        <v>65</v>
      </c>
      <c r="C146" s="96">
        <f t="shared" si="0"/>
        <v>4.3</v>
      </c>
      <c r="D146" s="137"/>
      <c r="E146" s="98"/>
      <c r="F146" s="99"/>
      <c r="G146" s="87"/>
      <c r="H146" s="82"/>
      <c r="J146" s="92"/>
      <c r="K146" s="93"/>
      <c r="L146" s="84"/>
      <c r="M146" s="93"/>
    </row>
    <row r="147" spans="1:13" x14ac:dyDescent="0.25">
      <c r="A147" s="94"/>
      <c r="B147" s="7" t="s">
        <v>94</v>
      </c>
      <c r="C147" s="96">
        <f t="shared" si="0"/>
        <v>3.8800000000000003</v>
      </c>
      <c r="D147" s="137"/>
      <c r="E147" s="98"/>
      <c r="F147" s="99"/>
      <c r="G147" s="87"/>
      <c r="H147" s="82"/>
      <c r="J147" s="92"/>
      <c r="K147" s="93"/>
      <c r="L147" s="84"/>
      <c r="M147" s="93"/>
    </row>
    <row r="148" spans="1:13" x14ac:dyDescent="0.25">
      <c r="A148" s="94"/>
      <c r="B148" s="7" t="s">
        <v>42</v>
      </c>
      <c r="C148" s="96">
        <f t="shared" si="0"/>
        <v>3.84</v>
      </c>
      <c r="D148" s="137"/>
      <c r="E148" s="98"/>
      <c r="F148" s="99"/>
      <c r="G148" s="87"/>
      <c r="H148" s="82"/>
      <c r="J148" s="92"/>
      <c r="K148" s="93"/>
      <c r="L148" s="84"/>
      <c r="M148" s="93"/>
    </row>
    <row r="149" spans="1:13" x14ac:dyDescent="0.25">
      <c r="A149" s="94"/>
      <c r="B149" s="7" t="s">
        <v>45</v>
      </c>
      <c r="C149" s="96">
        <f t="shared" si="0"/>
        <v>3.7399999999999998</v>
      </c>
      <c r="D149" s="137"/>
      <c r="E149" s="98"/>
      <c r="F149" s="99"/>
      <c r="G149" s="87"/>
      <c r="H149" s="82"/>
      <c r="J149" s="92"/>
      <c r="K149" s="93"/>
      <c r="L149" s="84"/>
      <c r="M149" s="93"/>
    </row>
    <row r="150" spans="1:13" x14ac:dyDescent="0.25">
      <c r="A150" s="94"/>
      <c r="B150" s="7" t="s">
        <v>114</v>
      </c>
      <c r="C150" s="96">
        <f t="shared" si="0"/>
        <v>3.26</v>
      </c>
      <c r="D150" s="137"/>
      <c r="E150" s="98"/>
      <c r="F150" s="99"/>
      <c r="G150" s="87"/>
      <c r="H150" s="82"/>
      <c r="J150" s="92"/>
      <c r="K150" s="93"/>
      <c r="L150" s="84"/>
      <c r="M150" s="93"/>
    </row>
    <row r="151" spans="1:13" x14ac:dyDescent="0.25">
      <c r="A151" s="94"/>
      <c r="B151" s="7" t="s">
        <v>109</v>
      </c>
      <c r="C151" s="96">
        <f t="shared" si="0"/>
        <v>2.86</v>
      </c>
      <c r="D151" s="137"/>
      <c r="E151" s="98"/>
      <c r="F151" s="99"/>
      <c r="G151" s="87"/>
      <c r="H151" s="82"/>
      <c r="J151" s="92"/>
      <c r="K151" s="93"/>
      <c r="L151" s="84"/>
      <c r="M151" s="93"/>
    </row>
    <row r="152" spans="1:13" x14ac:dyDescent="0.25">
      <c r="A152" s="94"/>
      <c r="B152" s="7" t="s">
        <v>68</v>
      </c>
      <c r="C152" s="96">
        <f t="shared" si="0"/>
        <v>2.85</v>
      </c>
      <c r="D152" s="137"/>
      <c r="E152" s="98"/>
      <c r="F152" s="99"/>
      <c r="G152" s="87"/>
      <c r="H152" s="82"/>
      <c r="J152" s="92"/>
      <c r="K152" s="93"/>
      <c r="L152" s="84"/>
      <c r="M152" s="93"/>
    </row>
    <row r="153" spans="1:13" x14ac:dyDescent="0.25">
      <c r="A153" s="94"/>
      <c r="B153" s="7" t="s">
        <v>121</v>
      </c>
      <c r="C153" s="96">
        <f t="shared" si="0"/>
        <v>2.5099999999999998</v>
      </c>
      <c r="D153" s="137"/>
      <c r="E153" s="98"/>
      <c r="F153" s="99"/>
      <c r="G153" s="87"/>
      <c r="H153" s="82"/>
      <c r="J153" s="92"/>
      <c r="K153" s="93"/>
      <c r="L153" s="84"/>
      <c r="M153" s="93"/>
    </row>
    <row r="154" spans="1:13" x14ac:dyDescent="0.25">
      <c r="A154" s="94"/>
      <c r="B154" s="7" t="s">
        <v>93</v>
      </c>
      <c r="C154" s="96">
        <f t="shared" si="0"/>
        <v>2.46</v>
      </c>
      <c r="D154" s="137"/>
      <c r="E154" s="98"/>
      <c r="F154" s="99"/>
      <c r="G154" s="87"/>
      <c r="H154" s="82"/>
      <c r="J154" s="92"/>
      <c r="K154" s="93"/>
      <c r="L154" s="84"/>
      <c r="M154" s="93"/>
    </row>
    <row r="155" spans="1:13" x14ac:dyDescent="0.25">
      <c r="A155" s="94"/>
      <c r="B155" s="7" t="s">
        <v>43</v>
      </c>
      <c r="C155" s="96">
        <f t="shared" si="0"/>
        <v>2.3400000000000003</v>
      </c>
      <c r="D155" s="137"/>
      <c r="E155" s="98"/>
      <c r="F155" s="99"/>
      <c r="G155" s="87"/>
      <c r="H155" s="82"/>
      <c r="J155" s="92"/>
      <c r="K155" s="93"/>
      <c r="L155" s="84"/>
      <c r="M155" s="93"/>
    </row>
    <row r="156" spans="1:13" x14ac:dyDescent="0.25">
      <c r="A156" s="94"/>
      <c r="B156" s="7" t="s">
        <v>274</v>
      </c>
      <c r="C156" s="96">
        <f t="shared" si="0"/>
        <v>2.1</v>
      </c>
      <c r="D156" s="137"/>
      <c r="E156" s="98"/>
      <c r="F156" s="99"/>
      <c r="G156" s="87"/>
      <c r="H156" s="82"/>
      <c r="J156" s="92"/>
      <c r="K156" s="93"/>
      <c r="L156" s="84"/>
      <c r="M156" s="93"/>
    </row>
    <row r="157" spans="1:13" x14ac:dyDescent="0.25">
      <c r="A157" s="94"/>
      <c r="B157" s="7" t="s">
        <v>46</v>
      </c>
      <c r="C157" s="96">
        <f t="shared" si="0"/>
        <v>2.0499999999999998</v>
      </c>
      <c r="D157" s="137"/>
      <c r="E157" s="98"/>
      <c r="F157" s="99"/>
      <c r="G157" s="87"/>
      <c r="H157" s="82"/>
      <c r="J157" s="92"/>
      <c r="K157" s="93"/>
      <c r="L157" s="84"/>
      <c r="M157" s="93"/>
    </row>
    <row r="158" spans="1:13" x14ac:dyDescent="0.25">
      <c r="A158" s="94"/>
      <c r="B158" s="7" t="s">
        <v>117</v>
      </c>
      <c r="C158" s="96">
        <f t="shared" si="0"/>
        <v>2.02</v>
      </c>
      <c r="D158" s="137"/>
      <c r="E158" s="98"/>
      <c r="F158" s="99"/>
      <c r="G158" s="87"/>
      <c r="H158" s="82"/>
      <c r="J158" s="92"/>
      <c r="K158" s="93"/>
      <c r="L158" s="84"/>
      <c r="M158" s="93"/>
    </row>
    <row r="159" spans="1:13" x14ac:dyDescent="0.25">
      <c r="A159" s="94"/>
      <c r="B159" s="7" t="s">
        <v>47</v>
      </c>
      <c r="C159" s="96">
        <f t="shared" si="0"/>
        <v>1.79</v>
      </c>
      <c r="D159" s="137"/>
      <c r="E159" s="98"/>
      <c r="F159" s="99"/>
      <c r="G159" s="87"/>
      <c r="H159" s="82"/>
      <c r="J159" s="92"/>
      <c r="K159" s="93"/>
      <c r="L159" s="84"/>
      <c r="M159" s="93"/>
    </row>
    <row r="160" spans="1:13" x14ac:dyDescent="0.25">
      <c r="A160" s="94"/>
      <c r="B160" s="7" t="s">
        <v>105</v>
      </c>
      <c r="C160" s="96">
        <f t="shared" si="0"/>
        <v>1.7</v>
      </c>
      <c r="D160" s="137"/>
      <c r="E160" s="98"/>
      <c r="F160" s="99"/>
      <c r="G160" s="87"/>
      <c r="H160" s="82"/>
      <c r="J160" s="92"/>
      <c r="K160" s="93"/>
      <c r="L160" s="84"/>
      <c r="M160" s="93"/>
    </row>
    <row r="161" spans="1:13" x14ac:dyDescent="0.25">
      <c r="A161" s="94"/>
      <c r="B161" s="7" t="s">
        <v>120</v>
      </c>
      <c r="C161" s="96">
        <f t="shared" si="0"/>
        <v>1.57</v>
      </c>
      <c r="D161" s="137"/>
      <c r="E161" s="98"/>
      <c r="F161" s="99"/>
      <c r="G161" s="87"/>
      <c r="H161" s="82"/>
      <c r="J161" s="92"/>
      <c r="K161" s="93"/>
      <c r="L161" s="84"/>
      <c r="M161" s="93"/>
    </row>
    <row r="162" spans="1:13" x14ac:dyDescent="0.25">
      <c r="A162" s="94"/>
      <c r="B162" s="7" t="s">
        <v>135</v>
      </c>
      <c r="C162" s="96">
        <f t="shared" si="0"/>
        <v>1.49</v>
      </c>
      <c r="D162" s="137"/>
      <c r="E162" s="98"/>
      <c r="F162" s="99"/>
      <c r="G162" s="87"/>
      <c r="H162" s="82"/>
      <c r="J162" s="92"/>
      <c r="K162" s="93"/>
      <c r="L162" s="84"/>
      <c r="M162" s="93"/>
    </row>
    <row r="163" spans="1:13" x14ac:dyDescent="0.25">
      <c r="A163" s="94"/>
      <c r="B163" s="7" t="s">
        <v>107</v>
      </c>
      <c r="C163" s="96">
        <f t="shared" si="0"/>
        <v>1.23</v>
      </c>
      <c r="D163" s="137"/>
      <c r="E163" s="98"/>
      <c r="F163" s="99"/>
      <c r="G163" s="87"/>
      <c r="H163" s="82"/>
      <c r="J163" s="92"/>
      <c r="K163" s="93"/>
      <c r="L163" s="84"/>
      <c r="M163" s="93"/>
    </row>
    <row r="164" spans="1:13" x14ac:dyDescent="0.25">
      <c r="A164" s="94"/>
      <c r="B164" s="7" t="s">
        <v>113</v>
      </c>
      <c r="C164" s="96">
        <f t="shared" si="0"/>
        <v>1.1200000000000001</v>
      </c>
      <c r="D164" s="137"/>
      <c r="E164" s="98"/>
      <c r="F164" s="99"/>
      <c r="G164" s="87"/>
      <c r="H164" s="82"/>
      <c r="J164" s="92"/>
      <c r="K164" s="93"/>
      <c r="L164" s="84"/>
      <c r="M164" s="93"/>
    </row>
    <row r="165" spans="1:13" x14ac:dyDescent="0.25">
      <c r="A165" s="94"/>
      <c r="B165" s="7" t="s">
        <v>118</v>
      </c>
      <c r="C165" s="96">
        <f t="shared" si="0"/>
        <v>0.91</v>
      </c>
      <c r="D165" s="137"/>
      <c r="E165" s="98"/>
      <c r="F165" s="99"/>
      <c r="G165" s="87"/>
      <c r="H165" s="82"/>
      <c r="J165" s="92"/>
      <c r="K165" s="93"/>
      <c r="L165" s="84"/>
      <c r="M165" s="93"/>
    </row>
    <row r="166" spans="1:13" x14ac:dyDescent="0.25">
      <c r="A166" s="94"/>
      <c r="B166" s="7" t="s">
        <v>112</v>
      </c>
      <c r="C166" s="96">
        <f t="shared" si="0"/>
        <v>0.76</v>
      </c>
      <c r="D166" s="137"/>
      <c r="E166" s="98"/>
      <c r="F166" s="99"/>
      <c r="G166" s="87"/>
      <c r="H166" s="82"/>
      <c r="J166" s="92"/>
      <c r="K166" s="93"/>
      <c r="L166" s="84"/>
      <c r="M166" s="93"/>
    </row>
    <row r="167" spans="1:13" x14ac:dyDescent="0.25">
      <c r="A167" s="94"/>
      <c r="B167" s="7" t="s">
        <v>369</v>
      </c>
      <c r="C167" s="96">
        <f t="shared" si="0"/>
        <v>0.69</v>
      </c>
      <c r="D167" s="137"/>
      <c r="E167" s="98"/>
      <c r="F167" s="99"/>
      <c r="G167" s="87"/>
      <c r="H167" s="82"/>
      <c r="J167" s="92"/>
      <c r="K167" s="93"/>
      <c r="L167" s="84"/>
      <c r="M167" s="93"/>
    </row>
    <row r="168" spans="1:13" x14ac:dyDescent="0.25">
      <c r="A168" s="94"/>
      <c r="B168" s="7" t="s">
        <v>356</v>
      </c>
      <c r="C168" s="96">
        <f t="shared" si="0"/>
        <v>0.67</v>
      </c>
      <c r="D168" s="137"/>
      <c r="E168" s="98"/>
      <c r="F168" s="99"/>
      <c r="G168" s="197"/>
      <c r="H168" s="82"/>
      <c r="J168" s="92"/>
      <c r="K168" s="93"/>
      <c r="L168" s="84"/>
      <c r="M168" s="93"/>
    </row>
    <row r="169" spans="1:13" x14ac:dyDescent="0.25">
      <c r="A169" s="94"/>
      <c r="B169" s="7" t="s">
        <v>130</v>
      </c>
      <c r="C169" s="96">
        <f t="shared" si="0"/>
        <v>0.63</v>
      </c>
      <c r="D169" s="137"/>
      <c r="E169" s="98"/>
      <c r="F169" s="99"/>
      <c r="G169" s="197"/>
      <c r="H169" s="82"/>
      <c r="J169" s="92"/>
      <c r="K169" s="93"/>
      <c r="L169" s="84"/>
      <c r="M169" s="93"/>
    </row>
    <row r="170" spans="1:13" x14ac:dyDescent="0.25">
      <c r="A170" s="94"/>
      <c r="B170" s="7" t="s">
        <v>424</v>
      </c>
      <c r="C170" s="96">
        <f t="shared" si="0"/>
        <v>0.52</v>
      </c>
      <c r="D170" s="137"/>
      <c r="E170" s="98"/>
      <c r="F170" s="99"/>
      <c r="G170" s="197"/>
      <c r="H170" s="82"/>
      <c r="J170" s="92"/>
      <c r="K170" s="93"/>
      <c r="L170" s="84"/>
      <c r="M170" s="93"/>
    </row>
    <row r="171" spans="1:13" x14ac:dyDescent="0.25">
      <c r="B171" s="101" t="s">
        <v>138</v>
      </c>
      <c r="C171" s="17"/>
      <c r="D171" s="86"/>
      <c r="E171" s="211">
        <f>SUM(C140:C171)-G98</f>
        <v>0</v>
      </c>
      <c r="F171" s="86"/>
      <c r="G171" s="13"/>
    </row>
    <row r="172" spans="1:13" x14ac:dyDescent="0.25">
      <c r="B172"/>
      <c r="C172"/>
      <c r="D172" s="86"/>
      <c r="E172" s="86"/>
      <c r="F172" s="86"/>
      <c r="G172" s="13"/>
    </row>
    <row r="173" spans="1:13" x14ac:dyDescent="0.25">
      <c r="B173" t="s">
        <v>136</v>
      </c>
      <c r="D173" s="86"/>
      <c r="E173" s="86"/>
      <c r="F173" s="86"/>
      <c r="G173" s="13"/>
    </row>
    <row r="174" spans="1:13" x14ac:dyDescent="0.25">
      <c r="B174" t="s">
        <v>344</v>
      </c>
      <c r="D174" s="119"/>
      <c r="E174" s="86"/>
      <c r="F174" s="86"/>
      <c r="G174" s="13"/>
    </row>
    <row r="175" spans="1:13" x14ac:dyDescent="0.25">
      <c r="B175" s="229" t="s">
        <v>388</v>
      </c>
      <c r="C175" s="230" t="s">
        <v>387</v>
      </c>
      <c r="D175" s="14"/>
      <c r="E175" s="13"/>
      <c r="F175" s="13"/>
      <c r="G175" s="13"/>
    </row>
    <row r="176" spans="1:13" x14ac:dyDescent="0.25">
      <c r="D176" s="86"/>
      <c r="E176" s="13"/>
      <c r="F176" s="13"/>
      <c r="G176" s="13"/>
    </row>
    <row r="177" spans="1:6" x14ac:dyDescent="0.25">
      <c r="E177" s="13"/>
      <c r="F177" s="13"/>
    </row>
    <row r="181" spans="1:6" x14ac:dyDescent="0.25">
      <c r="A181" s="100"/>
    </row>
  </sheetData>
  <mergeCells count="9">
    <mergeCell ref="B1:H1"/>
    <mergeCell ref="F4:H4"/>
    <mergeCell ref="B2:H2"/>
    <mergeCell ref="D4:E4"/>
    <mergeCell ref="F13:H13"/>
    <mergeCell ref="B7:C7"/>
    <mergeCell ref="B10:C10"/>
    <mergeCell ref="D12:E12"/>
    <mergeCell ref="F12:H12"/>
  </mergeCells>
  <hyperlinks>
    <hyperlink ref="C175" r:id="rId1" xr:uid="{D739C2E5-E29F-441A-ADB7-781E041CAEF6}"/>
  </hyperlinks>
  <printOptions gridLines="1"/>
  <pageMargins left="0.7" right="0.7" top="0.75" bottom="0.75" header="0.3" footer="0.3"/>
  <pageSetup paperSize="9" scale="54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39C4-9E8B-4FD1-A66E-A2163CD815A6}">
  <sheetPr codeName="Sheet4">
    <pageSetUpPr autoPageBreaks="0"/>
  </sheetPr>
  <dimension ref="A1:M203"/>
  <sheetViews>
    <sheetView showGridLines="0" zoomScaleNormal="100" workbookViewId="0"/>
  </sheetViews>
  <sheetFormatPr defaultColWidth="17.7109375" defaultRowHeight="15" x14ac:dyDescent="0.25"/>
  <cols>
    <col min="1" max="1" width="4" style="64" customWidth="1"/>
    <col min="2" max="2" width="48.7109375" style="48" customWidth="1"/>
    <col min="3" max="3" width="21.7109375" style="48" customWidth="1"/>
    <col min="4" max="4" width="29.7109375" style="48" customWidth="1"/>
    <col min="5" max="6" width="27" style="48" customWidth="1"/>
    <col min="7" max="7" width="14.140625" style="48" customWidth="1"/>
    <col min="8" max="8" width="11.28515625" style="48" customWidth="1"/>
    <col min="9" max="9" width="17.28515625" style="48" customWidth="1"/>
    <col min="10" max="10" width="19" style="48" bestFit="1" customWidth="1"/>
    <col min="11" max="15" width="17.7109375" style="48"/>
    <col min="16" max="16" width="22.5703125" style="48" bestFit="1" customWidth="1"/>
    <col min="17" max="16384" width="17.7109375" style="48"/>
  </cols>
  <sheetData>
    <row r="1" spans="1:8" s="11" customFormat="1" ht="21.75" x14ac:dyDescent="0.25">
      <c r="A1" s="76"/>
      <c r="B1" s="287" t="s">
        <v>40</v>
      </c>
      <c r="C1" s="287"/>
      <c r="D1" s="287"/>
      <c r="E1" s="287"/>
      <c r="F1" s="287"/>
      <c r="G1" s="287"/>
      <c r="H1" s="287"/>
    </row>
    <row r="2" spans="1:8" customFormat="1" ht="13.5" customHeight="1" x14ac:dyDescent="0.25">
      <c r="B2" s="276" t="s">
        <v>69</v>
      </c>
      <c r="C2" s="276"/>
      <c r="D2" s="276"/>
      <c r="E2" s="276"/>
      <c r="F2" s="276"/>
      <c r="G2" s="276"/>
      <c r="H2" s="276"/>
    </row>
    <row r="3" spans="1:8" customFormat="1" ht="13.5" customHeight="1" x14ac:dyDescent="0.3">
      <c r="B3" s="144"/>
      <c r="C3" s="144"/>
      <c r="D3" s="144"/>
      <c r="E3" s="144"/>
      <c r="F3" s="144"/>
      <c r="G3" s="144"/>
      <c r="H3" s="144"/>
    </row>
    <row r="4" spans="1:8" s="19" customFormat="1" ht="21" x14ac:dyDescent="0.25">
      <c r="A4" s="75"/>
      <c r="B4" s="55"/>
      <c r="C4" s="56"/>
      <c r="D4" s="273" t="s">
        <v>9</v>
      </c>
      <c r="E4" s="275"/>
      <c r="F4" s="273" t="s">
        <v>56</v>
      </c>
      <c r="G4" s="274"/>
      <c r="H4" s="275"/>
    </row>
    <row r="5" spans="1:8" s="19" customFormat="1" ht="15.75" customHeight="1" x14ac:dyDescent="0.25">
      <c r="A5" s="75"/>
      <c r="B5" s="54" t="s">
        <v>2</v>
      </c>
      <c r="C5" s="20"/>
      <c r="D5" s="50"/>
      <c r="E5" s="24"/>
      <c r="F5" s="50"/>
      <c r="G5" s="44"/>
      <c r="H5" s="51"/>
    </row>
    <row r="6" spans="1:8" s="19" customFormat="1" ht="36" customHeight="1" x14ac:dyDescent="0.25">
      <c r="A6" s="75"/>
      <c r="B6" s="282" t="s">
        <v>6</v>
      </c>
      <c r="C6" s="283"/>
      <c r="D6" s="50"/>
      <c r="E6" s="24"/>
      <c r="F6" s="150"/>
      <c r="G6" s="63"/>
      <c r="H6" s="58"/>
    </row>
    <row r="7" spans="1:8" s="19" customFormat="1" ht="32.25" customHeight="1" x14ac:dyDescent="0.25">
      <c r="A7" s="75"/>
      <c r="B7" s="282" t="s">
        <v>12</v>
      </c>
      <c r="C7" s="283"/>
      <c r="D7" s="147"/>
      <c r="E7" s="24"/>
      <c r="F7" s="50"/>
      <c r="G7" s="49"/>
      <c r="H7" s="52"/>
    </row>
    <row r="8" spans="1:8" s="19" customFormat="1" x14ac:dyDescent="0.25">
      <c r="A8" s="75"/>
      <c r="B8" s="25" t="s">
        <v>3</v>
      </c>
      <c r="C8" s="20"/>
      <c r="D8" s="50"/>
      <c r="E8" s="24"/>
      <c r="F8" s="50"/>
      <c r="G8" s="20"/>
      <c r="H8" s="24"/>
    </row>
    <row r="9" spans="1:8" s="19" customFormat="1" x14ac:dyDescent="0.25">
      <c r="A9" s="75"/>
      <c r="B9" s="50"/>
      <c r="C9" s="20"/>
      <c r="D9" s="50"/>
      <c r="E9" s="24"/>
      <c r="F9" s="50"/>
      <c r="G9" s="20"/>
      <c r="H9" s="24"/>
    </row>
    <row r="10" spans="1:8" s="19" customFormat="1" ht="27.75" customHeight="1" x14ac:dyDescent="0.25">
      <c r="A10" s="75"/>
      <c r="B10" s="282" t="s">
        <v>8</v>
      </c>
      <c r="C10" s="283"/>
      <c r="D10" s="148"/>
      <c r="E10" s="24"/>
      <c r="F10" s="50"/>
      <c r="G10" s="20"/>
      <c r="H10" s="24"/>
    </row>
    <row r="11" spans="1:8" s="19" customFormat="1" x14ac:dyDescent="0.25">
      <c r="A11" s="75"/>
      <c r="B11" s="25"/>
      <c r="C11" s="20"/>
      <c r="D11" s="288" t="s">
        <v>59</v>
      </c>
      <c r="E11" s="289"/>
      <c r="F11" s="288" t="s">
        <v>14</v>
      </c>
      <c r="G11" s="290"/>
      <c r="H11" s="289"/>
    </row>
    <row r="12" spans="1:8" s="19" customFormat="1" ht="33.75" customHeight="1" x14ac:dyDescent="0.25">
      <c r="A12" s="75"/>
      <c r="B12" s="26"/>
      <c r="C12" s="68"/>
      <c r="D12" s="151"/>
      <c r="E12" s="69"/>
      <c r="F12" s="277" t="s">
        <v>362</v>
      </c>
      <c r="G12" s="278"/>
      <c r="H12" s="279"/>
    </row>
    <row r="13" spans="1:8" s="19" customFormat="1" ht="17.25" customHeight="1" x14ac:dyDescent="0.25">
      <c r="A13" s="75"/>
      <c r="B13" s="11"/>
      <c r="C13" s="71"/>
      <c r="D13" s="72"/>
      <c r="G13" s="108"/>
    </row>
    <row r="14" spans="1:8" s="11" customFormat="1" ht="12" customHeight="1" x14ac:dyDescent="0.2">
      <c r="A14" s="42"/>
      <c r="B14" s="121" t="s">
        <v>54</v>
      </c>
      <c r="C14" s="193"/>
      <c r="D14" s="193"/>
      <c r="E14" s="193"/>
      <c r="F14" s="193"/>
      <c r="G14" s="193"/>
      <c r="H14" s="41"/>
    </row>
    <row r="15" spans="1:8" s="11" customFormat="1" ht="4.5" customHeight="1" x14ac:dyDescent="0.2">
      <c r="A15" s="42"/>
      <c r="B15" s="121"/>
      <c r="C15" s="121"/>
      <c r="D15" s="121"/>
      <c r="E15" s="121"/>
      <c r="F15" s="121"/>
      <c r="G15" s="121"/>
      <c r="H15" s="42"/>
    </row>
    <row r="16" spans="1:8" s="11" customFormat="1" ht="4.5" customHeight="1" x14ac:dyDescent="0.2">
      <c r="A16" s="42"/>
      <c r="B16" s="121"/>
      <c r="C16" s="121"/>
      <c r="D16" s="121"/>
      <c r="E16" s="121"/>
      <c r="F16" s="121"/>
      <c r="G16" s="121"/>
      <c r="H16" s="42"/>
    </row>
    <row r="17" spans="1:8" customFormat="1" x14ac:dyDescent="0.25">
      <c r="A17" s="42"/>
      <c r="B17" s="271" t="s">
        <v>475</v>
      </c>
      <c r="C17" s="42"/>
      <c r="D17" s="42"/>
      <c r="E17" s="43"/>
      <c r="F17" s="42"/>
      <c r="G17" s="42"/>
      <c r="H17" s="42"/>
    </row>
    <row r="18" spans="1:8" customFormat="1" ht="24.75" thickBot="1" x14ac:dyDescent="0.3">
      <c r="A18" s="42"/>
      <c r="B18" s="258" t="s">
        <v>122</v>
      </c>
      <c r="C18" s="258" t="s">
        <v>123</v>
      </c>
      <c r="D18" s="258" t="s">
        <v>124</v>
      </c>
      <c r="E18" s="259" t="s">
        <v>125</v>
      </c>
      <c r="F18" s="260" t="s">
        <v>126</v>
      </c>
      <c r="G18" s="261" t="s">
        <v>51</v>
      </c>
      <c r="H18" s="261" t="s">
        <v>127</v>
      </c>
    </row>
    <row r="19" spans="1:8" customFormat="1" x14ac:dyDescent="0.25">
      <c r="A19" s="42"/>
      <c r="B19" s="163" t="s">
        <v>128</v>
      </c>
      <c r="C19" s="164"/>
      <c r="D19" s="164"/>
      <c r="E19" s="165"/>
      <c r="F19" s="166"/>
      <c r="G19" s="167"/>
      <c r="H19" s="168"/>
    </row>
    <row r="20" spans="1:8" customFormat="1" x14ac:dyDescent="0.25">
      <c r="A20" s="42"/>
      <c r="B20" s="254"/>
      <c r="C20" s="254"/>
      <c r="D20" s="254"/>
      <c r="E20" s="224"/>
      <c r="F20" s="160"/>
      <c r="G20" s="161"/>
      <c r="H20" s="162"/>
    </row>
    <row r="21" spans="1:8" customFormat="1" x14ac:dyDescent="0.25">
      <c r="A21" s="42"/>
      <c r="B21" s="173" t="s">
        <v>129</v>
      </c>
      <c r="C21" s="174"/>
      <c r="D21" s="174"/>
      <c r="E21" s="175"/>
      <c r="F21" s="176"/>
      <c r="G21" s="177"/>
      <c r="H21" s="178"/>
    </row>
    <row r="22" spans="1:8" customFormat="1" x14ac:dyDescent="0.25">
      <c r="A22" s="159" t="s">
        <v>48</v>
      </c>
      <c r="B22" s="254" t="s">
        <v>140</v>
      </c>
      <c r="C22" s="254" t="s">
        <v>141</v>
      </c>
      <c r="D22" s="254" t="s">
        <v>67</v>
      </c>
      <c r="E22" s="224">
        <v>35613</v>
      </c>
      <c r="F22" s="160">
        <v>285.27999999999997</v>
      </c>
      <c r="G22" s="161">
        <v>6.57</v>
      </c>
      <c r="H22" s="162"/>
    </row>
    <row r="23" spans="1:8" customFormat="1" x14ac:dyDescent="0.25">
      <c r="A23" s="159" t="s">
        <v>48</v>
      </c>
      <c r="B23" s="254" t="s">
        <v>146</v>
      </c>
      <c r="C23" s="254" t="s">
        <v>147</v>
      </c>
      <c r="D23" s="254" t="s">
        <v>111</v>
      </c>
      <c r="E23" s="224">
        <v>17269</v>
      </c>
      <c r="F23" s="160">
        <v>225.19</v>
      </c>
      <c r="G23" s="161">
        <v>5.19</v>
      </c>
      <c r="H23" s="162"/>
    </row>
    <row r="24" spans="1:8" customFormat="1" x14ac:dyDescent="0.25">
      <c r="A24" s="159" t="s">
        <v>48</v>
      </c>
      <c r="B24" s="254" t="s">
        <v>142</v>
      </c>
      <c r="C24" s="254" t="s">
        <v>143</v>
      </c>
      <c r="D24" s="254" t="s">
        <v>67</v>
      </c>
      <c r="E24" s="224">
        <v>13374</v>
      </c>
      <c r="F24" s="160">
        <v>188.76</v>
      </c>
      <c r="G24" s="161">
        <v>4.3499999999999996</v>
      </c>
      <c r="H24" s="162"/>
    </row>
    <row r="25" spans="1:8" customFormat="1" x14ac:dyDescent="0.25">
      <c r="A25" s="159" t="s">
        <v>48</v>
      </c>
      <c r="B25" s="254" t="s">
        <v>144</v>
      </c>
      <c r="C25" s="254" t="s">
        <v>145</v>
      </c>
      <c r="D25" s="254" t="s">
        <v>42</v>
      </c>
      <c r="E25" s="224">
        <v>9014</v>
      </c>
      <c r="F25" s="160">
        <v>172.2</v>
      </c>
      <c r="G25" s="161">
        <v>3.97</v>
      </c>
      <c r="H25" s="162"/>
    </row>
    <row r="26" spans="1:8" customFormat="1" x14ac:dyDescent="0.25">
      <c r="A26" s="159" t="s">
        <v>48</v>
      </c>
      <c r="B26" s="254" t="s">
        <v>154</v>
      </c>
      <c r="C26" s="254" t="s">
        <v>155</v>
      </c>
      <c r="D26" s="254" t="s">
        <v>67</v>
      </c>
      <c r="E26" s="224">
        <v>12652</v>
      </c>
      <c r="F26" s="160">
        <v>131.58000000000001</v>
      </c>
      <c r="G26" s="161">
        <v>3.03</v>
      </c>
      <c r="H26" s="162"/>
    </row>
    <row r="27" spans="1:8" customFormat="1" x14ac:dyDescent="0.25">
      <c r="A27" s="223"/>
      <c r="B27" s="254" t="s">
        <v>164</v>
      </c>
      <c r="C27" s="254" t="s">
        <v>165</v>
      </c>
      <c r="D27" s="254" t="s">
        <v>45</v>
      </c>
      <c r="E27" s="224">
        <v>5733</v>
      </c>
      <c r="F27" s="160">
        <v>109.2</v>
      </c>
      <c r="G27" s="161">
        <v>2.52</v>
      </c>
      <c r="H27" s="162"/>
    </row>
    <row r="28" spans="1:8" customFormat="1" x14ac:dyDescent="0.25">
      <c r="A28" s="159"/>
      <c r="B28" s="254" t="s">
        <v>152</v>
      </c>
      <c r="C28" s="254" t="s">
        <v>153</v>
      </c>
      <c r="D28" s="254" t="s">
        <v>44</v>
      </c>
      <c r="E28" s="224">
        <v>3391</v>
      </c>
      <c r="F28" s="160">
        <v>106.37</v>
      </c>
      <c r="G28" s="161">
        <v>2.4500000000000002</v>
      </c>
      <c r="H28" s="162"/>
    </row>
    <row r="29" spans="1:8" customFormat="1" x14ac:dyDescent="0.25">
      <c r="A29" s="42"/>
      <c r="B29" s="254" t="s">
        <v>150</v>
      </c>
      <c r="C29" s="254" t="s">
        <v>151</v>
      </c>
      <c r="D29" s="254" t="s">
        <v>105</v>
      </c>
      <c r="E29" s="224">
        <v>35864</v>
      </c>
      <c r="F29" s="160">
        <v>103.99</v>
      </c>
      <c r="G29" s="161">
        <v>2.4</v>
      </c>
      <c r="H29" s="162"/>
    </row>
    <row r="30" spans="1:8" customFormat="1" x14ac:dyDescent="0.25">
      <c r="A30" s="42"/>
      <c r="B30" s="254" t="s">
        <v>148</v>
      </c>
      <c r="C30" s="254" t="s">
        <v>149</v>
      </c>
      <c r="D30" s="254" t="s">
        <v>67</v>
      </c>
      <c r="E30" s="224">
        <v>7567</v>
      </c>
      <c r="F30" s="160">
        <v>101.56</v>
      </c>
      <c r="G30" s="161">
        <v>2.34</v>
      </c>
      <c r="H30" s="162"/>
    </row>
    <row r="31" spans="1:8" customFormat="1" x14ac:dyDescent="0.25">
      <c r="A31" s="42"/>
      <c r="B31" s="254" t="s">
        <v>294</v>
      </c>
      <c r="C31" s="254" t="s">
        <v>295</v>
      </c>
      <c r="D31" s="254" t="s">
        <v>43</v>
      </c>
      <c r="E31" s="224">
        <v>8250</v>
      </c>
      <c r="F31" s="160">
        <v>85.09</v>
      </c>
      <c r="G31" s="161">
        <v>1.96</v>
      </c>
      <c r="H31" s="162"/>
    </row>
    <row r="32" spans="1:8" customFormat="1" x14ac:dyDescent="0.25">
      <c r="A32" s="42"/>
      <c r="B32" s="254" t="s">
        <v>168</v>
      </c>
      <c r="C32" s="254" t="s">
        <v>169</v>
      </c>
      <c r="D32" s="254" t="s">
        <v>50</v>
      </c>
      <c r="E32" s="224">
        <v>8113</v>
      </c>
      <c r="F32" s="160">
        <v>84.96</v>
      </c>
      <c r="G32" s="161">
        <v>1.96</v>
      </c>
      <c r="H32" s="162"/>
    </row>
    <row r="33" spans="1:8" customFormat="1" x14ac:dyDescent="0.25">
      <c r="A33" s="42"/>
      <c r="B33" s="254" t="s">
        <v>194</v>
      </c>
      <c r="C33" s="254" t="s">
        <v>389</v>
      </c>
      <c r="D33" s="254" t="s">
        <v>67</v>
      </c>
      <c r="E33" s="224">
        <v>20860</v>
      </c>
      <c r="F33" s="160">
        <v>82.76</v>
      </c>
      <c r="G33" s="161">
        <v>1.91</v>
      </c>
      <c r="H33" s="162"/>
    </row>
    <row r="34" spans="1:8" customFormat="1" x14ac:dyDescent="0.25">
      <c r="A34" s="42"/>
      <c r="B34" s="254" t="s">
        <v>199</v>
      </c>
      <c r="C34" s="254" t="s">
        <v>200</v>
      </c>
      <c r="D34" s="254" t="s">
        <v>50</v>
      </c>
      <c r="E34" s="224">
        <v>6377</v>
      </c>
      <c r="F34" s="160">
        <v>72.63</v>
      </c>
      <c r="G34" s="161">
        <v>1.67</v>
      </c>
      <c r="H34" s="162"/>
    </row>
    <row r="35" spans="1:8" customFormat="1" x14ac:dyDescent="0.25">
      <c r="A35" s="42"/>
      <c r="B35" s="254" t="s">
        <v>176</v>
      </c>
      <c r="C35" s="254" t="s">
        <v>177</v>
      </c>
      <c r="D35" s="254" t="s">
        <v>113</v>
      </c>
      <c r="E35" s="224">
        <v>8430</v>
      </c>
      <c r="F35" s="160">
        <v>70.69</v>
      </c>
      <c r="G35" s="161">
        <v>1.63</v>
      </c>
      <c r="H35" s="162"/>
    </row>
    <row r="36" spans="1:8" customFormat="1" x14ac:dyDescent="0.25">
      <c r="A36" s="42"/>
      <c r="B36" s="254" t="s">
        <v>186</v>
      </c>
      <c r="C36" s="254" t="s">
        <v>187</v>
      </c>
      <c r="D36" s="254" t="s">
        <v>47</v>
      </c>
      <c r="E36" s="224">
        <v>15857</v>
      </c>
      <c r="F36" s="160">
        <v>66.290000000000006</v>
      </c>
      <c r="G36" s="161">
        <v>1.53</v>
      </c>
      <c r="H36" s="162"/>
    </row>
    <row r="37" spans="1:8" customFormat="1" x14ac:dyDescent="0.25">
      <c r="A37" s="42"/>
      <c r="B37" s="254" t="s">
        <v>158</v>
      </c>
      <c r="C37" s="254" t="s">
        <v>159</v>
      </c>
      <c r="D37" s="254" t="s">
        <v>43</v>
      </c>
      <c r="E37" s="224">
        <v>594</v>
      </c>
      <c r="F37" s="160">
        <v>65.81</v>
      </c>
      <c r="G37" s="161">
        <v>1.52</v>
      </c>
      <c r="H37" s="162"/>
    </row>
    <row r="38" spans="1:8" customFormat="1" x14ac:dyDescent="0.25">
      <c r="A38" s="42"/>
      <c r="B38" s="254" t="s">
        <v>182</v>
      </c>
      <c r="C38" s="254" t="s">
        <v>183</v>
      </c>
      <c r="D38" s="254" t="s">
        <v>93</v>
      </c>
      <c r="E38" s="224">
        <v>1188</v>
      </c>
      <c r="F38" s="160">
        <v>64.47</v>
      </c>
      <c r="G38" s="161">
        <v>1.49</v>
      </c>
      <c r="H38" s="162"/>
    </row>
    <row r="39" spans="1:8" customFormat="1" x14ac:dyDescent="0.25">
      <c r="A39" s="42"/>
      <c r="B39" s="254" t="s">
        <v>272</v>
      </c>
      <c r="C39" s="254" t="s">
        <v>273</v>
      </c>
      <c r="D39" s="254" t="s">
        <v>274</v>
      </c>
      <c r="E39" s="224">
        <v>17920</v>
      </c>
      <c r="F39" s="160">
        <v>50.47</v>
      </c>
      <c r="G39" s="161">
        <v>1.1599999999999999</v>
      </c>
      <c r="H39" s="162"/>
    </row>
    <row r="40" spans="1:8" customFormat="1" x14ac:dyDescent="0.25">
      <c r="A40" s="42"/>
      <c r="B40" s="254" t="s">
        <v>162</v>
      </c>
      <c r="C40" s="254" t="s">
        <v>163</v>
      </c>
      <c r="D40" s="254" t="s">
        <v>94</v>
      </c>
      <c r="E40" s="224">
        <v>1245</v>
      </c>
      <c r="F40" s="160">
        <v>50.13</v>
      </c>
      <c r="G40" s="161">
        <v>1.1599999999999999</v>
      </c>
      <c r="H40" s="162"/>
    </row>
    <row r="41" spans="1:8" customFormat="1" x14ac:dyDescent="0.25">
      <c r="A41" s="42"/>
      <c r="B41" s="254" t="s">
        <v>192</v>
      </c>
      <c r="C41" s="254" t="s">
        <v>193</v>
      </c>
      <c r="D41" s="254" t="s">
        <v>109</v>
      </c>
      <c r="E41" s="224">
        <v>16742</v>
      </c>
      <c r="F41" s="160">
        <v>48.19</v>
      </c>
      <c r="G41" s="161">
        <v>1.1100000000000001</v>
      </c>
      <c r="H41" s="162"/>
    </row>
    <row r="42" spans="1:8" customFormat="1" x14ac:dyDescent="0.25">
      <c r="A42" s="42"/>
      <c r="B42" s="254" t="s">
        <v>180</v>
      </c>
      <c r="C42" s="254" t="s">
        <v>181</v>
      </c>
      <c r="D42" s="254" t="s">
        <v>44</v>
      </c>
      <c r="E42" s="224">
        <v>331</v>
      </c>
      <c r="F42" s="160">
        <v>47.55</v>
      </c>
      <c r="G42" s="161">
        <v>1.1000000000000001</v>
      </c>
      <c r="H42" s="162"/>
    </row>
    <row r="43" spans="1:8" customFormat="1" x14ac:dyDescent="0.25">
      <c r="A43" s="42"/>
      <c r="B43" s="254" t="s">
        <v>221</v>
      </c>
      <c r="C43" s="254" t="s">
        <v>222</v>
      </c>
      <c r="D43" s="254" t="s">
        <v>108</v>
      </c>
      <c r="E43" s="224">
        <v>10353</v>
      </c>
      <c r="F43" s="160">
        <v>45.91</v>
      </c>
      <c r="G43" s="161">
        <v>1.06</v>
      </c>
      <c r="H43" s="162"/>
    </row>
    <row r="44" spans="1:8" customFormat="1" x14ac:dyDescent="0.25">
      <c r="A44" s="42"/>
      <c r="B44" s="254" t="s">
        <v>203</v>
      </c>
      <c r="C44" s="254" t="s">
        <v>204</v>
      </c>
      <c r="D44" s="254" t="s">
        <v>130</v>
      </c>
      <c r="E44" s="224">
        <v>8866</v>
      </c>
      <c r="F44" s="160">
        <v>45.73</v>
      </c>
      <c r="G44" s="161">
        <v>1.05</v>
      </c>
      <c r="H44" s="162"/>
    </row>
    <row r="45" spans="1:8" customFormat="1" x14ac:dyDescent="0.25">
      <c r="A45" s="42"/>
      <c r="B45" s="254" t="s">
        <v>156</v>
      </c>
      <c r="C45" s="254" t="s">
        <v>157</v>
      </c>
      <c r="D45" s="254" t="s">
        <v>50</v>
      </c>
      <c r="E45" s="224">
        <v>2158</v>
      </c>
      <c r="F45" s="160">
        <v>45.18</v>
      </c>
      <c r="G45" s="161">
        <v>1.04</v>
      </c>
      <c r="H45" s="162"/>
    </row>
    <row r="46" spans="1:8" customFormat="1" x14ac:dyDescent="0.25">
      <c r="A46" s="42"/>
      <c r="B46" s="254" t="s">
        <v>338</v>
      </c>
      <c r="C46" s="254" t="s">
        <v>339</v>
      </c>
      <c r="D46" s="254" t="s">
        <v>66</v>
      </c>
      <c r="E46" s="224">
        <v>3102</v>
      </c>
      <c r="F46" s="160">
        <v>44.67</v>
      </c>
      <c r="G46" s="161">
        <v>1.03</v>
      </c>
      <c r="H46" s="162"/>
    </row>
    <row r="47" spans="1:8" customFormat="1" x14ac:dyDescent="0.25">
      <c r="A47" s="42"/>
      <c r="B47" s="254" t="s">
        <v>188</v>
      </c>
      <c r="C47" s="254" t="s">
        <v>189</v>
      </c>
      <c r="D47" s="254" t="s">
        <v>109</v>
      </c>
      <c r="E47" s="224">
        <v>12281</v>
      </c>
      <c r="F47" s="160">
        <v>43.78</v>
      </c>
      <c r="G47" s="161">
        <v>1.01</v>
      </c>
      <c r="H47" s="162"/>
    </row>
    <row r="48" spans="1:8" customFormat="1" x14ac:dyDescent="0.25">
      <c r="A48" s="42"/>
      <c r="B48" s="254" t="s">
        <v>374</v>
      </c>
      <c r="C48" s="254" t="s">
        <v>375</v>
      </c>
      <c r="D48" s="254" t="s">
        <v>121</v>
      </c>
      <c r="E48" s="224">
        <v>2337</v>
      </c>
      <c r="F48" s="160">
        <v>41.8</v>
      </c>
      <c r="G48" s="161">
        <v>0.96</v>
      </c>
      <c r="H48" s="162"/>
    </row>
    <row r="49" spans="1:8" customFormat="1" x14ac:dyDescent="0.25">
      <c r="A49" s="42"/>
      <c r="B49" s="254" t="s">
        <v>195</v>
      </c>
      <c r="C49" s="254" t="s">
        <v>196</v>
      </c>
      <c r="D49" s="254" t="s">
        <v>45</v>
      </c>
      <c r="E49" s="224">
        <v>2652</v>
      </c>
      <c r="F49" s="160">
        <v>38.67</v>
      </c>
      <c r="G49" s="161">
        <v>0.89</v>
      </c>
      <c r="H49" s="162"/>
    </row>
    <row r="50" spans="1:8" customFormat="1" x14ac:dyDescent="0.25">
      <c r="A50" s="42"/>
      <c r="B50" s="254" t="s">
        <v>342</v>
      </c>
      <c r="C50" s="254" t="s">
        <v>343</v>
      </c>
      <c r="D50" s="254" t="s">
        <v>114</v>
      </c>
      <c r="E50" s="224">
        <v>1576</v>
      </c>
      <c r="F50" s="160">
        <v>36.93</v>
      </c>
      <c r="G50" s="161">
        <v>0.85</v>
      </c>
      <c r="H50" s="162"/>
    </row>
    <row r="51" spans="1:8" customFormat="1" x14ac:dyDescent="0.25">
      <c r="A51" s="42"/>
      <c r="B51" s="254" t="s">
        <v>235</v>
      </c>
      <c r="C51" s="254" t="s">
        <v>236</v>
      </c>
      <c r="D51" s="254" t="s">
        <v>94</v>
      </c>
      <c r="E51" s="224">
        <v>2483</v>
      </c>
      <c r="F51" s="160">
        <v>34.36</v>
      </c>
      <c r="G51" s="161">
        <v>0.79</v>
      </c>
      <c r="H51" s="162"/>
    </row>
    <row r="52" spans="1:8" customFormat="1" x14ac:dyDescent="0.25">
      <c r="A52" s="42"/>
      <c r="B52" s="254" t="s">
        <v>359</v>
      </c>
      <c r="C52" s="254" t="s">
        <v>360</v>
      </c>
      <c r="D52" s="254" t="s">
        <v>65</v>
      </c>
      <c r="E52" s="224">
        <v>13317</v>
      </c>
      <c r="F52" s="160">
        <v>34.06</v>
      </c>
      <c r="G52" s="161">
        <v>0.78</v>
      </c>
      <c r="H52" s="162"/>
    </row>
    <row r="53" spans="1:8" customFormat="1" x14ac:dyDescent="0.25">
      <c r="A53" s="42"/>
      <c r="B53" s="254" t="s">
        <v>352</v>
      </c>
      <c r="C53" s="254" t="s">
        <v>353</v>
      </c>
      <c r="D53" s="254" t="s">
        <v>45</v>
      </c>
      <c r="E53" s="224">
        <v>928</v>
      </c>
      <c r="F53" s="160">
        <v>30.87</v>
      </c>
      <c r="G53" s="161">
        <v>0.71</v>
      </c>
      <c r="H53" s="162"/>
    </row>
    <row r="54" spans="1:8" customFormat="1" x14ac:dyDescent="0.25">
      <c r="A54" s="42"/>
      <c r="B54" s="254" t="s">
        <v>170</v>
      </c>
      <c r="C54" s="254" t="s">
        <v>171</v>
      </c>
      <c r="D54" s="254" t="s">
        <v>44</v>
      </c>
      <c r="E54" s="224">
        <v>420</v>
      </c>
      <c r="F54" s="160">
        <v>30.83</v>
      </c>
      <c r="G54" s="161">
        <v>0.71</v>
      </c>
      <c r="H54" s="162"/>
    </row>
    <row r="55" spans="1:8" customFormat="1" x14ac:dyDescent="0.25">
      <c r="A55" s="42"/>
      <c r="B55" s="254" t="s">
        <v>227</v>
      </c>
      <c r="C55" s="254" t="s">
        <v>228</v>
      </c>
      <c r="D55" s="254" t="s">
        <v>114</v>
      </c>
      <c r="E55" s="224">
        <v>1355</v>
      </c>
      <c r="F55" s="160">
        <v>30.23</v>
      </c>
      <c r="G55" s="161">
        <v>0.7</v>
      </c>
      <c r="H55" s="162"/>
    </row>
    <row r="56" spans="1:8" customFormat="1" x14ac:dyDescent="0.25">
      <c r="A56" s="42"/>
      <c r="B56" s="254" t="s">
        <v>241</v>
      </c>
      <c r="C56" s="254" t="s">
        <v>242</v>
      </c>
      <c r="D56" s="254" t="s">
        <v>135</v>
      </c>
      <c r="E56" s="224">
        <v>1608</v>
      </c>
      <c r="F56" s="160">
        <v>30.14</v>
      </c>
      <c r="G56" s="161">
        <v>0.69</v>
      </c>
      <c r="H56" s="162"/>
    </row>
    <row r="57" spans="1:8" customFormat="1" x14ac:dyDescent="0.25">
      <c r="A57" s="42"/>
      <c r="B57" s="254" t="s">
        <v>340</v>
      </c>
      <c r="C57" s="254" t="s">
        <v>341</v>
      </c>
      <c r="D57" s="254" t="s">
        <v>68</v>
      </c>
      <c r="E57" s="224">
        <v>16084</v>
      </c>
      <c r="F57" s="160">
        <v>29.95</v>
      </c>
      <c r="G57" s="161">
        <v>0.69</v>
      </c>
      <c r="H57" s="162"/>
    </row>
    <row r="58" spans="1:8" customFormat="1" x14ac:dyDescent="0.25">
      <c r="A58" s="42"/>
      <c r="B58" s="254" t="s">
        <v>209</v>
      </c>
      <c r="C58" s="254" t="s">
        <v>210</v>
      </c>
      <c r="D58" s="254" t="s">
        <v>43</v>
      </c>
      <c r="E58" s="224">
        <v>8014</v>
      </c>
      <c r="F58" s="160">
        <v>29.26</v>
      </c>
      <c r="G58" s="161">
        <v>0.67</v>
      </c>
      <c r="H58" s="162"/>
    </row>
    <row r="59" spans="1:8" customFormat="1" x14ac:dyDescent="0.25">
      <c r="A59" s="42"/>
      <c r="B59" s="254" t="s">
        <v>229</v>
      </c>
      <c r="C59" s="254" t="s">
        <v>230</v>
      </c>
      <c r="D59" s="254" t="s">
        <v>120</v>
      </c>
      <c r="E59" s="224">
        <v>6820</v>
      </c>
      <c r="F59" s="160">
        <v>28.79</v>
      </c>
      <c r="G59" s="161">
        <v>0.66</v>
      </c>
      <c r="H59" s="162"/>
    </row>
    <row r="60" spans="1:8" customFormat="1" x14ac:dyDescent="0.25">
      <c r="A60" s="42"/>
      <c r="B60" s="254" t="s">
        <v>178</v>
      </c>
      <c r="C60" s="254" t="s">
        <v>179</v>
      </c>
      <c r="D60" s="254" t="s">
        <v>44</v>
      </c>
      <c r="E60" s="224">
        <v>764</v>
      </c>
      <c r="F60" s="160">
        <v>27.71</v>
      </c>
      <c r="G60" s="161">
        <v>0.64</v>
      </c>
      <c r="H60" s="162"/>
    </row>
    <row r="61" spans="1:8" customFormat="1" x14ac:dyDescent="0.25">
      <c r="A61" s="42"/>
      <c r="B61" s="254" t="s">
        <v>298</v>
      </c>
      <c r="C61" s="254" t="s">
        <v>299</v>
      </c>
      <c r="D61" s="254" t="s">
        <v>45</v>
      </c>
      <c r="E61" s="224">
        <v>390</v>
      </c>
      <c r="F61" s="160">
        <v>26.35</v>
      </c>
      <c r="G61" s="161">
        <v>0.61</v>
      </c>
      <c r="H61" s="162"/>
    </row>
    <row r="62" spans="1:8" customFormat="1" x14ac:dyDescent="0.25">
      <c r="A62" s="42"/>
      <c r="B62" s="254" t="s">
        <v>414</v>
      </c>
      <c r="C62" s="254" t="s">
        <v>415</v>
      </c>
      <c r="D62" s="254" t="s">
        <v>118</v>
      </c>
      <c r="E62" s="224">
        <v>2315</v>
      </c>
      <c r="F62" s="160">
        <v>25.85</v>
      </c>
      <c r="G62" s="161">
        <v>0.6</v>
      </c>
      <c r="H62" s="162"/>
    </row>
    <row r="63" spans="1:8" customFormat="1" x14ac:dyDescent="0.25">
      <c r="A63" s="42"/>
      <c r="B63" s="254" t="s">
        <v>239</v>
      </c>
      <c r="C63" s="254" t="s">
        <v>240</v>
      </c>
      <c r="D63" s="254" t="s">
        <v>120</v>
      </c>
      <c r="E63" s="224">
        <v>10701</v>
      </c>
      <c r="F63" s="160">
        <v>25.45</v>
      </c>
      <c r="G63" s="161">
        <v>0.59</v>
      </c>
      <c r="H63" s="162"/>
    </row>
    <row r="64" spans="1:8" customFormat="1" x14ac:dyDescent="0.25">
      <c r="A64" s="42"/>
      <c r="B64" s="254" t="s">
        <v>290</v>
      </c>
      <c r="C64" s="254" t="s">
        <v>291</v>
      </c>
      <c r="D64" s="254" t="s">
        <v>118</v>
      </c>
      <c r="E64" s="224">
        <v>3028</v>
      </c>
      <c r="F64" s="160">
        <v>22.48</v>
      </c>
      <c r="G64" s="161">
        <v>0.52</v>
      </c>
      <c r="H64" s="162"/>
    </row>
    <row r="65" spans="1:8" customFormat="1" x14ac:dyDescent="0.25">
      <c r="A65" s="42"/>
      <c r="B65" s="254" t="s">
        <v>211</v>
      </c>
      <c r="C65" s="254" t="s">
        <v>212</v>
      </c>
      <c r="D65" s="254" t="s">
        <v>115</v>
      </c>
      <c r="E65" s="224">
        <v>23336</v>
      </c>
      <c r="F65" s="160">
        <v>19.93</v>
      </c>
      <c r="G65" s="161">
        <v>0.46</v>
      </c>
      <c r="H65" s="162"/>
    </row>
    <row r="66" spans="1:8" customFormat="1" x14ac:dyDescent="0.25">
      <c r="A66" s="42"/>
      <c r="B66" s="254" t="s">
        <v>197</v>
      </c>
      <c r="C66" s="254" t="s">
        <v>198</v>
      </c>
      <c r="D66" s="254" t="s">
        <v>106</v>
      </c>
      <c r="E66" s="224">
        <v>560</v>
      </c>
      <c r="F66" s="160">
        <v>19.8</v>
      </c>
      <c r="G66" s="161">
        <v>0.46</v>
      </c>
      <c r="H66" s="162"/>
    </row>
    <row r="67" spans="1:8" customFormat="1" x14ac:dyDescent="0.25">
      <c r="A67" s="42"/>
      <c r="B67" s="254" t="s">
        <v>243</v>
      </c>
      <c r="C67" s="254" t="s">
        <v>244</v>
      </c>
      <c r="D67" s="254" t="s">
        <v>95</v>
      </c>
      <c r="E67" s="224">
        <v>956</v>
      </c>
      <c r="F67" s="160">
        <v>19.45</v>
      </c>
      <c r="G67" s="161">
        <v>0.45</v>
      </c>
      <c r="H67" s="162"/>
    </row>
    <row r="68" spans="1:8" customFormat="1" x14ac:dyDescent="0.25">
      <c r="A68" s="42"/>
      <c r="B68" s="254" t="s">
        <v>286</v>
      </c>
      <c r="C68" s="254" t="s">
        <v>287</v>
      </c>
      <c r="D68" s="254" t="s">
        <v>113</v>
      </c>
      <c r="E68" s="224">
        <v>5064</v>
      </c>
      <c r="F68" s="160">
        <v>19.2</v>
      </c>
      <c r="G68" s="161">
        <v>0.44</v>
      </c>
      <c r="H68" s="162"/>
    </row>
    <row r="69" spans="1:8" customFormat="1" x14ac:dyDescent="0.25">
      <c r="A69" s="42"/>
      <c r="B69" s="254" t="s">
        <v>420</v>
      </c>
      <c r="C69" s="254" t="s">
        <v>421</v>
      </c>
      <c r="D69" s="254" t="s">
        <v>68</v>
      </c>
      <c r="E69" s="224">
        <v>10049</v>
      </c>
      <c r="F69" s="160">
        <v>17.88</v>
      </c>
      <c r="G69" s="161">
        <v>0.41</v>
      </c>
      <c r="H69" s="162"/>
    </row>
    <row r="70" spans="1:8" customFormat="1" x14ac:dyDescent="0.25">
      <c r="A70" s="42"/>
      <c r="B70" s="254" t="s">
        <v>354</v>
      </c>
      <c r="C70" s="254" t="s">
        <v>355</v>
      </c>
      <c r="D70" s="254" t="s">
        <v>356</v>
      </c>
      <c r="E70" s="224">
        <v>2317</v>
      </c>
      <c r="F70" s="160">
        <v>15.86</v>
      </c>
      <c r="G70" s="161">
        <v>0.37</v>
      </c>
      <c r="H70" s="162"/>
    </row>
    <row r="71" spans="1:8" customFormat="1" x14ac:dyDescent="0.25">
      <c r="A71" s="42"/>
      <c r="B71" s="254" t="s">
        <v>422</v>
      </c>
      <c r="C71" s="254" t="s">
        <v>423</v>
      </c>
      <c r="D71" s="254" t="s">
        <v>424</v>
      </c>
      <c r="E71" s="224">
        <v>3554</v>
      </c>
      <c r="F71" s="160">
        <v>14.93</v>
      </c>
      <c r="G71" s="161">
        <v>0.34</v>
      </c>
      <c r="H71" s="162"/>
    </row>
    <row r="72" spans="1:8" customFormat="1" x14ac:dyDescent="0.25">
      <c r="A72" s="42"/>
      <c r="B72" s="254" t="s">
        <v>367</v>
      </c>
      <c r="C72" s="254" t="s">
        <v>368</v>
      </c>
      <c r="D72" s="254" t="s">
        <v>369</v>
      </c>
      <c r="E72" s="224">
        <v>36028</v>
      </c>
      <c r="F72" s="160">
        <v>14.76</v>
      </c>
      <c r="G72" s="161">
        <v>0.34</v>
      </c>
      <c r="H72" s="162"/>
    </row>
    <row r="73" spans="1:8" customFormat="1" x14ac:dyDescent="0.25">
      <c r="A73" s="42"/>
      <c r="B73" s="254" t="s">
        <v>390</v>
      </c>
      <c r="C73" s="254" t="s">
        <v>391</v>
      </c>
      <c r="D73" s="254" t="s">
        <v>46</v>
      </c>
      <c r="E73" s="224">
        <v>2190</v>
      </c>
      <c r="F73" s="160">
        <v>14.46</v>
      </c>
      <c r="G73" s="161">
        <v>0.33</v>
      </c>
      <c r="H73" s="162"/>
    </row>
    <row r="74" spans="1:8" customFormat="1" x14ac:dyDescent="0.25">
      <c r="A74" s="42"/>
      <c r="B74" s="254" t="s">
        <v>435</v>
      </c>
      <c r="C74" s="254" t="s">
        <v>436</v>
      </c>
      <c r="D74" s="254" t="s">
        <v>117</v>
      </c>
      <c r="E74" s="224">
        <v>823</v>
      </c>
      <c r="F74" s="160">
        <v>13.57</v>
      </c>
      <c r="G74" s="161">
        <v>0.31</v>
      </c>
      <c r="H74" s="162"/>
    </row>
    <row r="75" spans="1:8" customFormat="1" x14ac:dyDescent="0.25">
      <c r="A75" s="42"/>
      <c r="B75" s="254" t="s">
        <v>278</v>
      </c>
      <c r="C75" s="254" t="s">
        <v>279</v>
      </c>
      <c r="D75" s="254" t="s">
        <v>43</v>
      </c>
      <c r="E75" s="224">
        <v>424</v>
      </c>
      <c r="F75" s="160">
        <v>12.95</v>
      </c>
      <c r="G75" s="161">
        <v>0.3</v>
      </c>
      <c r="H75" s="162"/>
    </row>
    <row r="76" spans="1:8" customFormat="1" x14ac:dyDescent="0.25">
      <c r="A76" s="42"/>
      <c r="B76" s="254" t="s">
        <v>416</v>
      </c>
      <c r="C76" s="254" t="s">
        <v>417</v>
      </c>
      <c r="D76" s="254" t="s">
        <v>418</v>
      </c>
      <c r="E76" s="224">
        <v>810</v>
      </c>
      <c r="F76" s="160">
        <v>12.89</v>
      </c>
      <c r="G76" s="161">
        <v>0.3</v>
      </c>
      <c r="H76" s="162"/>
    </row>
    <row r="77" spans="1:8" customFormat="1" x14ac:dyDescent="0.25">
      <c r="A77" s="42"/>
      <c r="B77" s="254" t="s">
        <v>384</v>
      </c>
      <c r="C77" s="254" t="s">
        <v>385</v>
      </c>
      <c r="D77" s="254" t="s">
        <v>45</v>
      </c>
      <c r="E77" s="224">
        <v>2790</v>
      </c>
      <c r="F77" s="160">
        <v>12.68</v>
      </c>
      <c r="G77" s="161">
        <v>0.28999999999999998</v>
      </c>
      <c r="H77" s="162"/>
    </row>
    <row r="78" spans="1:8" customFormat="1" x14ac:dyDescent="0.25">
      <c r="A78" s="42"/>
      <c r="B78" s="254" t="s">
        <v>217</v>
      </c>
      <c r="C78" s="254" t="s">
        <v>218</v>
      </c>
      <c r="D78" s="254" t="s">
        <v>121</v>
      </c>
      <c r="E78" s="224">
        <v>2035</v>
      </c>
      <c r="F78" s="160">
        <v>11.55</v>
      </c>
      <c r="G78" s="161">
        <v>0.27</v>
      </c>
      <c r="H78" s="162"/>
    </row>
    <row r="79" spans="1:8" customFormat="1" x14ac:dyDescent="0.25">
      <c r="A79" s="42"/>
      <c r="B79" s="254" t="s">
        <v>348</v>
      </c>
      <c r="C79" s="254" t="s">
        <v>349</v>
      </c>
      <c r="D79" s="254" t="s">
        <v>274</v>
      </c>
      <c r="E79" s="224">
        <v>3570</v>
      </c>
      <c r="F79" s="160">
        <v>8.86</v>
      </c>
      <c r="G79" s="161">
        <v>0.2</v>
      </c>
      <c r="H79" s="162"/>
    </row>
    <row r="80" spans="1:8" customFormat="1" x14ac:dyDescent="0.25">
      <c r="A80" s="42"/>
      <c r="B80" s="254" t="s">
        <v>160</v>
      </c>
      <c r="C80" s="254" t="s">
        <v>161</v>
      </c>
      <c r="D80" s="254" t="s">
        <v>111</v>
      </c>
      <c r="E80" s="224">
        <v>2782</v>
      </c>
      <c r="F80" s="160">
        <v>8.57</v>
      </c>
      <c r="G80" s="161">
        <v>0.2</v>
      </c>
      <c r="H80" s="162"/>
    </row>
    <row r="81" spans="1:8" customFormat="1" x14ac:dyDescent="0.25">
      <c r="A81" s="42"/>
      <c r="B81" s="254" t="s">
        <v>306</v>
      </c>
      <c r="C81" s="254" t="s">
        <v>307</v>
      </c>
      <c r="D81" s="254" t="s">
        <v>119</v>
      </c>
      <c r="E81" s="224">
        <v>1883</v>
      </c>
      <c r="F81" s="160">
        <v>8.26</v>
      </c>
      <c r="G81" s="161">
        <v>0.19</v>
      </c>
      <c r="H81" s="162"/>
    </row>
    <row r="82" spans="1:8" customFormat="1" x14ac:dyDescent="0.25">
      <c r="A82" s="42"/>
      <c r="B82" s="254" t="s">
        <v>372</v>
      </c>
      <c r="C82" s="254" t="s">
        <v>373</v>
      </c>
      <c r="D82" s="254" t="s">
        <v>94</v>
      </c>
      <c r="E82" s="224">
        <v>306</v>
      </c>
      <c r="F82" s="160">
        <v>8.0500000000000007</v>
      </c>
      <c r="G82" s="161">
        <v>0.19</v>
      </c>
      <c r="H82" s="162"/>
    </row>
    <row r="83" spans="1:8" customFormat="1" x14ac:dyDescent="0.25">
      <c r="A83" s="42"/>
      <c r="B83" s="254" t="s">
        <v>447</v>
      </c>
      <c r="C83" s="254" t="s">
        <v>448</v>
      </c>
      <c r="D83" s="254" t="s">
        <v>345</v>
      </c>
      <c r="E83" s="224">
        <v>318</v>
      </c>
      <c r="F83" s="160">
        <v>7.93</v>
      </c>
      <c r="G83" s="161">
        <v>0.18</v>
      </c>
      <c r="H83" s="162"/>
    </row>
    <row r="84" spans="1:8" customFormat="1" x14ac:dyDescent="0.25">
      <c r="A84" s="42"/>
      <c r="B84" s="254" t="s">
        <v>288</v>
      </c>
      <c r="C84" s="254" t="s">
        <v>289</v>
      </c>
      <c r="D84" s="254" t="s">
        <v>66</v>
      </c>
      <c r="E84" s="224">
        <v>933</v>
      </c>
      <c r="F84" s="160">
        <v>5.25</v>
      </c>
      <c r="G84" s="161">
        <v>0.12</v>
      </c>
      <c r="H84" s="162"/>
    </row>
    <row r="85" spans="1:8" customFormat="1" x14ac:dyDescent="0.25">
      <c r="A85" s="42"/>
      <c r="B85" s="254" t="s">
        <v>280</v>
      </c>
      <c r="C85" s="254" t="s">
        <v>281</v>
      </c>
      <c r="D85" s="254" t="s">
        <v>111</v>
      </c>
      <c r="E85" s="224">
        <v>607</v>
      </c>
      <c r="F85" s="160">
        <v>2.42</v>
      </c>
      <c r="G85" s="161">
        <v>0.06</v>
      </c>
      <c r="H85" s="162"/>
    </row>
    <row r="86" spans="1:8" customFormat="1" x14ac:dyDescent="0.25">
      <c r="A86" s="42"/>
      <c r="B86" s="254" t="s">
        <v>225</v>
      </c>
      <c r="C86" s="254" t="s">
        <v>226</v>
      </c>
      <c r="D86" s="254" t="s">
        <v>65</v>
      </c>
      <c r="E86" s="224">
        <v>255</v>
      </c>
      <c r="F86" s="160">
        <v>2.2400000000000002</v>
      </c>
      <c r="G86" s="161">
        <v>0.05</v>
      </c>
      <c r="H86" s="162"/>
    </row>
    <row r="87" spans="1:8" customFormat="1" x14ac:dyDescent="0.25">
      <c r="A87" s="42"/>
      <c r="B87" s="254" t="s">
        <v>357</v>
      </c>
      <c r="C87" s="254" t="s">
        <v>358</v>
      </c>
      <c r="D87" s="254" t="s">
        <v>345</v>
      </c>
      <c r="E87" s="224">
        <v>75</v>
      </c>
      <c r="F87" s="160">
        <v>1.1599999999999999</v>
      </c>
      <c r="G87" s="161">
        <v>0.03</v>
      </c>
      <c r="H87" s="162"/>
    </row>
    <row r="88" spans="1:8" customFormat="1" x14ac:dyDescent="0.25">
      <c r="A88" s="42"/>
      <c r="B88" s="169" t="s">
        <v>245</v>
      </c>
      <c r="C88" s="169"/>
      <c r="D88" s="169"/>
      <c r="E88" s="170"/>
      <c r="F88" s="262">
        <v>3234.82</v>
      </c>
      <c r="G88" s="263">
        <v>74.56</v>
      </c>
      <c r="H88" s="171"/>
    </row>
    <row r="89" spans="1:8" customFormat="1" x14ac:dyDescent="0.25">
      <c r="A89" s="42"/>
      <c r="B89" s="254"/>
      <c r="C89" s="254"/>
      <c r="D89" s="254"/>
      <c r="E89" s="224"/>
      <c r="F89" s="160"/>
      <c r="G89" s="161"/>
      <c r="H89" s="162"/>
    </row>
    <row r="90" spans="1:8" customFormat="1" x14ac:dyDescent="0.25">
      <c r="A90" s="42"/>
      <c r="B90" s="173" t="s">
        <v>246</v>
      </c>
      <c r="C90" s="174"/>
      <c r="D90" s="174"/>
      <c r="E90" s="175"/>
      <c r="F90" s="176"/>
      <c r="G90" s="177"/>
      <c r="H90" s="178"/>
    </row>
    <row r="91" spans="1:8" customFormat="1" x14ac:dyDescent="0.25">
      <c r="A91" s="42"/>
      <c r="B91" s="254"/>
      <c r="C91" s="254"/>
      <c r="D91" s="254"/>
      <c r="E91" s="224"/>
      <c r="F91" s="161">
        <v>0</v>
      </c>
      <c r="G91" s="161">
        <v>0</v>
      </c>
      <c r="H91" s="162"/>
    </row>
    <row r="92" spans="1:8" customFormat="1" x14ac:dyDescent="0.25">
      <c r="A92" s="42"/>
      <c r="B92" s="169" t="s">
        <v>245</v>
      </c>
      <c r="C92" s="254"/>
      <c r="D92" s="254"/>
      <c r="E92" s="224"/>
      <c r="F92" s="264" t="s">
        <v>247</v>
      </c>
      <c r="G92" s="264" t="s">
        <v>247</v>
      </c>
      <c r="H92" s="162"/>
    </row>
    <row r="93" spans="1:8" customFormat="1" x14ac:dyDescent="0.25">
      <c r="A93" s="42"/>
      <c r="B93" s="254"/>
      <c r="C93" s="254"/>
      <c r="D93" s="254"/>
      <c r="E93" s="224"/>
      <c r="F93" s="160"/>
      <c r="G93" s="161"/>
      <c r="H93" s="162"/>
    </row>
    <row r="94" spans="1:8" customFormat="1" x14ac:dyDescent="0.25">
      <c r="A94" s="42"/>
      <c r="B94" s="265" t="s">
        <v>248</v>
      </c>
      <c r="C94" s="266"/>
      <c r="D94" s="266"/>
      <c r="E94" s="267"/>
      <c r="F94" s="262">
        <v>3234.82</v>
      </c>
      <c r="G94" s="263">
        <v>74.56</v>
      </c>
      <c r="H94" s="171"/>
    </row>
    <row r="95" spans="1:8" customFormat="1" x14ac:dyDescent="0.25">
      <c r="A95" s="42"/>
      <c r="B95" s="254"/>
      <c r="C95" s="254"/>
      <c r="D95" s="254"/>
      <c r="E95" s="224"/>
      <c r="F95" s="160"/>
      <c r="G95" s="161"/>
      <c r="H95" s="162"/>
    </row>
    <row r="96" spans="1:8" customFormat="1" x14ac:dyDescent="0.25">
      <c r="A96" s="42"/>
      <c r="B96" s="163" t="s">
        <v>249</v>
      </c>
      <c r="C96" s="164"/>
      <c r="D96" s="164"/>
      <c r="E96" s="165"/>
      <c r="F96" s="166"/>
      <c r="G96" s="167"/>
      <c r="H96" s="168"/>
    </row>
    <row r="97" spans="1:9" customFormat="1" x14ac:dyDescent="0.25">
      <c r="A97" s="42"/>
      <c r="B97" s="173" t="s">
        <v>300</v>
      </c>
      <c r="C97" s="174"/>
      <c r="D97" s="174"/>
      <c r="E97" s="175"/>
      <c r="F97" s="176"/>
      <c r="G97" s="177"/>
      <c r="H97" s="178"/>
    </row>
    <row r="98" spans="1:9" customFormat="1" x14ac:dyDescent="0.25">
      <c r="A98" s="64"/>
      <c r="B98" s="254" t="s">
        <v>294</v>
      </c>
      <c r="C98" s="254"/>
      <c r="D98" s="254"/>
      <c r="E98" s="187">
        <v>-8250</v>
      </c>
      <c r="F98" s="179">
        <v>-85.39</v>
      </c>
      <c r="G98" s="161">
        <v>-1.97</v>
      </c>
      <c r="H98" s="162"/>
    </row>
    <row r="99" spans="1:9" customFormat="1" x14ac:dyDescent="0.25">
      <c r="A99" s="64"/>
      <c r="B99" s="254" t="s">
        <v>176</v>
      </c>
      <c r="C99" s="254"/>
      <c r="D99" s="254"/>
      <c r="E99" s="187">
        <v>-8400</v>
      </c>
      <c r="F99" s="179">
        <v>-70.75</v>
      </c>
      <c r="G99" s="161">
        <v>-1.63</v>
      </c>
      <c r="H99" s="162"/>
      <c r="I99" s="159"/>
    </row>
    <row r="100" spans="1:9" customFormat="1" x14ac:dyDescent="0.25">
      <c r="A100" s="64"/>
      <c r="B100" s="254" t="s">
        <v>140</v>
      </c>
      <c r="C100" s="254"/>
      <c r="D100" s="254"/>
      <c r="E100" s="187">
        <v>-7150</v>
      </c>
      <c r="F100" s="179">
        <v>-57.57</v>
      </c>
      <c r="G100" s="161">
        <v>-1.33</v>
      </c>
      <c r="H100" s="162"/>
    </row>
    <row r="101" spans="1:9" customFormat="1" x14ac:dyDescent="0.25">
      <c r="A101" s="64"/>
      <c r="B101" s="254" t="s">
        <v>146</v>
      </c>
      <c r="C101" s="254"/>
      <c r="D101" s="254"/>
      <c r="E101" s="187">
        <v>-3500</v>
      </c>
      <c r="F101" s="179">
        <v>-45.84</v>
      </c>
      <c r="G101" s="161">
        <v>-1.06</v>
      </c>
      <c r="H101" s="162"/>
    </row>
    <row r="102" spans="1:9" customFormat="1" x14ac:dyDescent="0.25">
      <c r="A102" s="64"/>
      <c r="B102" s="254" t="s">
        <v>144</v>
      </c>
      <c r="C102" s="254"/>
      <c r="D102" s="254"/>
      <c r="E102" s="187">
        <v>-2375</v>
      </c>
      <c r="F102" s="179">
        <v>-45.29</v>
      </c>
      <c r="G102" s="161">
        <v>-1.04</v>
      </c>
      <c r="H102" s="162"/>
    </row>
    <row r="103" spans="1:9" customFormat="1" x14ac:dyDescent="0.25">
      <c r="A103" s="64"/>
      <c r="B103" s="254" t="s">
        <v>142</v>
      </c>
      <c r="C103" s="254"/>
      <c r="D103" s="254"/>
      <c r="E103" s="187">
        <v>-700</v>
      </c>
      <c r="F103" s="179">
        <v>-9.91</v>
      </c>
      <c r="G103" s="161">
        <v>-0.23</v>
      </c>
      <c r="H103" s="162"/>
    </row>
    <row r="104" spans="1:9" customFormat="1" x14ac:dyDescent="0.25">
      <c r="A104" s="64"/>
      <c r="B104" s="254"/>
      <c r="C104" s="254"/>
      <c r="D104" s="254"/>
      <c r="E104" s="224"/>
      <c r="F104" s="160"/>
      <c r="G104" s="161"/>
      <c r="H104" s="162"/>
    </row>
    <row r="105" spans="1:9" customFormat="1" x14ac:dyDescent="0.25">
      <c r="A105" s="64"/>
      <c r="B105" s="169" t="s">
        <v>245</v>
      </c>
      <c r="C105" s="169"/>
      <c r="D105" s="169"/>
      <c r="E105" s="170"/>
      <c r="F105" s="268">
        <v>-314.75</v>
      </c>
      <c r="G105" s="263">
        <v>-7.26</v>
      </c>
      <c r="H105" s="171"/>
    </row>
    <row r="106" spans="1:9" customFormat="1" x14ac:dyDescent="0.25">
      <c r="A106" s="159"/>
      <c r="B106" s="254"/>
      <c r="C106" s="254"/>
      <c r="D106" s="254"/>
      <c r="E106" s="224"/>
      <c r="F106" s="160"/>
      <c r="G106" s="161"/>
      <c r="H106" s="162"/>
    </row>
    <row r="107" spans="1:9" customFormat="1" x14ac:dyDescent="0.25">
      <c r="A107" s="64"/>
      <c r="B107" s="173" t="s">
        <v>386</v>
      </c>
      <c r="C107" s="173"/>
      <c r="D107" s="173"/>
      <c r="E107" s="225"/>
      <c r="F107" s="226"/>
      <c r="G107" s="227"/>
      <c r="H107" s="228"/>
    </row>
    <row r="108" spans="1:9" customFormat="1" x14ac:dyDescent="0.25">
      <c r="A108" s="64"/>
      <c r="B108" s="254" t="s">
        <v>444</v>
      </c>
      <c r="C108" s="254"/>
      <c r="D108" s="254"/>
      <c r="E108" s="224">
        <v>1365</v>
      </c>
      <c r="F108" s="160">
        <v>0.48</v>
      </c>
      <c r="G108" s="161">
        <v>0.01</v>
      </c>
      <c r="H108" s="162"/>
    </row>
    <row r="109" spans="1:9" customFormat="1" x14ac:dyDescent="0.25">
      <c r="A109" s="64"/>
      <c r="B109" s="254" t="s">
        <v>162</v>
      </c>
      <c r="C109" s="254"/>
      <c r="D109" s="254"/>
      <c r="E109" s="187">
        <v>-175</v>
      </c>
      <c r="F109" s="179">
        <v>-0.02</v>
      </c>
      <c r="G109" s="161">
        <v>0</v>
      </c>
      <c r="H109" s="162"/>
    </row>
    <row r="110" spans="1:9" customFormat="1" x14ac:dyDescent="0.25">
      <c r="A110" s="64"/>
      <c r="B110" s="254" t="s">
        <v>148</v>
      </c>
      <c r="C110" s="254"/>
      <c r="D110" s="254"/>
      <c r="E110" s="187">
        <v>-625</v>
      </c>
      <c r="F110" s="179">
        <v>-0.05</v>
      </c>
      <c r="G110" s="161">
        <v>0</v>
      </c>
      <c r="H110" s="162"/>
    </row>
    <row r="111" spans="1:9" customFormat="1" x14ac:dyDescent="0.25">
      <c r="A111" s="64"/>
      <c r="B111" s="254" t="s">
        <v>182</v>
      </c>
      <c r="C111" s="254"/>
      <c r="D111" s="254"/>
      <c r="E111" s="187">
        <v>-150</v>
      </c>
      <c r="F111" s="179">
        <v>-0.47</v>
      </c>
      <c r="G111" s="161">
        <v>-0.01</v>
      </c>
      <c r="H111" s="162"/>
    </row>
    <row r="112" spans="1:9" customFormat="1" x14ac:dyDescent="0.25">
      <c r="A112" s="64"/>
      <c r="B112" s="254"/>
      <c r="C112" s="254"/>
      <c r="D112" s="254"/>
      <c r="E112" s="224"/>
      <c r="F112" s="160"/>
      <c r="G112" s="161"/>
      <c r="H112" s="162"/>
    </row>
    <row r="113" spans="1:8" customFormat="1" x14ac:dyDescent="0.25">
      <c r="A113" s="64"/>
      <c r="B113" s="169" t="s">
        <v>245</v>
      </c>
      <c r="C113" s="169"/>
      <c r="D113" s="169"/>
      <c r="E113" s="170"/>
      <c r="F113" s="268">
        <v>-0.06</v>
      </c>
      <c r="G113" s="263">
        <v>0</v>
      </c>
      <c r="H113" s="171"/>
    </row>
    <row r="114" spans="1:8" customFormat="1" x14ac:dyDescent="0.25">
      <c r="A114" s="64"/>
      <c r="B114" s="254"/>
      <c r="C114" s="254"/>
      <c r="D114" s="254"/>
      <c r="E114" s="224"/>
      <c r="F114" s="160"/>
      <c r="G114" s="161"/>
      <c r="H114" s="162"/>
    </row>
    <row r="115" spans="1:8" customFormat="1" x14ac:dyDescent="0.25">
      <c r="A115" s="64"/>
      <c r="B115" s="265" t="s">
        <v>250</v>
      </c>
      <c r="C115" s="269"/>
      <c r="D115" s="269"/>
      <c r="E115" s="270"/>
      <c r="F115" s="268">
        <v>-314.81</v>
      </c>
      <c r="G115" s="263">
        <v>-7.26</v>
      </c>
      <c r="H115" s="162"/>
    </row>
    <row r="116" spans="1:8" customFormat="1" x14ac:dyDescent="0.25">
      <c r="A116" s="64"/>
      <c r="B116" s="254"/>
      <c r="C116" s="254"/>
      <c r="D116" s="254"/>
      <c r="E116" s="224"/>
      <c r="F116" s="160"/>
      <c r="G116" s="161"/>
      <c r="H116" s="162"/>
    </row>
    <row r="117" spans="1:8" customFormat="1" x14ac:dyDescent="0.25">
      <c r="A117" s="64"/>
      <c r="B117" s="163" t="s">
        <v>251</v>
      </c>
      <c r="C117" s="164"/>
      <c r="D117" s="164"/>
      <c r="E117" s="165"/>
      <c r="F117" s="166"/>
      <c r="G117" s="167"/>
      <c r="H117" s="168"/>
    </row>
    <row r="118" spans="1:8" customFormat="1" x14ac:dyDescent="0.25">
      <c r="A118" s="64"/>
      <c r="B118" s="254"/>
      <c r="C118" s="254"/>
      <c r="D118" s="254"/>
      <c r="E118" s="224"/>
      <c r="F118" s="160"/>
      <c r="G118" s="161"/>
      <c r="H118" s="162"/>
    </row>
    <row r="119" spans="1:8" customFormat="1" x14ac:dyDescent="0.25">
      <c r="A119" s="64"/>
      <c r="B119" s="173" t="s">
        <v>252</v>
      </c>
      <c r="C119" s="174"/>
      <c r="D119" s="174"/>
      <c r="E119" s="175"/>
      <c r="F119" s="176"/>
      <c r="G119" s="177"/>
      <c r="H119" s="178"/>
    </row>
    <row r="120" spans="1:8" customFormat="1" x14ac:dyDescent="0.25">
      <c r="A120" s="78" t="s">
        <v>48</v>
      </c>
      <c r="B120" s="254" t="s">
        <v>256</v>
      </c>
      <c r="C120" s="254" t="s">
        <v>257</v>
      </c>
      <c r="D120" s="254" t="s">
        <v>258</v>
      </c>
      <c r="E120" s="224">
        <v>240000</v>
      </c>
      <c r="F120" s="160">
        <v>250.97</v>
      </c>
      <c r="G120" s="161">
        <v>5.78</v>
      </c>
      <c r="H120" s="162">
        <v>7.0709999999999997</v>
      </c>
    </row>
    <row r="121" spans="1:8" customFormat="1" x14ac:dyDescent="0.25">
      <c r="A121" s="78" t="s">
        <v>48</v>
      </c>
      <c r="B121" s="254" t="s">
        <v>468</v>
      </c>
      <c r="C121" s="254" t="s">
        <v>301</v>
      </c>
      <c r="D121" s="254" t="s">
        <v>258</v>
      </c>
      <c r="E121" s="224">
        <v>200000</v>
      </c>
      <c r="F121" s="160">
        <v>207.54</v>
      </c>
      <c r="G121" s="161">
        <v>4.78</v>
      </c>
      <c r="H121" s="162">
        <v>6.8944000000000001</v>
      </c>
    </row>
    <row r="122" spans="1:8" customFormat="1" x14ac:dyDescent="0.25">
      <c r="A122" s="78" t="s">
        <v>48</v>
      </c>
      <c r="B122" s="254" t="s">
        <v>253</v>
      </c>
      <c r="C122" s="254" t="s">
        <v>254</v>
      </c>
      <c r="D122" s="254" t="s">
        <v>255</v>
      </c>
      <c r="E122" s="224">
        <v>200000</v>
      </c>
      <c r="F122" s="160">
        <v>205.97</v>
      </c>
      <c r="G122" s="161">
        <v>4.75</v>
      </c>
      <c r="H122" s="162">
        <v>6.6576000000000004</v>
      </c>
    </row>
    <row r="123" spans="1:8" customFormat="1" x14ac:dyDescent="0.25">
      <c r="A123" s="64"/>
      <c r="B123" s="254" t="s">
        <v>465</v>
      </c>
      <c r="C123" s="254" t="s">
        <v>260</v>
      </c>
      <c r="D123" s="254" t="s">
        <v>258</v>
      </c>
      <c r="E123" s="224">
        <v>100000</v>
      </c>
      <c r="F123" s="160">
        <v>101.61</v>
      </c>
      <c r="G123" s="161">
        <v>2.34</v>
      </c>
      <c r="H123" s="162">
        <v>7.1950000000000003</v>
      </c>
    </row>
    <row r="124" spans="1:8" customFormat="1" x14ac:dyDescent="0.25">
      <c r="A124" s="78"/>
      <c r="B124" s="254" t="s">
        <v>429</v>
      </c>
      <c r="C124" s="254" t="s">
        <v>261</v>
      </c>
      <c r="D124" s="254" t="s">
        <v>409</v>
      </c>
      <c r="E124" s="224">
        <v>5600</v>
      </c>
      <c r="F124" s="160">
        <v>0.57999999999999996</v>
      </c>
      <c r="G124" s="161">
        <v>0.01</v>
      </c>
      <c r="H124" s="162">
        <v>11.896699999999999</v>
      </c>
    </row>
    <row r="125" spans="1:8" customFormat="1" x14ac:dyDescent="0.25">
      <c r="A125" s="64"/>
      <c r="B125" s="169" t="s">
        <v>245</v>
      </c>
      <c r="C125" s="169"/>
      <c r="D125" s="169"/>
      <c r="E125" s="170"/>
      <c r="F125" s="262">
        <v>766.67</v>
      </c>
      <c r="G125" s="263">
        <v>17.66</v>
      </c>
      <c r="H125" s="171"/>
    </row>
    <row r="126" spans="1:8" customFormat="1" x14ac:dyDescent="0.25">
      <c r="A126" s="64"/>
      <c r="B126" s="254"/>
      <c r="C126" s="254"/>
      <c r="D126" s="254"/>
      <c r="E126" s="224"/>
      <c r="F126" s="160"/>
      <c r="G126" s="161"/>
      <c r="H126" s="162"/>
    </row>
    <row r="127" spans="1:8" customFormat="1" x14ac:dyDescent="0.25">
      <c r="A127" s="64"/>
      <c r="B127" s="173" t="s">
        <v>262</v>
      </c>
      <c r="C127" s="174"/>
      <c r="D127" s="174"/>
      <c r="E127" s="175"/>
      <c r="F127" s="176"/>
      <c r="G127" s="177"/>
      <c r="H127" s="178"/>
    </row>
    <row r="128" spans="1:8" customFormat="1" x14ac:dyDescent="0.25">
      <c r="A128" s="64"/>
      <c r="B128" s="254"/>
      <c r="C128" s="254"/>
      <c r="D128" s="254"/>
      <c r="E128" s="224"/>
      <c r="F128" s="161">
        <v>0</v>
      </c>
      <c r="G128" s="161">
        <v>0</v>
      </c>
      <c r="H128" s="162"/>
    </row>
    <row r="129" spans="1:8" customFormat="1" x14ac:dyDescent="0.25">
      <c r="A129" s="42"/>
      <c r="B129" s="169" t="s">
        <v>245</v>
      </c>
      <c r="C129" s="254"/>
      <c r="D129" s="254"/>
      <c r="E129" s="224"/>
      <c r="F129" s="264" t="s">
        <v>247</v>
      </c>
      <c r="G129" s="264" t="s">
        <v>247</v>
      </c>
      <c r="H129" s="162"/>
    </row>
    <row r="130" spans="1:8" customFormat="1" x14ac:dyDescent="0.25">
      <c r="A130" s="64"/>
      <c r="B130" s="254"/>
      <c r="C130" s="254"/>
      <c r="D130" s="254"/>
      <c r="E130" s="224"/>
      <c r="F130" s="160"/>
      <c r="G130" s="161"/>
      <c r="H130" s="162"/>
    </row>
    <row r="131" spans="1:8" customFormat="1" x14ac:dyDescent="0.25">
      <c r="A131" s="64"/>
      <c r="B131" s="173" t="s">
        <v>263</v>
      </c>
      <c r="C131" s="174"/>
      <c r="D131" s="174"/>
      <c r="E131" s="175"/>
      <c r="F131" s="176"/>
      <c r="G131" s="177"/>
      <c r="H131" s="178"/>
    </row>
    <row r="132" spans="1:8" customFormat="1" x14ac:dyDescent="0.25">
      <c r="A132" s="42"/>
      <c r="B132" s="254"/>
      <c r="C132" s="254"/>
      <c r="D132" s="254"/>
      <c r="E132" s="224"/>
      <c r="F132" s="161">
        <v>0</v>
      </c>
      <c r="G132" s="161">
        <v>0</v>
      </c>
      <c r="H132" s="162"/>
    </row>
    <row r="133" spans="1:8" customFormat="1" x14ac:dyDescent="0.25">
      <c r="A133" s="42"/>
      <c r="B133" s="169" t="s">
        <v>245</v>
      </c>
      <c r="C133" s="254"/>
      <c r="D133" s="254"/>
      <c r="E133" s="224"/>
      <c r="F133" s="264" t="s">
        <v>247</v>
      </c>
      <c r="G133" s="264" t="s">
        <v>247</v>
      </c>
      <c r="H133" s="162"/>
    </row>
    <row r="134" spans="1:8" customFormat="1" x14ac:dyDescent="0.25">
      <c r="A134" s="64"/>
      <c r="B134" s="254"/>
      <c r="C134" s="254"/>
      <c r="D134" s="254"/>
      <c r="E134" s="224"/>
      <c r="F134" s="160"/>
      <c r="G134" s="161"/>
      <c r="H134" s="162"/>
    </row>
    <row r="135" spans="1:8" s="221" customFormat="1" x14ac:dyDescent="0.25">
      <c r="B135" s="265" t="s">
        <v>248</v>
      </c>
      <c r="C135" s="266"/>
      <c r="D135" s="266"/>
      <c r="E135" s="267"/>
      <c r="F135" s="262">
        <v>766.67</v>
      </c>
      <c r="G135" s="263">
        <v>17.66</v>
      </c>
      <c r="H135" s="171"/>
    </row>
    <row r="136" spans="1:8" s="221" customFormat="1" x14ac:dyDescent="0.25">
      <c r="A136" s="42"/>
      <c r="B136" s="254"/>
      <c r="C136" s="254"/>
      <c r="D136" s="254"/>
      <c r="E136" s="224"/>
      <c r="F136" s="160"/>
      <c r="G136" s="161"/>
      <c r="H136" s="162"/>
    </row>
    <row r="137" spans="1:8" s="221" customFormat="1" x14ac:dyDescent="0.25">
      <c r="B137" s="163" t="s">
        <v>264</v>
      </c>
      <c r="C137" s="164"/>
      <c r="D137" s="164"/>
      <c r="E137" s="165"/>
      <c r="F137" s="166"/>
      <c r="G137" s="167"/>
      <c r="H137" s="168"/>
    </row>
    <row r="138" spans="1:8" s="222" customFormat="1" x14ac:dyDescent="0.25">
      <c r="A138" s="78"/>
      <c r="B138" s="254"/>
      <c r="C138" s="254"/>
      <c r="D138" s="254"/>
      <c r="E138" s="224"/>
      <c r="F138" s="160"/>
      <c r="G138" s="161"/>
      <c r="H138" s="162"/>
    </row>
    <row r="139" spans="1:8" s="222" customFormat="1" x14ac:dyDescent="0.25">
      <c r="B139" s="173" t="s">
        <v>333</v>
      </c>
      <c r="C139" s="174"/>
      <c r="D139" s="174"/>
      <c r="E139" s="175"/>
      <c r="F139" s="176"/>
      <c r="G139" s="177"/>
      <c r="H139" s="178"/>
    </row>
    <row r="140" spans="1:8" s="222" customFormat="1" x14ac:dyDescent="0.25">
      <c r="A140" s="78" t="s">
        <v>48</v>
      </c>
      <c r="B140" s="254" t="s">
        <v>466</v>
      </c>
      <c r="C140" s="254" t="s">
        <v>456</v>
      </c>
      <c r="D140" s="254" t="s">
        <v>377</v>
      </c>
      <c r="E140" s="224">
        <v>150000</v>
      </c>
      <c r="F140" s="160">
        <v>144.37</v>
      </c>
      <c r="G140" s="161">
        <v>3.33</v>
      </c>
      <c r="H140" s="162">
        <v>6.6191000000000004</v>
      </c>
    </row>
    <row r="141" spans="1:8" s="222" customFormat="1" x14ac:dyDescent="0.25">
      <c r="B141" s="169" t="s">
        <v>245</v>
      </c>
      <c r="C141" s="169"/>
      <c r="D141" s="169"/>
      <c r="E141" s="170"/>
      <c r="F141" s="262">
        <v>144.37</v>
      </c>
      <c r="G141" s="263">
        <v>3.33</v>
      </c>
      <c r="H141" s="171"/>
    </row>
    <row r="142" spans="1:8" s="222" customFormat="1" x14ac:dyDescent="0.25">
      <c r="A142" s="42"/>
      <c r="B142" s="254"/>
      <c r="C142" s="254"/>
      <c r="D142" s="254"/>
      <c r="E142" s="224"/>
      <c r="F142" s="160"/>
      <c r="G142" s="161"/>
      <c r="H142" s="162"/>
    </row>
    <row r="143" spans="1:8" s="222" customFormat="1" x14ac:dyDescent="0.25">
      <c r="A143" s="42"/>
      <c r="B143" s="265" t="s">
        <v>248</v>
      </c>
      <c r="C143" s="266"/>
      <c r="D143" s="266"/>
      <c r="E143" s="267"/>
      <c r="F143" s="262">
        <v>144.37</v>
      </c>
      <c r="G143" s="263">
        <v>3.33</v>
      </c>
      <c r="H143" s="171"/>
    </row>
    <row r="144" spans="1:8" s="222" customFormat="1" x14ac:dyDescent="0.25">
      <c r="A144" s="42"/>
      <c r="B144" s="254"/>
      <c r="C144" s="254"/>
      <c r="D144" s="254"/>
      <c r="E144" s="224"/>
      <c r="F144" s="160"/>
      <c r="G144" s="161"/>
      <c r="H144" s="162"/>
    </row>
    <row r="145" spans="1:10" s="222" customFormat="1" x14ac:dyDescent="0.25">
      <c r="A145" s="42"/>
      <c r="B145" s="254"/>
      <c r="C145" s="254"/>
      <c r="D145" s="254"/>
      <c r="E145" s="224"/>
      <c r="F145" s="160"/>
      <c r="G145" s="161"/>
      <c r="H145" s="162"/>
    </row>
    <row r="146" spans="1:10" s="222" customFormat="1" x14ac:dyDescent="0.25">
      <c r="A146" s="42"/>
      <c r="B146" s="163" t="s">
        <v>382</v>
      </c>
      <c r="C146" s="164"/>
      <c r="D146" s="164"/>
      <c r="E146" s="165"/>
      <c r="F146" s="166"/>
      <c r="G146" s="167"/>
      <c r="H146" s="168"/>
    </row>
    <row r="147" spans="1:10" s="222" customFormat="1" x14ac:dyDescent="0.25">
      <c r="A147" s="78" t="s">
        <v>48</v>
      </c>
      <c r="B147" s="254" t="s">
        <v>476</v>
      </c>
      <c r="C147" s="254" t="s">
        <v>467</v>
      </c>
      <c r="D147" s="254"/>
      <c r="E147" s="224"/>
      <c r="F147" s="160">
        <v>114.97</v>
      </c>
      <c r="G147" s="161">
        <v>2.65</v>
      </c>
      <c r="H147" s="162">
        <v>5.1081000000000003</v>
      </c>
    </row>
    <row r="148" spans="1:10" s="222" customFormat="1" x14ac:dyDescent="0.25">
      <c r="B148" s="169" t="s">
        <v>245</v>
      </c>
      <c r="C148" s="169"/>
      <c r="D148" s="169"/>
      <c r="E148" s="170"/>
      <c r="F148" s="262">
        <v>114.97</v>
      </c>
      <c r="G148" s="263">
        <v>2.65</v>
      </c>
      <c r="H148" s="171"/>
    </row>
    <row r="149" spans="1:10" s="222" customFormat="1" x14ac:dyDescent="0.25">
      <c r="A149" s="42"/>
      <c r="B149" s="254"/>
      <c r="C149" s="254"/>
      <c r="D149" s="254"/>
      <c r="E149" s="224"/>
      <c r="F149" s="160"/>
      <c r="G149" s="161"/>
      <c r="H149" s="162"/>
    </row>
    <row r="150" spans="1:10" s="222" customFormat="1" x14ac:dyDescent="0.25">
      <c r="A150" s="42"/>
      <c r="B150" s="265" t="s">
        <v>248</v>
      </c>
      <c r="C150" s="266"/>
      <c r="D150" s="266"/>
      <c r="E150" s="267"/>
      <c r="F150" s="262">
        <v>114.97</v>
      </c>
      <c r="G150" s="263">
        <v>2.65</v>
      </c>
      <c r="H150" s="171"/>
    </row>
    <row r="151" spans="1:10" s="222" customFormat="1" x14ac:dyDescent="0.25">
      <c r="A151" s="42"/>
      <c r="B151" s="254"/>
      <c r="C151" s="254"/>
      <c r="D151" s="254"/>
      <c r="E151" s="224"/>
      <c r="F151" s="160"/>
      <c r="G151" s="161"/>
      <c r="H151" s="162"/>
    </row>
    <row r="152" spans="1:10" s="222" customFormat="1" x14ac:dyDescent="0.25">
      <c r="A152" s="42"/>
      <c r="B152" s="254" t="s">
        <v>266</v>
      </c>
      <c r="C152" s="254"/>
      <c r="D152" s="254"/>
      <c r="E152" s="224"/>
      <c r="F152" s="160">
        <v>393.31</v>
      </c>
      <c r="G152" s="161">
        <v>9.0600000000000023</v>
      </c>
      <c r="H152" s="162"/>
    </row>
    <row r="153" spans="1:10" s="222" customFormat="1" x14ac:dyDescent="0.25">
      <c r="A153" s="42"/>
      <c r="B153" s="254"/>
      <c r="C153" s="254"/>
      <c r="D153" s="254"/>
      <c r="E153" s="224"/>
      <c r="F153" s="160"/>
      <c r="G153" s="161"/>
      <c r="H153" s="162"/>
    </row>
    <row r="154" spans="1:10" s="222" customFormat="1" x14ac:dyDescent="0.25">
      <c r="A154" s="42"/>
      <c r="B154" s="265" t="s">
        <v>267</v>
      </c>
      <c r="C154" s="266"/>
      <c r="D154" s="266"/>
      <c r="E154" s="267"/>
      <c r="F154" s="262">
        <v>4339.33</v>
      </c>
      <c r="G154" s="263">
        <v>100</v>
      </c>
      <c r="H154" s="172"/>
    </row>
    <row r="155" spans="1:10" s="11" customFormat="1" x14ac:dyDescent="0.25">
      <c r="A155" s="78" t="s">
        <v>48</v>
      </c>
      <c r="B155" s="1" t="s">
        <v>361</v>
      </c>
      <c r="D155" s="109"/>
      <c r="E155" s="110"/>
      <c r="F155" s="111"/>
      <c r="G155" s="112"/>
      <c r="H155" s="113"/>
      <c r="I155" s="84"/>
      <c r="J155" s="114"/>
    </row>
    <row r="156" spans="1:10" s="11" customFormat="1" x14ac:dyDescent="0.15">
      <c r="A156" s="80"/>
      <c r="B156" s="40" t="s">
        <v>0</v>
      </c>
      <c r="D156" s="109"/>
      <c r="E156" s="110"/>
      <c r="F156" s="111"/>
      <c r="G156" s="112"/>
      <c r="H156" s="113"/>
      <c r="I156" s="84"/>
      <c r="J156" s="114"/>
    </row>
    <row r="157" spans="1:10" s="11" customFormat="1" x14ac:dyDescent="0.15">
      <c r="A157" s="80"/>
      <c r="B157" s="40" t="s">
        <v>408</v>
      </c>
      <c r="D157" s="81"/>
      <c r="E157" s="82"/>
      <c r="F157" s="115"/>
      <c r="G157" s="116"/>
      <c r="H157" s="113"/>
      <c r="I157" s="84"/>
      <c r="J157" s="85"/>
    </row>
    <row r="158" spans="1:10" s="11" customFormat="1" ht="15.75" x14ac:dyDescent="0.15">
      <c r="A158" s="80"/>
      <c r="B158" s="40" t="s">
        <v>31</v>
      </c>
      <c r="D158" s="81"/>
      <c r="E158" s="82"/>
      <c r="F158" s="87"/>
      <c r="G158" s="117"/>
      <c r="H158" s="118"/>
      <c r="I158" s="84"/>
      <c r="J158" s="85"/>
    </row>
    <row r="159" spans="1:10" s="11" customFormat="1" ht="15.75" x14ac:dyDescent="0.25">
      <c r="A159" s="80"/>
      <c r="B159" s="79"/>
      <c r="D159" s="81"/>
      <c r="E159" s="82"/>
      <c r="F159" s="87"/>
      <c r="G159" s="117"/>
      <c r="H159" s="118"/>
      <c r="I159" s="84"/>
      <c r="J159" s="85"/>
    </row>
    <row r="160" spans="1:10" s="11" customFormat="1" x14ac:dyDescent="0.25">
      <c r="A160" s="80"/>
      <c r="D160" s="82"/>
      <c r="E160" s="82"/>
      <c r="F160" s="87"/>
      <c r="G160" s="87"/>
      <c r="H160" s="82"/>
    </row>
    <row r="161" spans="1:13" s="11" customFormat="1" x14ac:dyDescent="0.25">
      <c r="A161" s="80" t="s">
        <v>137</v>
      </c>
      <c r="B161" s="88" t="s">
        <v>1</v>
      </c>
      <c r="C161" s="89" t="s">
        <v>51</v>
      </c>
      <c r="D161" s="90"/>
      <c r="E161" s="91"/>
      <c r="F161" s="87"/>
      <c r="G161" s="87"/>
      <c r="H161" s="82"/>
      <c r="I161" s="82"/>
      <c r="K161" s="92"/>
      <c r="L161" s="93"/>
    </row>
    <row r="162" spans="1:13" s="11" customFormat="1" x14ac:dyDescent="0.25">
      <c r="A162" s="94"/>
      <c r="B162" s="7" t="s">
        <v>67</v>
      </c>
      <c r="C162" s="96">
        <f t="shared" ref="C162:C196" si="0">SUMIF($D$16:$D$158,B162,$G$16:$G$158)</f>
        <v>18.2</v>
      </c>
      <c r="D162" s="97"/>
      <c r="E162" s="98"/>
      <c r="F162" s="99"/>
      <c r="G162" s="87"/>
      <c r="H162" s="82"/>
      <c r="J162" s="92"/>
      <c r="K162" s="93"/>
      <c r="L162" s="84"/>
      <c r="M162" s="93"/>
    </row>
    <row r="163" spans="1:13" s="11" customFormat="1" x14ac:dyDescent="0.25">
      <c r="A163" s="94"/>
      <c r="B163" s="7" t="s">
        <v>111</v>
      </c>
      <c r="C163" s="96">
        <f t="shared" si="0"/>
        <v>5.45</v>
      </c>
      <c r="D163" s="97"/>
      <c r="E163" s="98"/>
      <c r="F163" s="99"/>
      <c r="G163" s="87"/>
      <c r="H163" s="82"/>
      <c r="K163" s="93"/>
      <c r="L163" s="84"/>
      <c r="M163" s="93"/>
    </row>
    <row r="164" spans="1:13" s="11" customFormat="1" x14ac:dyDescent="0.25">
      <c r="A164" s="94"/>
      <c r="B164" s="7" t="s">
        <v>45</v>
      </c>
      <c r="C164" s="96">
        <f t="shared" si="0"/>
        <v>5.0200000000000005</v>
      </c>
      <c r="D164" s="97"/>
      <c r="E164" s="98"/>
      <c r="F164" s="99"/>
      <c r="G164" s="87"/>
      <c r="H164" s="82"/>
      <c r="K164" s="93"/>
      <c r="L164" s="84"/>
      <c r="M164" s="93"/>
    </row>
    <row r="165" spans="1:13" s="11" customFormat="1" x14ac:dyDescent="0.25">
      <c r="A165" s="94"/>
      <c r="B165" s="7" t="s">
        <v>44</v>
      </c>
      <c r="C165" s="96">
        <f t="shared" si="0"/>
        <v>4.8999999999999995</v>
      </c>
      <c r="D165" s="97"/>
      <c r="E165" s="98"/>
      <c r="F165" s="99"/>
      <c r="G165" s="87"/>
      <c r="H165" s="82"/>
      <c r="K165" s="93"/>
      <c r="L165" s="84"/>
      <c r="M165" s="93"/>
    </row>
    <row r="166" spans="1:13" s="11" customFormat="1" x14ac:dyDescent="0.25">
      <c r="A166" s="94"/>
      <c r="B166" s="7" t="s">
        <v>50</v>
      </c>
      <c r="C166" s="96">
        <f t="shared" si="0"/>
        <v>4.67</v>
      </c>
      <c r="D166" s="137"/>
      <c r="E166" s="98"/>
      <c r="F166" s="99"/>
      <c r="G166" s="87"/>
      <c r="H166" s="82"/>
      <c r="K166" s="93"/>
      <c r="L166" s="84"/>
      <c r="M166" s="93"/>
    </row>
    <row r="167" spans="1:13" s="11" customFormat="1" x14ac:dyDescent="0.25">
      <c r="A167" s="94"/>
      <c r="B167" s="7" t="s">
        <v>43</v>
      </c>
      <c r="C167" s="96">
        <f t="shared" si="0"/>
        <v>4.45</v>
      </c>
      <c r="D167" s="137"/>
      <c r="E167" s="98"/>
      <c r="F167" s="99"/>
      <c r="G167" s="87"/>
      <c r="H167" s="82"/>
      <c r="K167" s="93"/>
      <c r="L167" s="84"/>
      <c r="M167" s="93"/>
    </row>
    <row r="168" spans="1:13" s="11" customFormat="1" x14ac:dyDescent="0.25">
      <c r="A168" s="94"/>
      <c r="B168" s="7" t="s">
        <v>42</v>
      </c>
      <c r="C168" s="96">
        <f t="shared" si="0"/>
        <v>3.97</v>
      </c>
      <c r="D168" s="137"/>
      <c r="E168" s="98"/>
      <c r="F168" s="99"/>
      <c r="G168" s="87"/>
      <c r="H168" s="82"/>
      <c r="K168" s="93"/>
      <c r="L168" s="84"/>
      <c r="M168" s="93"/>
    </row>
    <row r="169" spans="1:13" s="11" customFormat="1" x14ac:dyDescent="0.25">
      <c r="A169" s="94"/>
      <c r="B169" s="7" t="s">
        <v>105</v>
      </c>
      <c r="C169" s="96">
        <f t="shared" si="0"/>
        <v>2.4</v>
      </c>
      <c r="D169" s="137"/>
      <c r="E169" s="98"/>
      <c r="F169" s="99"/>
      <c r="G169" s="87"/>
      <c r="H169" s="82"/>
      <c r="K169" s="93"/>
      <c r="L169" s="84"/>
      <c r="M169" s="93"/>
    </row>
    <row r="170" spans="1:13" s="11" customFormat="1" x14ac:dyDescent="0.25">
      <c r="A170" s="94"/>
      <c r="B170" s="7" t="s">
        <v>94</v>
      </c>
      <c r="C170" s="96">
        <f t="shared" si="0"/>
        <v>2.14</v>
      </c>
      <c r="D170" s="137"/>
      <c r="E170" s="98"/>
      <c r="F170" s="99"/>
      <c r="G170" s="87"/>
      <c r="H170" s="82"/>
      <c r="K170" s="93"/>
      <c r="L170" s="84"/>
      <c r="M170" s="93"/>
    </row>
    <row r="171" spans="1:13" s="11" customFormat="1" x14ac:dyDescent="0.25">
      <c r="A171" s="94"/>
      <c r="B171" s="7" t="s">
        <v>109</v>
      </c>
      <c r="C171" s="96">
        <f t="shared" si="0"/>
        <v>2.12</v>
      </c>
      <c r="D171" s="137"/>
      <c r="E171" s="98"/>
      <c r="F171" s="99"/>
      <c r="G171" s="87"/>
      <c r="H171" s="82"/>
      <c r="K171" s="93"/>
      <c r="L171" s="84"/>
      <c r="M171" s="93"/>
    </row>
    <row r="172" spans="1:13" s="11" customFormat="1" x14ac:dyDescent="0.25">
      <c r="A172" s="94"/>
      <c r="B172" s="7" t="s">
        <v>113</v>
      </c>
      <c r="C172" s="96">
        <f t="shared" si="0"/>
        <v>2.0699999999999998</v>
      </c>
      <c r="D172" s="137"/>
      <c r="E172" s="98"/>
      <c r="F172" s="99"/>
      <c r="G172" s="87"/>
      <c r="H172" s="82"/>
      <c r="K172" s="93"/>
      <c r="L172" s="84"/>
      <c r="M172" s="93"/>
    </row>
    <row r="173" spans="1:13" s="11" customFormat="1" x14ac:dyDescent="0.25">
      <c r="A173" s="94"/>
      <c r="B173" s="7" t="s">
        <v>114</v>
      </c>
      <c r="C173" s="96">
        <f t="shared" si="0"/>
        <v>1.5499999999999998</v>
      </c>
      <c r="D173" s="137"/>
      <c r="E173" s="98"/>
      <c r="F173" s="99"/>
      <c r="G173" s="87"/>
      <c r="H173" s="82"/>
      <c r="K173" s="93"/>
      <c r="L173" s="84"/>
      <c r="M173" s="93"/>
    </row>
    <row r="174" spans="1:13" s="11" customFormat="1" x14ac:dyDescent="0.25">
      <c r="A174" s="94"/>
      <c r="B174" s="7" t="s">
        <v>47</v>
      </c>
      <c r="C174" s="96">
        <f t="shared" si="0"/>
        <v>1.53</v>
      </c>
      <c r="D174" s="137"/>
      <c r="E174" s="98"/>
      <c r="F174" s="99"/>
      <c r="G174" s="87"/>
      <c r="H174" s="82"/>
      <c r="K174" s="93"/>
      <c r="L174" s="84"/>
      <c r="M174" s="93"/>
    </row>
    <row r="175" spans="1:13" s="11" customFormat="1" x14ac:dyDescent="0.25">
      <c r="A175" s="94"/>
      <c r="B175" s="7" t="s">
        <v>93</v>
      </c>
      <c r="C175" s="96">
        <f t="shared" si="0"/>
        <v>1.49</v>
      </c>
      <c r="D175" s="137"/>
      <c r="E175" s="98"/>
      <c r="F175" s="99"/>
      <c r="G175" s="87"/>
      <c r="H175" s="82"/>
      <c r="K175" s="93"/>
      <c r="L175" s="84"/>
      <c r="M175" s="93"/>
    </row>
    <row r="176" spans="1:13" s="11" customFormat="1" x14ac:dyDescent="0.25">
      <c r="A176" s="94"/>
      <c r="B176" s="7" t="s">
        <v>274</v>
      </c>
      <c r="C176" s="96">
        <f t="shared" si="0"/>
        <v>1.3599999999999999</v>
      </c>
      <c r="D176" s="137"/>
      <c r="E176" s="98"/>
      <c r="F176" s="99"/>
      <c r="G176" s="87"/>
      <c r="H176" s="82"/>
      <c r="K176" s="93"/>
      <c r="L176" s="84"/>
      <c r="M176" s="93"/>
    </row>
    <row r="177" spans="1:13" s="11" customFormat="1" x14ac:dyDescent="0.25">
      <c r="A177" s="94"/>
      <c r="B177" s="7" t="s">
        <v>120</v>
      </c>
      <c r="C177" s="96">
        <f t="shared" si="0"/>
        <v>1.25</v>
      </c>
      <c r="D177" s="137"/>
      <c r="E177" s="98"/>
      <c r="F177" s="99"/>
      <c r="G177" s="87"/>
      <c r="H177" s="82"/>
      <c r="K177" s="93"/>
      <c r="L177" s="84"/>
      <c r="M177" s="93"/>
    </row>
    <row r="178" spans="1:13" s="11" customFormat="1" x14ac:dyDescent="0.25">
      <c r="A178" s="94"/>
      <c r="B178" s="7" t="s">
        <v>121</v>
      </c>
      <c r="C178" s="96">
        <f t="shared" si="0"/>
        <v>1.23</v>
      </c>
      <c r="D178" s="137"/>
      <c r="E178" s="98"/>
      <c r="F178" s="99"/>
      <c r="G178" s="87"/>
      <c r="H178" s="82"/>
      <c r="K178" s="93"/>
      <c r="L178" s="84"/>
      <c r="M178" s="93"/>
    </row>
    <row r="179" spans="1:13" s="11" customFormat="1" x14ac:dyDescent="0.25">
      <c r="A179" s="94"/>
      <c r="B179" s="7" t="s">
        <v>66</v>
      </c>
      <c r="C179" s="96">
        <f t="shared" si="0"/>
        <v>1.1499999999999999</v>
      </c>
      <c r="D179" s="137"/>
      <c r="E179" s="98"/>
      <c r="F179" s="99"/>
      <c r="G179" s="87"/>
      <c r="H179" s="82"/>
      <c r="K179" s="93"/>
      <c r="L179" s="84"/>
      <c r="M179" s="93"/>
    </row>
    <row r="180" spans="1:13" s="11" customFormat="1" x14ac:dyDescent="0.25">
      <c r="A180" s="94"/>
      <c r="B180" s="7" t="s">
        <v>118</v>
      </c>
      <c r="C180" s="96">
        <f t="shared" si="0"/>
        <v>1.1200000000000001</v>
      </c>
      <c r="D180" s="137"/>
      <c r="E180" s="98"/>
      <c r="F180" s="99"/>
      <c r="G180" s="87"/>
      <c r="H180" s="82"/>
      <c r="K180" s="93"/>
      <c r="L180" s="84"/>
      <c r="M180" s="93"/>
    </row>
    <row r="181" spans="1:13" s="11" customFormat="1" x14ac:dyDescent="0.25">
      <c r="A181" s="94"/>
      <c r="B181" s="7" t="s">
        <v>68</v>
      </c>
      <c r="C181" s="96">
        <f t="shared" si="0"/>
        <v>1.0999999999999999</v>
      </c>
      <c r="D181" s="137"/>
      <c r="E181" s="98"/>
      <c r="F181" s="99"/>
      <c r="G181" s="87"/>
      <c r="H181" s="82"/>
      <c r="K181" s="93"/>
      <c r="L181" s="84"/>
      <c r="M181" s="93"/>
    </row>
    <row r="182" spans="1:13" s="11" customFormat="1" x14ac:dyDescent="0.25">
      <c r="A182" s="94"/>
      <c r="B182" s="7" t="s">
        <v>108</v>
      </c>
      <c r="C182" s="96">
        <f t="shared" si="0"/>
        <v>1.06</v>
      </c>
      <c r="D182" s="137"/>
      <c r="E182" s="98"/>
      <c r="F182" s="99"/>
      <c r="G182" s="87"/>
      <c r="H182" s="82"/>
      <c r="K182" s="93"/>
      <c r="L182" s="84"/>
      <c r="M182" s="93"/>
    </row>
    <row r="183" spans="1:13" s="11" customFormat="1" x14ac:dyDescent="0.25">
      <c r="A183" s="94"/>
      <c r="B183" s="7" t="s">
        <v>130</v>
      </c>
      <c r="C183" s="96">
        <f t="shared" si="0"/>
        <v>1.05</v>
      </c>
      <c r="D183" s="137"/>
      <c r="E183" s="98"/>
      <c r="F183" s="99"/>
      <c r="G183" s="87"/>
      <c r="H183" s="82"/>
      <c r="K183" s="93"/>
      <c r="L183" s="84"/>
      <c r="M183" s="93"/>
    </row>
    <row r="184" spans="1:13" s="11" customFormat="1" x14ac:dyDescent="0.25">
      <c r="A184" s="94"/>
      <c r="B184" s="7" t="s">
        <v>65</v>
      </c>
      <c r="C184" s="96">
        <f t="shared" si="0"/>
        <v>0.83000000000000007</v>
      </c>
      <c r="D184" s="137"/>
      <c r="E184" s="98"/>
      <c r="F184" s="99"/>
      <c r="G184" s="87"/>
      <c r="H184" s="82"/>
      <c r="K184" s="93"/>
      <c r="L184" s="84"/>
      <c r="M184" s="93"/>
    </row>
    <row r="185" spans="1:13" s="11" customFormat="1" x14ac:dyDescent="0.25">
      <c r="A185" s="94"/>
      <c r="B185" s="7" t="s">
        <v>135</v>
      </c>
      <c r="C185" s="96">
        <f t="shared" si="0"/>
        <v>0.69</v>
      </c>
      <c r="D185" s="137"/>
      <c r="E185" s="98"/>
      <c r="F185" s="99"/>
      <c r="G185" s="87"/>
      <c r="H185" s="82"/>
      <c r="K185" s="93"/>
      <c r="L185" s="84"/>
      <c r="M185" s="93"/>
    </row>
    <row r="186" spans="1:13" s="11" customFormat="1" x14ac:dyDescent="0.25">
      <c r="A186" s="94"/>
      <c r="B186" s="7" t="s">
        <v>106</v>
      </c>
      <c r="C186" s="96">
        <f t="shared" si="0"/>
        <v>0.46</v>
      </c>
      <c r="D186" s="137"/>
      <c r="E186" s="98"/>
      <c r="F186" s="99"/>
      <c r="G186" s="87"/>
      <c r="H186" s="82"/>
      <c r="K186" s="93"/>
      <c r="L186" s="84"/>
      <c r="M186" s="93"/>
    </row>
    <row r="187" spans="1:13" s="11" customFormat="1" x14ac:dyDescent="0.25">
      <c r="A187" s="94"/>
      <c r="B187" s="7" t="s">
        <v>115</v>
      </c>
      <c r="C187" s="96">
        <f t="shared" si="0"/>
        <v>0.46</v>
      </c>
      <c r="D187" s="137"/>
      <c r="E187" s="98"/>
      <c r="F187" s="99"/>
      <c r="G187" s="87"/>
      <c r="H187" s="82"/>
      <c r="K187" s="93"/>
      <c r="L187" s="84"/>
      <c r="M187" s="93"/>
    </row>
    <row r="188" spans="1:13" s="11" customFormat="1" x14ac:dyDescent="0.25">
      <c r="A188" s="94"/>
      <c r="B188" s="7" t="s">
        <v>95</v>
      </c>
      <c r="C188" s="96">
        <f t="shared" si="0"/>
        <v>0.45</v>
      </c>
      <c r="D188" s="137"/>
      <c r="E188" s="98"/>
      <c r="F188" s="99"/>
      <c r="G188" s="87"/>
      <c r="H188" s="82"/>
      <c r="K188" s="93"/>
      <c r="L188" s="84"/>
      <c r="M188" s="93"/>
    </row>
    <row r="189" spans="1:13" s="11" customFormat="1" x14ac:dyDescent="0.25">
      <c r="A189" s="94"/>
      <c r="B189" s="7" t="s">
        <v>356</v>
      </c>
      <c r="C189" s="96">
        <f t="shared" si="0"/>
        <v>0.37</v>
      </c>
      <c r="D189" s="137"/>
      <c r="E189" s="98"/>
      <c r="F189" s="99"/>
      <c r="G189" s="87"/>
      <c r="H189" s="82"/>
      <c r="K189" s="93"/>
      <c r="L189" s="84"/>
      <c r="M189" s="93"/>
    </row>
    <row r="190" spans="1:13" s="11" customFormat="1" x14ac:dyDescent="0.25">
      <c r="A190" s="94"/>
      <c r="B190" s="7" t="s">
        <v>369</v>
      </c>
      <c r="C190" s="96">
        <f t="shared" si="0"/>
        <v>0.34</v>
      </c>
      <c r="D190" s="137"/>
      <c r="E190" s="98"/>
      <c r="F190" s="99"/>
      <c r="G190" s="87"/>
      <c r="H190" s="82"/>
      <c r="K190" s="93"/>
      <c r="L190" s="84"/>
      <c r="M190" s="93"/>
    </row>
    <row r="191" spans="1:13" s="11" customFormat="1" x14ac:dyDescent="0.25">
      <c r="A191" s="94"/>
      <c r="B191" s="7" t="s">
        <v>424</v>
      </c>
      <c r="C191" s="96">
        <f t="shared" si="0"/>
        <v>0.34</v>
      </c>
      <c r="D191" s="137"/>
      <c r="E191" s="98"/>
      <c r="F191" s="99"/>
      <c r="G191" s="87"/>
      <c r="H191" s="82"/>
      <c r="K191" s="93"/>
      <c r="L191" s="84"/>
      <c r="M191" s="93"/>
    </row>
    <row r="192" spans="1:13" s="11" customFormat="1" x14ac:dyDescent="0.25">
      <c r="A192" s="94"/>
      <c r="B192" s="7" t="s">
        <v>46</v>
      </c>
      <c r="C192" s="96">
        <f t="shared" si="0"/>
        <v>0.33</v>
      </c>
      <c r="D192" s="137"/>
      <c r="E192" s="98"/>
      <c r="F192" s="99"/>
      <c r="G192" s="87"/>
      <c r="H192" s="82"/>
      <c r="K192" s="93"/>
      <c r="L192" s="84"/>
      <c r="M192" s="93"/>
    </row>
    <row r="193" spans="1:13" s="11" customFormat="1" x14ac:dyDescent="0.25">
      <c r="A193" s="94"/>
      <c r="B193" s="7" t="s">
        <v>117</v>
      </c>
      <c r="C193" s="96">
        <f t="shared" si="0"/>
        <v>0.31</v>
      </c>
      <c r="D193" s="137"/>
      <c r="E193" s="98"/>
      <c r="F193" s="99"/>
      <c r="G193" s="87"/>
      <c r="H193" s="82"/>
      <c r="K193" s="93"/>
      <c r="L193" s="84"/>
      <c r="M193" s="93"/>
    </row>
    <row r="194" spans="1:13" s="11" customFormat="1" x14ac:dyDescent="0.25">
      <c r="A194" s="94"/>
      <c r="B194" s="7" t="s">
        <v>418</v>
      </c>
      <c r="C194" s="96">
        <f t="shared" si="0"/>
        <v>0.3</v>
      </c>
      <c r="D194" s="137"/>
      <c r="E194" s="98"/>
      <c r="F194" s="99"/>
      <c r="G194" s="87"/>
      <c r="H194" s="82"/>
      <c r="K194" s="93"/>
      <c r="L194" s="84"/>
      <c r="M194" s="93"/>
    </row>
    <row r="195" spans="1:13" s="11" customFormat="1" x14ac:dyDescent="0.25">
      <c r="A195" s="94"/>
      <c r="B195" s="7" t="s">
        <v>345</v>
      </c>
      <c r="C195" s="96">
        <f t="shared" si="0"/>
        <v>0.21</v>
      </c>
      <c r="D195" s="137"/>
      <c r="E195" s="98"/>
      <c r="F195" s="99"/>
      <c r="G195" s="87"/>
      <c r="H195" s="82"/>
      <c r="K195" s="93"/>
      <c r="L195" s="84"/>
      <c r="M195" s="93"/>
    </row>
    <row r="196" spans="1:13" s="11" customFormat="1" x14ac:dyDescent="0.25">
      <c r="A196" s="94"/>
      <c r="B196" s="7" t="s">
        <v>119</v>
      </c>
      <c r="C196" s="96">
        <f t="shared" si="0"/>
        <v>0.19</v>
      </c>
      <c r="D196" s="137"/>
      <c r="E196" s="98"/>
      <c r="F196" s="99"/>
      <c r="G196" s="87"/>
      <c r="H196" s="82"/>
      <c r="K196" s="93"/>
      <c r="L196" s="84"/>
      <c r="M196" s="93"/>
    </row>
    <row r="197" spans="1:13" s="38" customFormat="1" x14ac:dyDescent="0.25">
      <c r="A197" s="100"/>
      <c r="B197" s="101" t="s">
        <v>138</v>
      </c>
      <c r="C197" s="17"/>
      <c r="D197" s="199"/>
      <c r="E197" s="211">
        <f>SUM(C161:C197)-G94</f>
        <v>0</v>
      </c>
      <c r="F197" s="103"/>
      <c r="G197" s="103"/>
      <c r="H197" s="104"/>
    </row>
    <row r="198" spans="1:13" s="38" customFormat="1" x14ac:dyDescent="0.25">
      <c r="A198" s="100"/>
      <c r="B198" s="60"/>
      <c r="C198" s="60"/>
      <c r="D198" s="201"/>
      <c r="E198" s="119"/>
      <c r="F198" s="102"/>
      <c r="G198" s="103"/>
      <c r="H198" s="104"/>
    </row>
    <row r="199" spans="1:13" x14ac:dyDescent="0.25">
      <c r="B199" t="s">
        <v>136</v>
      </c>
      <c r="D199" s="202"/>
      <c r="E199" s="91"/>
      <c r="F199" s="91"/>
      <c r="G199" s="91"/>
    </row>
    <row r="200" spans="1:13" x14ac:dyDescent="0.25">
      <c r="B200" t="s">
        <v>344</v>
      </c>
      <c r="D200" s="202"/>
      <c r="E200" s="202"/>
      <c r="F200" s="202"/>
    </row>
    <row r="201" spans="1:13" x14ac:dyDescent="0.25">
      <c r="B201" s="229" t="s">
        <v>388</v>
      </c>
      <c r="C201" s="230" t="s">
        <v>387</v>
      </c>
      <c r="D201" s="14"/>
      <c r="E201" s="202"/>
      <c r="F201" s="202"/>
    </row>
    <row r="202" spans="1:13" x14ac:dyDescent="0.25">
      <c r="B202" s="11"/>
      <c r="D202" s="91"/>
      <c r="E202" s="91"/>
      <c r="F202" s="91"/>
    </row>
    <row r="203" spans="1:13" x14ac:dyDescent="0.25">
      <c r="B203" s="11"/>
      <c r="D203" s="91"/>
      <c r="E203" s="91"/>
      <c r="F203" s="91"/>
    </row>
  </sheetData>
  <mergeCells count="10">
    <mergeCell ref="D11:E11"/>
    <mergeCell ref="F12:H12"/>
    <mergeCell ref="F4:H4"/>
    <mergeCell ref="F11:H11"/>
    <mergeCell ref="B1:H1"/>
    <mergeCell ref="B2:H2"/>
    <mergeCell ref="D4:E4"/>
    <mergeCell ref="B6:C6"/>
    <mergeCell ref="B7:C7"/>
    <mergeCell ref="B10:C10"/>
  </mergeCells>
  <hyperlinks>
    <hyperlink ref="C201" r:id="rId1" xr:uid="{D15F8FD2-5957-4272-9F1C-367484B7FF4E}"/>
  </hyperlinks>
  <printOptions gridLines="1"/>
  <pageMargins left="0.7" right="0.7" top="0.75" bottom="0.75" header="0.3" footer="0.3"/>
  <pageSetup paperSize="9" scale="54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5C8B4-4127-4580-8B26-CE0DE6921811}">
  <sheetPr codeName="Sheet5">
    <pageSetUpPr autoPageBreaks="0"/>
  </sheetPr>
  <dimension ref="A1:M213"/>
  <sheetViews>
    <sheetView showGridLines="0" zoomScaleNormal="100" workbookViewId="0"/>
  </sheetViews>
  <sheetFormatPr defaultColWidth="17.7109375" defaultRowHeight="15" x14ac:dyDescent="0.25"/>
  <cols>
    <col min="1" max="1" width="3.85546875" style="76" customWidth="1"/>
    <col min="2" max="2" width="49" style="11" customWidth="1"/>
    <col min="3" max="3" width="23.85546875" style="11" customWidth="1"/>
    <col min="4" max="5" width="27.28515625" style="11" customWidth="1"/>
    <col min="6" max="6" width="24.7109375" style="11" customWidth="1"/>
    <col min="7" max="7" width="14.5703125" style="11" customWidth="1"/>
    <col min="8" max="8" width="13.7109375" style="11" customWidth="1"/>
    <col min="9" max="9" width="17.28515625" style="11" customWidth="1"/>
    <col min="10" max="10" width="19" style="11" bestFit="1" customWidth="1"/>
    <col min="11" max="15" width="17.7109375" style="11"/>
    <col min="16" max="16" width="22.5703125" style="11" bestFit="1" customWidth="1"/>
    <col min="17" max="16384" width="17.7109375" style="11"/>
  </cols>
  <sheetData>
    <row r="1" spans="1:10" ht="21.75" x14ac:dyDescent="0.25">
      <c r="B1" s="287" t="s">
        <v>34</v>
      </c>
      <c r="C1" s="287"/>
      <c r="D1" s="287"/>
      <c r="E1" s="287"/>
      <c r="F1" s="287"/>
      <c r="G1" s="287"/>
      <c r="H1" s="287"/>
    </row>
    <row r="2" spans="1:10" customFormat="1" ht="13.5" customHeight="1" x14ac:dyDescent="0.25">
      <c r="B2" s="276" t="s">
        <v>70</v>
      </c>
      <c r="C2" s="276"/>
      <c r="D2" s="276"/>
      <c r="E2" s="276"/>
      <c r="F2" s="276"/>
      <c r="G2" s="276"/>
      <c r="H2" s="276"/>
    </row>
    <row r="3" spans="1:10" customFormat="1" ht="13.5" customHeight="1" x14ac:dyDescent="0.3">
      <c r="B3" s="144"/>
      <c r="C3" s="144"/>
      <c r="D3" s="144"/>
      <c r="E3" s="144"/>
      <c r="F3" s="144"/>
      <c r="G3" s="144"/>
      <c r="H3" s="144"/>
    </row>
    <row r="4" spans="1:10" s="19" customFormat="1" ht="21" x14ac:dyDescent="0.25">
      <c r="A4" s="75"/>
      <c r="B4" s="55"/>
      <c r="C4" s="56"/>
      <c r="D4" s="273" t="s">
        <v>9</v>
      </c>
      <c r="E4" s="275"/>
      <c r="F4" s="274" t="s">
        <v>56</v>
      </c>
      <c r="G4" s="274"/>
      <c r="H4" s="275"/>
    </row>
    <row r="5" spans="1:10" s="19" customFormat="1" ht="15.75" x14ac:dyDescent="0.25">
      <c r="A5" s="75"/>
      <c r="B5" s="54" t="s">
        <v>32</v>
      </c>
      <c r="C5" s="20"/>
      <c r="D5" s="50"/>
      <c r="E5" s="24"/>
      <c r="F5" s="106"/>
      <c r="G5" s="155"/>
      <c r="H5" s="130"/>
    </row>
    <row r="6" spans="1:10" s="19" customFormat="1" ht="36.75" customHeight="1" x14ac:dyDescent="0.25">
      <c r="A6" s="75"/>
      <c r="B6" s="292" t="s">
        <v>35</v>
      </c>
      <c r="C6" s="293"/>
      <c r="D6" s="59"/>
      <c r="E6" s="24"/>
      <c r="F6" s="153"/>
      <c r="G6" s="44"/>
      <c r="H6" s="154"/>
    </row>
    <row r="7" spans="1:10" s="19" customFormat="1" ht="30" customHeight="1" x14ac:dyDescent="0.25">
      <c r="A7" s="75"/>
      <c r="B7" s="292" t="s">
        <v>36</v>
      </c>
      <c r="C7" s="293"/>
      <c r="D7" s="149"/>
      <c r="E7" s="24"/>
      <c r="F7" s="153"/>
      <c r="G7" s="44"/>
      <c r="H7" s="154"/>
    </row>
    <row r="8" spans="1:10" s="19" customFormat="1" x14ac:dyDescent="0.25">
      <c r="A8" s="75"/>
      <c r="B8" s="50"/>
      <c r="C8" s="20"/>
      <c r="D8" s="50"/>
      <c r="E8" s="24"/>
      <c r="F8" s="50"/>
      <c r="G8" s="20"/>
      <c r="H8" s="24"/>
    </row>
    <row r="9" spans="1:10" s="19" customFormat="1" ht="39" customHeight="1" x14ac:dyDescent="0.25">
      <c r="A9" s="75"/>
      <c r="B9" s="282" t="s">
        <v>8</v>
      </c>
      <c r="C9" s="283"/>
      <c r="D9" s="148"/>
      <c r="E9" s="24"/>
      <c r="F9" s="50"/>
      <c r="G9" s="20"/>
      <c r="H9" s="24"/>
    </row>
    <row r="10" spans="1:10" s="19" customFormat="1" ht="15" customHeight="1" x14ac:dyDescent="0.25">
      <c r="A10" s="75"/>
      <c r="B10" s="25"/>
      <c r="C10" s="20"/>
      <c r="D10" s="288" t="s">
        <v>57</v>
      </c>
      <c r="E10" s="289"/>
      <c r="F10" s="288" t="s">
        <v>13</v>
      </c>
      <c r="G10" s="290"/>
      <c r="H10" s="289"/>
    </row>
    <row r="11" spans="1:10" s="19" customFormat="1" ht="42" customHeight="1" x14ac:dyDescent="0.25">
      <c r="A11" s="75"/>
      <c r="B11" s="26"/>
      <c r="C11" s="68"/>
      <c r="D11" s="151"/>
      <c r="E11" s="69"/>
      <c r="F11" s="277" t="s">
        <v>102</v>
      </c>
      <c r="G11" s="278"/>
      <c r="H11" s="279"/>
    </row>
    <row r="12" spans="1:10" x14ac:dyDescent="0.25">
      <c r="I12" s="19"/>
      <c r="J12" s="19"/>
    </row>
    <row r="13" spans="1:10" x14ac:dyDescent="0.2">
      <c r="A13" s="42"/>
      <c r="B13" s="121" t="s">
        <v>55</v>
      </c>
      <c r="C13" s="193"/>
      <c r="D13" s="193"/>
      <c r="E13" s="193"/>
      <c r="F13" s="193"/>
      <c r="G13" s="193"/>
      <c r="H13" s="41"/>
    </row>
    <row r="14" spans="1:10" ht="5.25" customHeight="1" x14ac:dyDescent="0.2">
      <c r="A14" s="42"/>
      <c r="B14" s="121"/>
      <c r="C14" s="121"/>
      <c r="D14" s="121"/>
      <c r="E14" s="121"/>
      <c r="F14" s="121"/>
      <c r="G14" s="121"/>
      <c r="H14" s="42"/>
    </row>
    <row r="15" spans="1:10" customFormat="1" ht="5.25" customHeight="1" x14ac:dyDescent="0.25">
      <c r="A15" s="42"/>
      <c r="B15" s="121"/>
      <c r="C15" s="121"/>
      <c r="D15" s="121"/>
      <c r="E15" s="121"/>
      <c r="F15" s="121"/>
      <c r="G15" s="121"/>
      <c r="H15" s="42"/>
    </row>
    <row r="16" spans="1:10" customFormat="1" x14ac:dyDescent="0.25">
      <c r="A16" s="42"/>
      <c r="B16" s="271" t="s">
        <v>475</v>
      </c>
      <c r="C16" s="42"/>
      <c r="D16" s="42"/>
      <c r="E16" s="43"/>
      <c r="F16" s="42"/>
      <c r="G16" s="42"/>
      <c r="H16" s="42"/>
    </row>
    <row r="17" spans="1:8" customFormat="1" ht="15.75" thickBot="1" x14ac:dyDescent="0.3">
      <c r="A17" s="42"/>
      <c r="B17" s="258" t="s">
        <v>122</v>
      </c>
      <c r="C17" s="258" t="s">
        <v>123</v>
      </c>
      <c r="D17" s="258" t="s">
        <v>124</v>
      </c>
      <c r="E17" s="259" t="s">
        <v>125</v>
      </c>
      <c r="F17" s="260" t="s">
        <v>126</v>
      </c>
      <c r="G17" s="261" t="s">
        <v>51</v>
      </c>
      <c r="H17" s="261" t="s">
        <v>127</v>
      </c>
    </row>
    <row r="18" spans="1:8" customFormat="1" x14ac:dyDescent="0.25">
      <c r="A18" s="42"/>
      <c r="B18" s="163" t="s">
        <v>128</v>
      </c>
      <c r="C18" s="164"/>
      <c r="D18" s="164"/>
      <c r="E18" s="165"/>
      <c r="F18" s="166"/>
      <c r="G18" s="167"/>
      <c r="H18" s="168"/>
    </row>
    <row r="19" spans="1:8" customFormat="1" x14ac:dyDescent="0.25">
      <c r="A19" s="42"/>
      <c r="B19" s="254"/>
      <c r="C19" s="254"/>
      <c r="D19" s="254"/>
      <c r="E19" s="224"/>
      <c r="F19" s="160"/>
      <c r="G19" s="161"/>
      <c r="H19" s="162"/>
    </row>
    <row r="20" spans="1:8" customFormat="1" x14ac:dyDescent="0.25">
      <c r="A20" s="42"/>
      <c r="B20" s="173" t="s">
        <v>129</v>
      </c>
      <c r="C20" s="174"/>
      <c r="D20" s="174"/>
      <c r="E20" s="175"/>
      <c r="F20" s="176"/>
      <c r="G20" s="177"/>
      <c r="H20" s="178"/>
    </row>
    <row r="21" spans="1:8" customFormat="1" x14ac:dyDescent="0.25">
      <c r="A21" s="159" t="s">
        <v>48</v>
      </c>
      <c r="B21" s="254" t="s">
        <v>146</v>
      </c>
      <c r="C21" s="254" t="s">
        <v>147</v>
      </c>
      <c r="D21" s="254" t="s">
        <v>111</v>
      </c>
      <c r="E21" s="224">
        <v>54031</v>
      </c>
      <c r="F21" s="160">
        <v>704.56</v>
      </c>
      <c r="G21" s="161">
        <v>4.95</v>
      </c>
      <c r="H21" s="162"/>
    </row>
    <row r="22" spans="1:8" customFormat="1" x14ac:dyDescent="0.25">
      <c r="A22" s="159" t="s">
        <v>48</v>
      </c>
      <c r="B22" s="254" t="s">
        <v>140</v>
      </c>
      <c r="C22" s="254" t="s">
        <v>141</v>
      </c>
      <c r="D22" s="254" t="s">
        <v>67</v>
      </c>
      <c r="E22" s="224">
        <v>84293</v>
      </c>
      <c r="F22" s="160">
        <v>675.23</v>
      </c>
      <c r="G22" s="161">
        <v>4.74</v>
      </c>
      <c r="H22" s="162"/>
    </row>
    <row r="23" spans="1:8" customFormat="1" x14ac:dyDescent="0.25">
      <c r="A23" s="159" t="s">
        <v>48</v>
      </c>
      <c r="B23" s="254" t="s">
        <v>142</v>
      </c>
      <c r="C23" s="254" t="s">
        <v>143</v>
      </c>
      <c r="D23" s="254" t="s">
        <v>67</v>
      </c>
      <c r="E23" s="224">
        <v>43041</v>
      </c>
      <c r="F23" s="160">
        <v>607.48</v>
      </c>
      <c r="G23" s="161">
        <v>4.26</v>
      </c>
      <c r="H23" s="162"/>
    </row>
    <row r="24" spans="1:8" customFormat="1" x14ac:dyDescent="0.25">
      <c r="A24" s="159" t="s">
        <v>48</v>
      </c>
      <c r="B24" s="254" t="s">
        <v>144</v>
      </c>
      <c r="C24" s="254" t="s">
        <v>145</v>
      </c>
      <c r="D24" s="254" t="s">
        <v>42</v>
      </c>
      <c r="E24" s="224">
        <v>27428</v>
      </c>
      <c r="F24" s="160">
        <v>523.98</v>
      </c>
      <c r="G24" s="161">
        <v>3.68</v>
      </c>
      <c r="H24" s="162"/>
    </row>
    <row r="25" spans="1:8" customFormat="1" x14ac:dyDescent="0.25">
      <c r="A25" s="159" t="s">
        <v>48</v>
      </c>
      <c r="B25" s="254" t="s">
        <v>154</v>
      </c>
      <c r="C25" s="254" t="s">
        <v>155</v>
      </c>
      <c r="D25" s="254" t="s">
        <v>67</v>
      </c>
      <c r="E25" s="224">
        <v>40469</v>
      </c>
      <c r="F25" s="160">
        <v>420.88</v>
      </c>
      <c r="G25" s="161">
        <v>2.95</v>
      </c>
      <c r="H25" s="162"/>
    </row>
    <row r="26" spans="1:8" customFormat="1" x14ac:dyDescent="0.25">
      <c r="A26" s="159" t="s">
        <v>48</v>
      </c>
      <c r="B26" s="254" t="s">
        <v>148</v>
      </c>
      <c r="C26" s="254" t="s">
        <v>149</v>
      </c>
      <c r="D26" s="254" t="s">
        <v>67</v>
      </c>
      <c r="E26" s="224">
        <v>29071</v>
      </c>
      <c r="F26" s="160">
        <v>390.16</v>
      </c>
      <c r="G26" s="161">
        <v>2.74</v>
      </c>
      <c r="H26" s="162"/>
    </row>
    <row r="27" spans="1:8" customFormat="1" x14ac:dyDescent="0.25">
      <c r="A27" s="223" t="s">
        <v>48</v>
      </c>
      <c r="B27" s="254" t="s">
        <v>164</v>
      </c>
      <c r="C27" s="254" t="s">
        <v>165</v>
      </c>
      <c r="D27" s="254" t="s">
        <v>45</v>
      </c>
      <c r="E27" s="224">
        <v>19275</v>
      </c>
      <c r="F27" s="160">
        <v>367.15</v>
      </c>
      <c r="G27" s="161">
        <v>2.58</v>
      </c>
      <c r="H27" s="162"/>
    </row>
    <row r="28" spans="1:8" customFormat="1" x14ac:dyDescent="0.25">
      <c r="A28" s="223"/>
      <c r="B28" s="254" t="s">
        <v>294</v>
      </c>
      <c r="C28" s="254" t="s">
        <v>295</v>
      </c>
      <c r="D28" s="254" t="s">
        <v>43</v>
      </c>
      <c r="E28" s="224">
        <v>29456</v>
      </c>
      <c r="F28" s="160">
        <v>303.81</v>
      </c>
      <c r="G28" s="161">
        <v>2.13</v>
      </c>
      <c r="H28" s="162"/>
    </row>
    <row r="29" spans="1:8" customFormat="1" x14ac:dyDescent="0.25">
      <c r="A29" s="42"/>
      <c r="B29" s="254" t="s">
        <v>194</v>
      </c>
      <c r="C29" s="254" t="s">
        <v>389</v>
      </c>
      <c r="D29" s="254" t="s">
        <v>67</v>
      </c>
      <c r="E29" s="224">
        <v>75660</v>
      </c>
      <c r="F29" s="160">
        <v>300.18</v>
      </c>
      <c r="G29" s="161">
        <v>2.11</v>
      </c>
      <c r="H29" s="162"/>
    </row>
    <row r="30" spans="1:8" customFormat="1" x14ac:dyDescent="0.25">
      <c r="A30" s="42"/>
      <c r="B30" s="254" t="s">
        <v>152</v>
      </c>
      <c r="C30" s="254" t="s">
        <v>153</v>
      </c>
      <c r="D30" s="254" t="s">
        <v>44</v>
      </c>
      <c r="E30" s="224">
        <v>8864</v>
      </c>
      <c r="F30" s="160">
        <v>278.05</v>
      </c>
      <c r="G30" s="161">
        <v>1.95</v>
      </c>
      <c r="H30" s="162"/>
    </row>
    <row r="31" spans="1:8" customFormat="1" x14ac:dyDescent="0.25">
      <c r="A31" s="42"/>
      <c r="B31" s="254" t="s">
        <v>150</v>
      </c>
      <c r="C31" s="254" t="s">
        <v>151</v>
      </c>
      <c r="D31" s="254" t="s">
        <v>105</v>
      </c>
      <c r="E31" s="224">
        <v>71344</v>
      </c>
      <c r="F31" s="160">
        <v>206.86</v>
      </c>
      <c r="G31" s="161">
        <v>1.45</v>
      </c>
      <c r="H31" s="162"/>
    </row>
    <row r="32" spans="1:8" customFormat="1" x14ac:dyDescent="0.25">
      <c r="A32" s="42"/>
      <c r="B32" s="254" t="s">
        <v>182</v>
      </c>
      <c r="C32" s="254" t="s">
        <v>183</v>
      </c>
      <c r="D32" s="254" t="s">
        <v>93</v>
      </c>
      <c r="E32" s="224">
        <v>3434</v>
      </c>
      <c r="F32" s="160">
        <v>186.35</v>
      </c>
      <c r="G32" s="161">
        <v>1.31</v>
      </c>
      <c r="H32" s="162"/>
    </row>
    <row r="33" spans="1:8" customFormat="1" x14ac:dyDescent="0.25">
      <c r="A33" s="42"/>
      <c r="B33" s="254" t="s">
        <v>162</v>
      </c>
      <c r="C33" s="254" t="s">
        <v>163</v>
      </c>
      <c r="D33" s="254" t="s">
        <v>94</v>
      </c>
      <c r="E33" s="224">
        <v>4583</v>
      </c>
      <c r="F33" s="160">
        <v>184.54</v>
      </c>
      <c r="G33" s="161">
        <v>1.3</v>
      </c>
      <c r="H33" s="162"/>
    </row>
    <row r="34" spans="1:8" customFormat="1" x14ac:dyDescent="0.25">
      <c r="A34" s="42"/>
      <c r="B34" s="254" t="s">
        <v>168</v>
      </c>
      <c r="C34" s="254" t="s">
        <v>169</v>
      </c>
      <c r="D34" s="254" t="s">
        <v>50</v>
      </c>
      <c r="E34" s="224">
        <v>17464</v>
      </c>
      <c r="F34" s="160">
        <v>182.88</v>
      </c>
      <c r="G34" s="161">
        <v>1.28</v>
      </c>
      <c r="H34" s="162"/>
    </row>
    <row r="35" spans="1:8" customFormat="1" x14ac:dyDescent="0.25">
      <c r="A35" s="42"/>
      <c r="B35" s="254" t="s">
        <v>374</v>
      </c>
      <c r="C35" s="254" t="s">
        <v>375</v>
      </c>
      <c r="D35" s="254" t="s">
        <v>121</v>
      </c>
      <c r="E35" s="224">
        <v>10079</v>
      </c>
      <c r="F35" s="160">
        <v>180.28</v>
      </c>
      <c r="G35" s="161">
        <v>1.27</v>
      </c>
      <c r="H35" s="162"/>
    </row>
    <row r="36" spans="1:8" customFormat="1" x14ac:dyDescent="0.25">
      <c r="A36" s="42"/>
      <c r="B36" s="254" t="s">
        <v>156</v>
      </c>
      <c r="C36" s="254" t="s">
        <v>157</v>
      </c>
      <c r="D36" s="254" t="s">
        <v>50</v>
      </c>
      <c r="E36" s="224">
        <v>8607</v>
      </c>
      <c r="F36" s="160">
        <v>180.19</v>
      </c>
      <c r="G36" s="161">
        <v>1.26</v>
      </c>
      <c r="H36" s="162"/>
    </row>
    <row r="37" spans="1:8" customFormat="1" x14ac:dyDescent="0.25">
      <c r="A37" s="42"/>
      <c r="B37" s="254" t="s">
        <v>203</v>
      </c>
      <c r="C37" s="254" t="s">
        <v>204</v>
      </c>
      <c r="D37" s="254" t="s">
        <v>130</v>
      </c>
      <c r="E37" s="224">
        <v>33635</v>
      </c>
      <c r="F37" s="160">
        <v>173.49</v>
      </c>
      <c r="G37" s="161">
        <v>1.22</v>
      </c>
      <c r="H37" s="162"/>
    </row>
    <row r="38" spans="1:8" customFormat="1" x14ac:dyDescent="0.25">
      <c r="A38" s="42"/>
      <c r="B38" s="254" t="s">
        <v>199</v>
      </c>
      <c r="C38" s="254" t="s">
        <v>200</v>
      </c>
      <c r="D38" s="254" t="s">
        <v>50</v>
      </c>
      <c r="E38" s="224">
        <v>15103</v>
      </c>
      <c r="F38" s="160">
        <v>172.02</v>
      </c>
      <c r="G38" s="161">
        <v>1.21</v>
      </c>
      <c r="H38" s="162"/>
    </row>
    <row r="39" spans="1:8" customFormat="1" x14ac:dyDescent="0.25">
      <c r="A39" s="42"/>
      <c r="B39" s="254" t="s">
        <v>272</v>
      </c>
      <c r="C39" s="254" t="s">
        <v>273</v>
      </c>
      <c r="D39" s="254" t="s">
        <v>274</v>
      </c>
      <c r="E39" s="224">
        <v>58769</v>
      </c>
      <c r="F39" s="160">
        <v>165.52</v>
      </c>
      <c r="G39" s="161">
        <v>1.1599999999999999</v>
      </c>
      <c r="H39" s="162"/>
    </row>
    <row r="40" spans="1:8" customFormat="1" x14ac:dyDescent="0.25">
      <c r="A40" s="42"/>
      <c r="B40" s="254" t="s">
        <v>188</v>
      </c>
      <c r="C40" s="254" t="s">
        <v>189</v>
      </c>
      <c r="D40" s="254" t="s">
        <v>109</v>
      </c>
      <c r="E40" s="224">
        <v>45602</v>
      </c>
      <c r="F40" s="160">
        <v>162.55000000000001</v>
      </c>
      <c r="G40" s="161">
        <v>1.1399999999999999</v>
      </c>
      <c r="H40" s="162"/>
    </row>
    <row r="41" spans="1:8" customFormat="1" x14ac:dyDescent="0.25">
      <c r="A41" s="42"/>
      <c r="B41" s="254" t="s">
        <v>178</v>
      </c>
      <c r="C41" s="254" t="s">
        <v>179</v>
      </c>
      <c r="D41" s="254" t="s">
        <v>44</v>
      </c>
      <c r="E41" s="224">
        <v>4130</v>
      </c>
      <c r="F41" s="160">
        <v>149.81</v>
      </c>
      <c r="G41" s="161">
        <v>1.05</v>
      </c>
      <c r="H41" s="162"/>
    </row>
    <row r="42" spans="1:8" customFormat="1" x14ac:dyDescent="0.25">
      <c r="A42" s="42"/>
      <c r="B42" s="254" t="s">
        <v>298</v>
      </c>
      <c r="C42" s="254" t="s">
        <v>299</v>
      </c>
      <c r="D42" s="254" t="s">
        <v>45</v>
      </c>
      <c r="E42" s="224">
        <v>2115</v>
      </c>
      <c r="F42" s="160">
        <v>142.91</v>
      </c>
      <c r="G42" s="161">
        <v>1</v>
      </c>
      <c r="H42" s="162"/>
    </row>
    <row r="43" spans="1:8" customFormat="1" x14ac:dyDescent="0.25">
      <c r="A43" s="42"/>
      <c r="B43" s="254" t="s">
        <v>338</v>
      </c>
      <c r="C43" s="254" t="s">
        <v>339</v>
      </c>
      <c r="D43" s="254" t="s">
        <v>66</v>
      </c>
      <c r="E43" s="224">
        <v>8989</v>
      </c>
      <c r="F43" s="160">
        <v>129.44</v>
      </c>
      <c r="G43" s="161">
        <v>0.91</v>
      </c>
      <c r="H43" s="162"/>
    </row>
    <row r="44" spans="1:8" customFormat="1" x14ac:dyDescent="0.25">
      <c r="A44" s="42"/>
      <c r="B44" s="254" t="s">
        <v>306</v>
      </c>
      <c r="C44" s="254" t="s">
        <v>307</v>
      </c>
      <c r="D44" s="254" t="s">
        <v>119</v>
      </c>
      <c r="E44" s="224">
        <v>28130</v>
      </c>
      <c r="F44" s="160">
        <v>123.41</v>
      </c>
      <c r="G44" s="161">
        <v>0.87</v>
      </c>
      <c r="H44" s="162"/>
    </row>
    <row r="45" spans="1:8" customFormat="1" x14ac:dyDescent="0.25">
      <c r="A45" s="42"/>
      <c r="B45" s="254" t="s">
        <v>180</v>
      </c>
      <c r="C45" s="254" t="s">
        <v>181</v>
      </c>
      <c r="D45" s="254" t="s">
        <v>44</v>
      </c>
      <c r="E45" s="224">
        <v>808</v>
      </c>
      <c r="F45" s="160">
        <v>116.08</v>
      </c>
      <c r="G45" s="161">
        <v>0.81</v>
      </c>
      <c r="H45" s="162"/>
    </row>
    <row r="46" spans="1:8" customFormat="1" x14ac:dyDescent="0.25">
      <c r="A46" s="42"/>
      <c r="B46" s="254" t="s">
        <v>235</v>
      </c>
      <c r="C46" s="254" t="s">
        <v>236</v>
      </c>
      <c r="D46" s="254" t="s">
        <v>94</v>
      </c>
      <c r="E46" s="224">
        <v>8039</v>
      </c>
      <c r="F46" s="160">
        <v>111.26</v>
      </c>
      <c r="G46" s="161">
        <v>0.78</v>
      </c>
      <c r="H46" s="162"/>
    </row>
    <row r="47" spans="1:8" customFormat="1" x14ac:dyDescent="0.25">
      <c r="A47" s="42"/>
      <c r="B47" s="254" t="s">
        <v>359</v>
      </c>
      <c r="C47" s="254" t="s">
        <v>360</v>
      </c>
      <c r="D47" s="254" t="s">
        <v>65</v>
      </c>
      <c r="E47" s="224">
        <v>42393</v>
      </c>
      <c r="F47" s="160">
        <v>108.43</v>
      </c>
      <c r="G47" s="161">
        <v>0.76</v>
      </c>
      <c r="H47" s="162"/>
    </row>
    <row r="48" spans="1:8" customFormat="1" x14ac:dyDescent="0.25">
      <c r="A48" s="42"/>
      <c r="B48" s="254" t="s">
        <v>221</v>
      </c>
      <c r="C48" s="254" t="s">
        <v>222</v>
      </c>
      <c r="D48" s="254" t="s">
        <v>108</v>
      </c>
      <c r="E48" s="224">
        <v>24447</v>
      </c>
      <c r="F48" s="160">
        <v>108.4</v>
      </c>
      <c r="G48" s="161">
        <v>0.76</v>
      </c>
      <c r="H48" s="162"/>
    </row>
    <row r="49" spans="1:8" customFormat="1" x14ac:dyDescent="0.25">
      <c r="A49" s="42"/>
      <c r="B49" s="254" t="s">
        <v>342</v>
      </c>
      <c r="C49" s="254" t="s">
        <v>343</v>
      </c>
      <c r="D49" s="254" t="s">
        <v>114</v>
      </c>
      <c r="E49" s="224">
        <v>4475</v>
      </c>
      <c r="F49" s="160">
        <v>104.86</v>
      </c>
      <c r="G49" s="161">
        <v>0.74</v>
      </c>
      <c r="H49" s="162"/>
    </row>
    <row r="50" spans="1:8" customFormat="1" x14ac:dyDescent="0.25">
      <c r="A50" s="42"/>
      <c r="B50" s="254" t="s">
        <v>241</v>
      </c>
      <c r="C50" s="254" t="s">
        <v>242</v>
      </c>
      <c r="D50" s="254" t="s">
        <v>135</v>
      </c>
      <c r="E50" s="224">
        <v>5436</v>
      </c>
      <c r="F50" s="160">
        <v>101.88</v>
      </c>
      <c r="G50" s="161">
        <v>0.72</v>
      </c>
      <c r="H50" s="162"/>
    </row>
    <row r="51" spans="1:8" customFormat="1" x14ac:dyDescent="0.25">
      <c r="A51" s="42"/>
      <c r="B51" s="254" t="s">
        <v>217</v>
      </c>
      <c r="C51" s="254" t="s">
        <v>218</v>
      </c>
      <c r="D51" s="254" t="s">
        <v>121</v>
      </c>
      <c r="E51" s="224">
        <v>17863</v>
      </c>
      <c r="F51" s="160">
        <v>101.41</v>
      </c>
      <c r="G51" s="161">
        <v>0.71</v>
      </c>
      <c r="H51" s="162"/>
    </row>
    <row r="52" spans="1:8" customFormat="1" x14ac:dyDescent="0.25">
      <c r="A52" s="42"/>
      <c r="B52" s="254" t="s">
        <v>227</v>
      </c>
      <c r="C52" s="254" t="s">
        <v>228</v>
      </c>
      <c r="D52" s="254" t="s">
        <v>114</v>
      </c>
      <c r="E52" s="224">
        <v>4502</v>
      </c>
      <c r="F52" s="160">
        <v>100.43</v>
      </c>
      <c r="G52" s="161">
        <v>0.71</v>
      </c>
      <c r="H52" s="162"/>
    </row>
    <row r="53" spans="1:8" customFormat="1" x14ac:dyDescent="0.25">
      <c r="A53" s="42"/>
      <c r="B53" s="254" t="s">
        <v>190</v>
      </c>
      <c r="C53" s="254" t="s">
        <v>191</v>
      </c>
      <c r="D53" s="254" t="s">
        <v>107</v>
      </c>
      <c r="E53" s="224">
        <v>52359</v>
      </c>
      <c r="F53" s="160">
        <v>99.38</v>
      </c>
      <c r="G53" s="161">
        <v>0.7</v>
      </c>
      <c r="H53" s="162"/>
    </row>
    <row r="54" spans="1:8" customFormat="1" x14ac:dyDescent="0.25">
      <c r="A54" s="42"/>
      <c r="B54" s="254" t="s">
        <v>209</v>
      </c>
      <c r="C54" s="254" t="s">
        <v>210</v>
      </c>
      <c r="D54" s="254" t="s">
        <v>43</v>
      </c>
      <c r="E54" s="224">
        <v>26931</v>
      </c>
      <c r="F54" s="160">
        <v>98.34</v>
      </c>
      <c r="G54" s="161">
        <v>0.69</v>
      </c>
      <c r="H54" s="162"/>
    </row>
    <row r="55" spans="1:8" customFormat="1" x14ac:dyDescent="0.25">
      <c r="A55" s="42"/>
      <c r="B55" s="254" t="s">
        <v>352</v>
      </c>
      <c r="C55" s="254" t="s">
        <v>353</v>
      </c>
      <c r="D55" s="254" t="s">
        <v>45</v>
      </c>
      <c r="E55" s="224">
        <v>2873</v>
      </c>
      <c r="F55" s="160">
        <v>95.56</v>
      </c>
      <c r="G55" s="161">
        <v>0.67</v>
      </c>
      <c r="H55" s="162"/>
    </row>
    <row r="56" spans="1:8" customFormat="1" x14ac:dyDescent="0.25">
      <c r="A56" s="42"/>
      <c r="B56" s="254" t="s">
        <v>195</v>
      </c>
      <c r="C56" s="254" t="s">
        <v>196</v>
      </c>
      <c r="D56" s="254" t="s">
        <v>45</v>
      </c>
      <c r="E56" s="224">
        <v>6529</v>
      </c>
      <c r="F56" s="160">
        <v>95.21</v>
      </c>
      <c r="G56" s="161">
        <v>0.67</v>
      </c>
      <c r="H56" s="162"/>
    </row>
    <row r="57" spans="1:8" customFormat="1" x14ac:dyDescent="0.25">
      <c r="A57" s="42"/>
      <c r="B57" s="254" t="s">
        <v>310</v>
      </c>
      <c r="C57" s="254" t="s">
        <v>311</v>
      </c>
      <c r="D57" s="254" t="s">
        <v>114</v>
      </c>
      <c r="E57" s="224">
        <v>3650</v>
      </c>
      <c r="F57" s="160">
        <v>91.71</v>
      </c>
      <c r="G57" s="161">
        <v>0.64</v>
      </c>
      <c r="H57" s="162"/>
    </row>
    <row r="58" spans="1:8" customFormat="1" x14ac:dyDescent="0.25">
      <c r="A58" s="42"/>
      <c r="B58" s="254" t="s">
        <v>176</v>
      </c>
      <c r="C58" s="254" t="s">
        <v>177</v>
      </c>
      <c r="D58" s="254" t="s">
        <v>113</v>
      </c>
      <c r="E58" s="224">
        <v>10681</v>
      </c>
      <c r="F58" s="160">
        <v>89.57</v>
      </c>
      <c r="G58" s="161">
        <v>0.63</v>
      </c>
      <c r="H58" s="162"/>
    </row>
    <row r="59" spans="1:8" customFormat="1" x14ac:dyDescent="0.25">
      <c r="A59" s="42"/>
      <c r="B59" s="254" t="s">
        <v>229</v>
      </c>
      <c r="C59" s="254" t="s">
        <v>230</v>
      </c>
      <c r="D59" s="254" t="s">
        <v>120</v>
      </c>
      <c r="E59" s="224">
        <v>21065</v>
      </c>
      <c r="F59" s="160">
        <v>88.92</v>
      </c>
      <c r="G59" s="161">
        <v>0.62</v>
      </c>
      <c r="H59" s="162"/>
    </row>
    <row r="60" spans="1:8" customFormat="1" x14ac:dyDescent="0.25">
      <c r="A60" s="42"/>
      <c r="B60" s="254" t="s">
        <v>414</v>
      </c>
      <c r="C60" s="254" t="s">
        <v>415</v>
      </c>
      <c r="D60" s="254" t="s">
        <v>118</v>
      </c>
      <c r="E60" s="224">
        <v>7960</v>
      </c>
      <c r="F60" s="160">
        <v>88.88</v>
      </c>
      <c r="G60" s="161">
        <v>0.62</v>
      </c>
      <c r="H60" s="162"/>
    </row>
    <row r="61" spans="1:8" customFormat="1" x14ac:dyDescent="0.25">
      <c r="A61" s="42"/>
      <c r="B61" s="254" t="s">
        <v>304</v>
      </c>
      <c r="C61" s="254" t="s">
        <v>305</v>
      </c>
      <c r="D61" s="254" t="s">
        <v>44</v>
      </c>
      <c r="E61" s="224">
        <v>4408</v>
      </c>
      <c r="F61" s="160">
        <v>87.87</v>
      </c>
      <c r="G61" s="161">
        <v>0.62</v>
      </c>
      <c r="H61" s="162"/>
    </row>
    <row r="62" spans="1:8" customFormat="1" x14ac:dyDescent="0.25">
      <c r="A62" s="42"/>
      <c r="B62" s="254" t="s">
        <v>340</v>
      </c>
      <c r="C62" s="254" t="s">
        <v>341</v>
      </c>
      <c r="D62" s="254" t="s">
        <v>68</v>
      </c>
      <c r="E62" s="224">
        <v>46768</v>
      </c>
      <c r="F62" s="160">
        <v>87.1</v>
      </c>
      <c r="G62" s="161">
        <v>0.61</v>
      </c>
      <c r="H62" s="162"/>
    </row>
    <row r="63" spans="1:8" customFormat="1" x14ac:dyDescent="0.25">
      <c r="A63" s="42"/>
      <c r="B63" s="254" t="s">
        <v>420</v>
      </c>
      <c r="C63" s="254" t="s">
        <v>421</v>
      </c>
      <c r="D63" s="254" t="s">
        <v>68</v>
      </c>
      <c r="E63" s="224">
        <v>40260</v>
      </c>
      <c r="F63" s="160">
        <v>71.64</v>
      </c>
      <c r="G63" s="161">
        <v>0.5</v>
      </c>
      <c r="H63" s="162"/>
    </row>
    <row r="64" spans="1:8" customFormat="1" x14ac:dyDescent="0.25">
      <c r="A64" s="42"/>
      <c r="B64" s="254" t="s">
        <v>174</v>
      </c>
      <c r="C64" s="254" t="s">
        <v>175</v>
      </c>
      <c r="D64" s="254" t="s">
        <v>114</v>
      </c>
      <c r="E64" s="224">
        <v>9934</v>
      </c>
      <c r="F64" s="160">
        <v>70.02</v>
      </c>
      <c r="G64" s="161">
        <v>0.49</v>
      </c>
      <c r="H64" s="162"/>
    </row>
    <row r="65" spans="1:8" customFormat="1" x14ac:dyDescent="0.25">
      <c r="A65" s="42"/>
      <c r="B65" s="254" t="s">
        <v>422</v>
      </c>
      <c r="C65" s="254" t="s">
        <v>423</v>
      </c>
      <c r="D65" s="254" t="s">
        <v>424</v>
      </c>
      <c r="E65" s="224">
        <v>16500</v>
      </c>
      <c r="F65" s="160">
        <v>69.31</v>
      </c>
      <c r="G65" s="161">
        <v>0.49</v>
      </c>
      <c r="H65" s="162"/>
    </row>
    <row r="66" spans="1:8" customFormat="1" x14ac:dyDescent="0.25">
      <c r="A66" s="42"/>
      <c r="B66" s="254" t="s">
        <v>312</v>
      </c>
      <c r="C66" s="254" t="s">
        <v>313</v>
      </c>
      <c r="D66" s="254" t="s">
        <v>47</v>
      </c>
      <c r="E66" s="224">
        <v>1545</v>
      </c>
      <c r="F66" s="160">
        <v>68.430000000000007</v>
      </c>
      <c r="G66" s="161">
        <v>0.48</v>
      </c>
      <c r="H66" s="162"/>
    </row>
    <row r="67" spans="1:8" customFormat="1" x14ac:dyDescent="0.25">
      <c r="A67" s="42"/>
      <c r="B67" s="254" t="s">
        <v>239</v>
      </c>
      <c r="C67" s="254" t="s">
        <v>240</v>
      </c>
      <c r="D67" s="254" t="s">
        <v>120</v>
      </c>
      <c r="E67" s="224">
        <v>28723</v>
      </c>
      <c r="F67" s="160">
        <v>68.31</v>
      </c>
      <c r="G67" s="161">
        <v>0.48</v>
      </c>
      <c r="H67" s="162"/>
    </row>
    <row r="68" spans="1:8" customFormat="1" x14ac:dyDescent="0.25">
      <c r="A68" s="42"/>
      <c r="B68" s="254" t="s">
        <v>308</v>
      </c>
      <c r="C68" s="254" t="s">
        <v>309</v>
      </c>
      <c r="D68" s="254" t="s">
        <v>68</v>
      </c>
      <c r="E68" s="224">
        <v>36482</v>
      </c>
      <c r="F68" s="160">
        <v>65.16</v>
      </c>
      <c r="G68" s="161">
        <v>0.46</v>
      </c>
      <c r="H68" s="162"/>
    </row>
    <row r="69" spans="1:8" customFormat="1" x14ac:dyDescent="0.25">
      <c r="A69" s="42"/>
      <c r="B69" s="254" t="s">
        <v>270</v>
      </c>
      <c r="C69" s="254" t="s">
        <v>271</v>
      </c>
      <c r="D69" s="254" t="s">
        <v>45</v>
      </c>
      <c r="E69" s="224">
        <v>4333</v>
      </c>
      <c r="F69" s="160">
        <v>62.01</v>
      </c>
      <c r="G69" s="161">
        <v>0.44</v>
      </c>
      <c r="H69" s="162"/>
    </row>
    <row r="70" spans="1:8" customFormat="1" x14ac:dyDescent="0.25">
      <c r="A70" s="42"/>
      <c r="B70" s="254" t="s">
        <v>186</v>
      </c>
      <c r="C70" s="254" t="s">
        <v>187</v>
      </c>
      <c r="D70" s="254" t="s">
        <v>47</v>
      </c>
      <c r="E70" s="224">
        <v>14457</v>
      </c>
      <c r="F70" s="160">
        <v>60.44</v>
      </c>
      <c r="G70" s="161">
        <v>0.42</v>
      </c>
      <c r="H70" s="162"/>
    </row>
    <row r="71" spans="1:8" customFormat="1" x14ac:dyDescent="0.25">
      <c r="A71" s="42"/>
      <c r="B71" s="254" t="s">
        <v>286</v>
      </c>
      <c r="C71" s="254" t="s">
        <v>287</v>
      </c>
      <c r="D71" s="254" t="s">
        <v>113</v>
      </c>
      <c r="E71" s="224">
        <v>14442</v>
      </c>
      <c r="F71" s="160">
        <v>54.76</v>
      </c>
      <c r="G71" s="161">
        <v>0.38</v>
      </c>
      <c r="H71" s="162"/>
    </row>
    <row r="72" spans="1:8" customFormat="1" x14ac:dyDescent="0.25">
      <c r="A72" s="42"/>
      <c r="B72" s="254" t="s">
        <v>367</v>
      </c>
      <c r="C72" s="254" t="s">
        <v>368</v>
      </c>
      <c r="D72" s="254" t="s">
        <v>369</v>
      </c>
      <c r="E72" s="224">
        <v>131837</v>
      </c>
      <c r="F72" s="160">
        <v>54.03</v>
      </c>
      <c r="G72" s="161">
        <v>0.38</v>
      </c>
      <c r="H72" s="162"/>
    </row>
    <row r="73" spans="1:8" customFormat="1" x14ac:dyDescent="0.25">
      <c r="A73" s="42"/>
      <c r="B73" s="254" t="s">
        <v>435</v>
      </c>
      <c r="C73" s="254" t="s">
        <v>436</v>
      </c>
      <c r="D73" s="254" t="s">
        <v>117</v>
      </c>
      <c r="E73" s="224">
        <v>3240</v>
      </c>
      <c r="F73" s="160">
        <v>53.44</v>
      </c>
      <c r="G73" s="161">
        <v>0.38</v>
      </c>
      <c r="H73" s="162"/>
    </row>
    <row r="74" spans="1:8" customFormat="1" x14ac:dyDescent="0.25">
      <c r="A74" s="42"/>
      <c r="B74" s="254" t="s">
        <v>192</v>
      </c>
      <c r="C74" s="254" t="s">
        <v>193</v>
      </c>
      <c r="D74" s="254" t="s">
        <v>109</v>
      </c>
      <c r="E74" s="224">
        <v>18049</v>
      </c>
      <c r="F74" s="160">
        <v>51.95</v>
      </c>
      <c r="G74" s="161">
        <v>0.36</v>
      </c>
      <c r="H74" s="162"/>
    </row>
    <row r="75" spans="1:8" customFormat="1" x14ac:dyDescent="0.25">
      <c r="A75" s="42"/>
      <c r="B75" s="254" t="s">
        <v>219</v>
      </c>
      <c r="C75" s="254" t="s">
        <v>220</v>
      </c>
      <c r="D75" s="254" t="s">
        <v>66</v>
      </c>
      <c r="E75" s="224">
        <v>2528</v>
      </c>
      <c r="F75" s="160">
        <v>50.63</v>
      </c>
      <c r="G75" s="161">
        <v>0.36</v>
      </c>
      <c r="H75" s="162"/>
    </row>
    <row r="76" spans="1:8" customFormat="1" x14ac:dyDescent="0.25">
      <c r="A76" s="42"/>
      <c r="B76" s="254" t="s">
        <v>354</v>
      </c>
      <c r="C76" s="254" t="s">
        <v>355</v>
      </c>
      <c r="D76" s="254" t="s">
        <v>356</v>
      </c>
      <c r="E76" s="224">
        <v>7260</v>
      </c>
      <c r="F76" s="160">
        <v>49.71</v>
      </c>
      <c r="G76" s="161">
        <v>0.35</v>
      </c>
      <c r="H76" s="162"/>
    </row>
    <row r="77" spans="1:8" customFormat="1" x14ac:dyDescent="0.25">
      <c r="A77" s="42"/>
      <c r="B77" s="254" t="s">
        <v>211</v>
      </c>
      <c r="C77" s="254" t="s">
        <v>212</v>
      </c>
      <c r="D77" s="254" t="s">
        <v>115</v>
      </c>
      <c r="E77" s="224">
        <v>56853</v>
      </c>
      <c r="F77" s="160">
        <v>48.55</v>
      </c>
      <c r="G77" s="161">
        <v>0.34</v>
      </c>
      <c r="H77" s="162"/>
    </row>
    <row r="78" spans="1:8" customFormat="1" x14ac:dyDescent="0.25">
      <c r="A78" s="42"/>
      <c r="B78" s="254" t="s">
        <v>390</v>
      </c>
      <c r="C78" s="254" t="s">
        <v>391</v>
      </c>
      <c r="D78" s="254" t="s">
        <v>46</v>
      </c>
      <c r="E78" s="224">
        <v>6715</v>
      </c>
      <c r="F78" s="160">
        <v>44.33</v>
      </c>
      <c r="G78" s="161">
        <v>0.31</v>
      </c>
      <c r="H78" s="162"/>
    </row>
    <row r="79" spans="1:8" customFormat="1" x14ac:dyDescent="0.25">
      <c r="A79" s="42"/>
      <c r="B79" s="254" t="s">
        <v>416</v>
      </c>
      <c r="C79" s="254" t="s">
        <v>417</v>
      </c>
      <c r="D79" s="254" t="s">
        <v>418</v>
      </c>
      <c r="E79" s="224">
        <v>2555</v>
      </c>
      <c r="F79" s="160">
        <v>40.659999999999997</v>
      </c>
      <c r="G79" s="161">
        <v>0.28999999999999998</v>
      </c>
      <c r="H79" s="162"/>
    </row>
    <row r="80" spans="1:8" customFormat="1" x14ac:dyDescent="0.25">
      <c r="A80" s="42"/>
      <c r="B80" s="254" t="s">
        <v>348</v>
      </c>
      <c r="C80" s="254" t="s">
        <v>349</v>
      </c>
      <c r="D80" s="254" t="s">
        <v>274</v>
      </c>
      <c r="E80" s="224">
        <v>15460</v>
      </c>
      <c r="F80" s="160">
        <v>38.380000000000003</v>
      </c>
      <c r="G80" s="161">
        <v>0.27</v>
      </c>
      <c r="H80" s="162"/>
    </row>
    <row r="81" spans="1:8" customFormat="1" x14ac:dyDescent="0.25">
      <c r="A81" s="42"/>
      <c r="B81" s="254" t="s">
        <v>160</v>
      </c>
      <c r="C81" s="254" t="s">
        <v>161</v>
      </c>
      <c r="D81" s="254" t="s">
        <v>111</v>
      </c>
      <c r="E81" s="224">
        <v>12377</v>
      </c>
      <c r="F81" s="160">
        <v>38.14</v>
      </c>
      <c r="G81" s="161">
        <v>0.27</v>
      </c>
      <c r="H81" s="162"/>
    </row>
    <row r="82" spans="1:8" customFormat="1" x14ac:dyDescent="0.25">
      <c r="A82" s="42"/>
      <c r="B82" s="254" t="s">
        <v>384</v>
      </c>
      <c r="C82" s="254" t="s">
        <v>385</v>
      </c>
      <c r="D82" s="254" t="s">
        <v>45</v>
      </c>
      <c r="E82" s="224">
        <v>8030</v>
      </c>
      <c r="F82" s="160">
        <v>36.5</v>
      </c>
      <c r="G82" s="161">
        <v>0.26</v>
      </c>
      <c r="H82" s="162"/>
    </row>
    <row r="83" spans="1:8" customFormat="1" x14ac:dyDescent="0.25">
      <c r="A83" s="42"/>
      <c r="B83" s="254" t="s">
        <v>302</v>
      </c>
      <c r="C83" s="254" t="s">
        <v>303</v>
      </c>
      <c r="D83" s="254" t="s">
        <v>67</v>
      </c>
      <c r="E83" s="224">
        <v>11220</v>
      </c>
      <c r="F83" s="160">
        <v>28.3</v>
      </c>
      <c r="G83" s="161">
        <v>0.2</v>
      </c>
      <c r="H83" s="162"/>
    </row>
    <row r="84" spans="1:8" customFormat="1" x14ac:dyDescent="0.25">
      <c r="A84" s="42"/>
      <c r="B84" s="254" t="s">
        <v>447</v>
      </c>
      <c r="C84" s="254" t="s">
        <v>448</v>
      </c>
      <c r="D84" s="254" t="s">
        <v>345</v>
      </c>
      <c r="E84" s="224">
        <v>969</v>
      </c>
      <c r="F84" s="160">
        <v>24.17</v>
      </c>
      <c r="G84" s="161">
        <v>0.17</v>
      </c>
      <c r="H84" s="162"/>
    </row>
    <row r="85" spans="1:8" customFormat="1" x14ac:dyDescent="0.25">
      <c r="A85" s="42"/>
      <c r="B85" s="254" t="s">
        <v>372</v>
      </c>
      <c r="C85" s="254" t="s">
        <v>373</v>
      </c>
      <c r="D85" s="254" t="s">
        <v>94</v>
      </c>
      <c r="E85" s="224">
        <v>870</v>
      </c>
      <c r="F85" s="160">
        <v>22.89</v>
      </c>
      <c r="G85" s="161">
        <v>0.16</v>
      </c>
      <c r="H85" s="162"/>
    </row>
    <row r="86" spans="1:8" customFormat="1" x14ac:dyDescent="0.25">
      <c r="A86" s="42"/>
      <c r="B86" s="254" t="s">
        <v>207</v>
      </c>
      <c r="C86" s="254" t="s">
        <v>208</v>
      </c>
      <c r="D86" s="254" t="s">
        <v>115</v>
      </c>
      <c r="E86" s="224">
        <v>886</v>
      </c>
      <c r="F86" s="160">
        <v>15.74</v>
      </c>
      <c r="G86" s="161">
        <v>0.11</v>
      </c>
      <c r="H86" s="162"/>
    </row>
    <row r="87" spans="1:8" customFormat="1" x14ac:dyDescent="0.25">
      <c r="A87" s="42"/>
      <c r="B87" s="254" t="s">
        <v>288</v>
      </c>
      <c r="C87" s="254" t="s">
        <v>289</v>
      </c>
      <c r="D87" s="254" t="s">
        <v>66</v>
      </c>
      <c r="E87" s="224">
        <v>2630</v>
      </c>
      <c r="F87" s="160">
        <v>14.8</v>
      </c>
      <c r="G87" s="161">
        <v>0.1</v>
      </c>
      <c r="H87" s="162"/>
    </row>
    <row r="88" spans="1:8" customFormat="1" x14ac:dyDescent="0.25">
      <c r="A88" s="42"/>
      <c r="B88" s="254" t="s">
        <v>225</v>
      </c>
      <c r="C88" s="254" t="s">
        <v>226</v>
      </c>
      <c r="D88" s="254" t="s">
        <v>65</v>
      </c>
      <c r="E88" s="224">
        <v>840</v>
      </c>
      <c r="F88" s="160">
        <v>7.39</v>
      </c>
      <c r="G88" s="161">
        <v>0.05</v>
      </c>
      <c r="H88" s="162"/>
    </row>
    <row r="89" spans="1:8" customFormat="1" x14ac:dyDescent="0.25">
      <c r="A89" s="42"/>
      <c r="B89" s="254" t="s">
        <v>357</v>
      </c>
      <c r="C89" s="254" t="s">
        <v>358</v>
      </c>
      <c r="D89" s="254" t="s">
        <v>345</v>
      </c>
      <c r="E89" s="224">
        <v>211</v>
      </c>
      <c r="F89" s="160">
        <v>3.27</v>
      </c>
      <c r="G89" s="161">
        <v>0.02</v>
      </c>
      <c r="H89" s="162"/>
    </row>
    <row r="90" spans="1:8" customFormat="1" x14ac:dyDescent="0.25">
      <c r="A90" s="42"/>
      <c r="B90" s="169" t="s">
        <v>245</v>
      </c>
      <c r="C90" s="169"/>
      <c r="D90" s="169"/>
      <c r="E90" s="170"/>
      <c r="F90" s="262">
        <v>9899.98</v>
      </c>
      <c r="G90" s="263">
        <v>69.5</v>
      </c>
      <c r="H90" s="171"/>
    </row>
    <row r="91" spans="1:8" customFormat="1" x14ac:dyDescent="0.25">
      <c r="A91" s="42"/>
      <c r="B91" s="254"/>
      <c r="C91" s="254"/>
      <c r="D91" s="254"/>
      <c r="E91" s="224"/>
      <c r="F91" s="160"/>
      <c r="G91" s="161"/>
      <c r="H91" s="162"/>
    </row>
    <row r="92" spans="1:8" customFormat="1" x14ac:dyDescent="0.25">
      <c r="A92" s="42"/>
      <c r="B92" s="173" t="s">
        <v>246</v>
      </c>
      <c r="C92" s="174"/>
      <c r="D92" s="174"/>
      <c r="E92" s="175"/>
      <c r="F92" s="176"/>
      <c r="G92" s="177"/>
      <c r="H92" s="178"/>
    </row>
    <row r="93" spans="1:8" customFormat="1" x14ac:dyDescent="0.25">
      <c r="A93" s="42"/>
      <c r="B93" s="254"/>
      <c r="C93" s="254"/>
      <c r="D93" s="254"/>
      <c r="E93" s="224"/>
      <c r="F93" s="161">
        <v>0</v>
      </c>
      <c r="G93" s="161">
        <v>0</v>
      </c>
      <c r="H93" s="162"/>
    </row>
    <row r="94" spans="1:8" customFormat="1" x14ac:dyDescent="0.25">
      <c r="A94" s="42"/>
      <c r="B94" s="169" t="s">
        <v>245</v>
      </c>
      <c r="C94" s="254"/>
      <c r="D94" s="254"/>
      <c r="E94" s="224"/>
      <c r="F94" s="264" t="s">
        <v>247</v>
      </c>
      <c r="G94" s="264" t="s">
        <v>247</v>
      </c>
      <c r="H94" s="162"/>
    </row>
    <row r="95" spans="1:8" customFormat="1" x14ac:dyDescent="0.25">
      <c r="A95" s="42"/>
      <c r="B95" s="254"/>
      <c r="C95" s="254"/>
      <c r="D95" s="254"/>
      <c r="E95" s="224"/>
      <c r="F95" s="160"/>
      <c r="G95" s="161"/>
      <c r="H95" s="162"/>
    </row>
    <row r="96" spans="1:8" customFormat="1" x14ac:dyDescent="0.25">
      <c r="A96" s="76"/>
      <c r="B96" s="265" t="s">
        <v>248</v>
      </c>
      <c r="C96" s="266"/>
      <c r="D96" s="266"/>
      <c r="E96" s="267"/>
      <c r="F96" s="262">
        <v>9899.98</v>
      </c>
      <c r="G96" s="263">
        <v>69.5</v>
      </c>
      <c r="H96" s="171"/>
    </row>
    <row r="97" spans="1:8" customFormat="1" x14ac:dyDescent="0.25">
      <c r="A97" s="42"/>
      <c r="B97" s="254"/>
      <c r="C97" s="254"/>
      <c r="D97" s="254"/>
      <c r="E97" s="224"/>
      <c r="F97" s="160"/>
      <c r="G97" s="161"/>
      <c r="H97" s="162"/>
    </row>
    <row r="98" spans="1:8" customFormat="1" x14ac:dyDescent="0.25">
      <c r="A98" s="42"/>
      <c r="B98" s="163" t="s">
        <v>249</v>
      </c>
      <c r="C98" s="164"/>
      <c r="D98" s="164"/>
      <c r="E98" s="165"/>
      <c r="F98" s="166"/>
      <c r="G98" s="167"/>
      <c r="H98" s="168"/>
    </row>
    <row r="99" spans="1:8" customFormat="1" x14ac:dyDescent="0.25">
      <c r="A99" s="42"/>
      <c r="B99" s="173" t="s">
        <v>300</v>
      </c>
      <c r="C99" s="174"/>
      <c r="D99" s="174"/>
      <c r="E99" s="175"/>
      <c r="F99" s="176"/>
      <c r="G99" s="177"/>
      <c r="H99" s="178"/>
    </row>
    <row r="100" spans="1:8" customFormat="1" x14ac:dyDescent="0.25">
      <c r="A100" s="42"/>
      <c r="B100" s="254" t="s">
        <v>140</v>
      </c>
      <c r="C100" s="254"/>
      <c r="D100" s="254"/>
      <c r="E100" s="187">
        <v>-16900</v>
      </c>
      <c r="F100" s="179">
        <v>-136.08000000000001</v>
      </c>
      <c r="G100" s="161">
        <v>-0.96</v>
      </c>
      <c r="H100" s="162"/>
    </row>
    <row r="101" spans="1:8" customFormat="1" x14ac:dyDescent="0.25">
      <c r="A101" s="76"/>
      <c r="B101" s="254" t="s">
        <v>146</v>
      </c>
      <c r="C101" s="254"/>
      <c r="D101" s="254"/>
      <c r="E101" s="187">
        <v>-9000</v>
      </c>
      <c r="F101" s="179">
        <v>-117.86</v>
      </c>
      <c r="G101" s="161">
        <v>-0.83</v>
      </c>
      <c r="H101" s="162"/>
    </row>
    <row r="102" spans="1:8" customFormat="1" x14ac:dyDescent="0.25">
      <c r="A102" s="76"/>
      <c r="B102" s="254" t="s">
        <v>144</v>
      </c>
      <c r="C102" s="254"/>
      <c r="D102" s="254"/>
      <c r="E102" s="187">
        <v>-4750</v>
      </c>
      <c r="F102" s="179">
        <v>-90.58</v>
      </c>
      <c r="G102" s="161">
        <v>-0.64</v>
      </c>
      <c r="H102" s="162"/>
    </row>
    <row r="103" spans="1:8" customFormat="1" x14ac:dyDescent="0.25">
      <c r="A103" s="76"/>
      <c r="B103" s="254" t="s">
        <v>142</v>
      </c>
      <c r="C103" s="254"/>
      <c r="D103" s="254"/>
      <c r="E103" s="187">
        <v>-1400</v>
      </c>
      <c r="F103" s="179">
        <v>-19.809999999999999</v>
      </c>
      <c r="G103" s="161">
        <v>-0.14000000000000001</v>
      </c>
      <c r="H103" s="162"/>
    </row>
    <row r="104" spans="1:8" customFormat="1" x14ac:dyDescent="0.25">
      <c r="A104" s="42"/>
      <c r="B104" s="254"/>
      <c r="C104" s="254"/>
      <c r="D104" s="254"/>
      <c r="E104" s="224"/>
      <c r="F104" s="160"/>
      <c r="G104" s="161"/>
      <c r="H104" s="162"/>
    </row>
    <row r="105" spans="1:8" customFormat="1" x14ac:dyDescent="0.25">
      <c r="A105" s="42"/>
      <c r="B105" s="169" t="s">
        <v>245</v>
      </c>
      <c r="C105" s="169"/>
      <c r="D105" s="169"/>
      <c r="E105" s="170"/>
      <c r="F105" s="268">
        <v>-364.33</v>
      </c>
      <c r="G105" s="263">
        <v>-2.57</v>
      </c>
      <c r="H105" s="171"/>
    </row>
    <row r="106" spans="1:8" customFormat="1" x14ac:dyDescent="0.25">
      <c r="A106" s="223"/>
      <c r="B106" s="254"/>
      <c r="C106" s="254"/>
      <c r="D106" s="254"/>
      <c r="E106" s="224"/>
      <c r="F106" s="160"/>
      <c r="G106" s="161"/>
      <c r="H106" s="162"/>
    </row>
    <row r="107" spans="1:8" customFormat="1" x14ac:dyDescent="0.25">
      <c r="A107" s="42"/>
      <c r="B107" s="173" t="s">
        <v>386</v>
      </c>
      <c r="C107" s="173"/>
      <c r="D107" s="173"/>
      <c r="E107" s="225"/>
      <c r="F107" s="226"/>
      <c r="G107" s="227"/>
      <c r="H107" s="228"/>
    </row>
    <row r="108" spans="1:8" customFormat="1" x14ac:dyDescent="0.25">
      <c r="A108" s="76"/>
      <c r="B108" s="254" t="s">
        <v>162</v>
      </c>
      <c r="C108" s="254"/>
      <c r="D108" s="254"/>
      <c r="E108" s="187">
        <v>-700</v>
      </c>
      <c r="F108" s="179">
        <v>-0.06</v>
      </c>
      <c r="G108" s="161">
        <v>0</v>
      </c>
      <c r="H108" s="162"/>
    </row>
    <row r="109" spans="1:8" customFormat="1" x14ac:dyDescent="0.25">
      <c r="A109" s="76"/>
      <c r="B109" s="254" t="s">
        <v>148</v>
      </c>
      <c r="C109" s="254"/>
      <c r="D109" s="254"/>
      <c r="E109" s="187">
        <v>-3125</v>
      </c>
      <c r="F109" s="179">
        <v>-0.27</v>
      </c>
      <c r="G109" s="161">
        <v>0</v>
      </c>
      <c r="H109" s="162"/>
    </row>
    <row r="110" spans="1:8" customFormat="1" x14ac:dyDescent="0.25">
      <c r="A110" s="76"/>
      <c r="B110" s="254" t="s">
        <v>182</v>
      </c>
      <c r="C110" s="254"/>
      <c r="D110" s="254"/>
      <c r="E110" s="187">
        <v>-600</v>
      </c>
      <c r="F110" s="179">
        <v>-1.86</v>
      </c>
      <c r="G110" s="161">
        <v>-0.01</v>
      </c>
      <c r="H110" s="162"/>
    </row>
    <row r="111" spans="1:8" customFormat="1" x14ac:dyDescent="0.25">
      <c r="A111" s="42"/>
      <c r="B111" s="254"/>
      <c r="C111" s="254"/>
      <c r="D111" s="254"/>
      <c r="E111" s="224"/>
      <c r="F111" s="160"/>
      <c r="G111" s="161"/>
      <c r="H111" s="162"/>
    </row>
    <row r="112" spans="1:8" customFormat="1" x14ac:dyDescent="0.25">
      <c r="A112" s="159"/>
      <c r="B112" s="169" t="s">
        <v>245</v>
      </c>
      <c r="C112" s="169"/>
      <c r="D112" s="169"/>
      <c r="E112" s="170"/>
      <c r="F112" s="268">
        <v>-2.19</v>
      </c>
      <c r="G112" s="263">
        <v>-0.01</v>
      </c>
      <c r="H112" s="171"/>
    </row>
    <row r="113" spans="1:8" customFormat="1" x14ac:dyDescent="0.25">
      <c r="A113" s="42"/>
      <c r="B113" s="254"/>
      <c r="C113" s="254"/>
      <c r="D113" s="254"/>
      <c r="E113" s="224"/>
      <c r="F113" s="160"/>
      <c r="G113" s="161"/>
      <c r="H113" s="162"/>
    </row>
    <row r="114" spans="1:8" customFormat="1" x14ac:dyDescent="0.25">
      <c r="A114" s="223"/>
      <c r="B114" s="265" t="s">
        <v>250</v>
      </c>
      <c r="C114" s="269"/>
      <c r="D114" s="269"/>
      <c r="E114" s="270"/>
      <c r="F114" s="268">
        <v>-366.52</v>
      </c>
      <c r="G114" s="263">
        <v>-2.58</v>
      </c>
      <c r="H114" s="162"/>
    </row>
    <row r="115" spans="1:8" customFormat="1" x14ac:dyDescent="0.25">
      <c r="A115" s="42"/>
      <c r="B115" s="254"/>
      <c r="C115" s="254"/>
      <c r="D115" s="254"/>
      <c r="E115" s="224"/>
      <c r="F115" s="160"/>
      <c r="G115" s="161"/>
      <c r="H115" s="162"/>
    </row>
    <row r="116" spans="1:8" customFormat="1" x14ac:dyDescent="0.25">
      <c r="A116" s="223"/>
      <c r="B116" s="163" t="s">
        <v>251</v>
      </c>
      <c r="C116" s="164"/>
      <c r="D116" s="164"/>
      <c r="E116" s="165"/>
      <c r="F116" s="166"/>
      <c r="G116" s="167"/>
      <c r="H116" s="168"/>
    </row>
    <row r="117" spans="1:8" customFormat="1" x14ac:dyDescent="0.25">
      <c r="A117" s="76"/>
      <c r="B117" s="254"/>
      <c r="C117" s="254"/>
      <c r="D117" s="254"/>
      <c r="E117" s="224"/>
      <c r="F117" s="160"/>
      <c r="G117" s="161"/>
      <c r="H117" s="162"/>
    </row>
    <row r="118" spans="1:8" customFormat="1" x14ac:dyDescent="0.25">
      <c r="A118" s="223"/>
      <c r="B118" s="173" t="s">
        <v>252</v>
      </c>
      <c r="C118" s="174"/>
      <c r="D118" s="174"/>
      <c r="E118" s="175"/>
      <c r="F118" s="176"/>
      <c r="G118" s="177"/>
      <c r="H118" s="178"/>
    </row>
    <row r="119" spans="1:8" customFormat="1" x14ac:dyDescent="0.25">
      <c r="A119" s="76"/>
      <c r="B119" s="254" t="s">
        <v>465</v>
      </c>
      <c r="C119" s="254" t="s">
        <v>260</v>
      </c>
      <c r="D119" s="254" t="s">
        <v>258</v>
      </c>
      <c r="E119" s="224">
        <v>200000</v>
      </c>
      <c r="F119" s="160">
        <v>203.21</v>
      </c>
      <c r="G119" s="161">
        <v>1.43</v>
      </c>
      <c r="H119" s="162">
        <v>7.1950000000000003</v>
      </c>
    </row>
    <row r="120" spans="1:8" customFormat="1" x14ac:dyDescent="0.25">
      <c r="A120" s="223"/>
      <c r="B120" s="254" t="s">
        <v>314</v>
      </c>
      <c r="C120" s="254" t="s">
        <v>315</v>
      </c>
      <c r="D120" s="254" t="s">
        <v>258</v>
      </c>
      <c r="E120" s="224">
        <v>50000</v>
      </c>
      <c r="F120" s="160">
        <v>51.55</v>
      </c>
      <c r="G120" s="161">
        <v>0.36</v>
      </c>
      <c r="H120" s="162">
        <v>7.15</v>
      </c>
    </row>
    <row r="121" spans="1:8" customFormat="1" x14ac:dyDescent="0.25">
      <c r="A121" s="223"/>
      <c r="B121" s="254" t="s">
        <v>316</v>
      </c>
      <c r="C121" s="254" t="s">
        <v>317</v>
      </c>
      <c r="D121" s="254" t="s">
        <v>258</v>
      </c>
      <c r="E121" s="224">
        <v>20000</v>
      </c>
      <c r="F121" s="160">
        <v>21.59</v>
      </c>
      <c r="G121" s="161">
        <v>0.15</v>
      </c>
      <c r="H121" s="162">
        <v>6.9977</v>
      </c>
    </row>
    <row r="122" spans="1:8" customFormat="1" x14ac:dyDescent="0.25">
      <c r="A122" s="76"/>
      <c r="B122" s="254" t="s">
        <v>318</v>
      </c>
      <c r="C122" s="254" t="s">
        <v>319</v>
      </c>
      <c r="D122" s="254" t="s">
        <v>259</v>
      </c>
      <c r="E122" s="224">
        <v>20000</v>
      </c>
      <c r="F122" s="160">
        <v>21.16</v>
      </c>
      <c r="G122" s="161">
        <v>0.15</v>
      </c>
      <c r="H122" s="162">
        <v>7.0650000000000004</v>
      </c>
    </row>
    <row r="123" spans="1:8" customFormat="1" x14ac:dyDescent="0.25">
      <c r="A123" s="76"/>
      <c r="B123" s="254" t="s">
        <v>320</v>
      </c>
      <c r="C123" s="254" t="s">
        <v>321</v>
      </c>
      <c r="D123" s="254" t="s">
        <v>259</v>
      </c>
      <c r="E123" s="224">
        <v>10000</v>
      </c>
      <c r="F123" s="160">
        <v>10.71</v>
      </c>
      <c r="G123" s="161">
        <v>0.08</v>
      </c>
      <c r="H123" s="162">
        <v>7.0650000000000004</v>
      </c>
    </row>
    <row r="124" spans="1:8" customFormat="1" x14ac:dyDescent="0.25">
      <c r="A124" s="42"/>
      <c r="B124" s="254" t="s">
        <v>322</v>
      </c>
      <c r="C124" s="254" t="s">
        <v>323</v>
      </c>
      <c r="D124" s="254" t="s">
        <v>324</v>
      </c>
      <c r="E124" s="224">
        <v>10000</v>
      </c>
      <c r="F124" s="160">
        <v>10.32</v>
      </c>
      <c r="G124" s="161">
        <v>7.0000000000000007E-2</v>
      </c>
      <c r="H124" s="162">
        <v>6.79</v>
      </c>
    </row>
    <row r="125" spans="1:8" customFormat="1" x14ac:dyDescent="0.25">
      <c r="A125" s="42"/>
      <c r="B125" s="254" t="s">
        <v>429</v>
      </c>
      <c r="C125" s="254" t="s">
        <v>261</v>
      </c>
      <c r="D125" s="254" t="s">
        <v>409</v>
      </c>
      <c r="E125" s="224">
        <v>27480</v>
      </c>
      <c r="F125" s="160">
        <v>2.86</v>
      </c>
      <c r="G125" s="161">
        <v>0.02</v>
      </c>
      <c r="H125" s="162">
        <v>11.896699999999999</v>
      </c>
    </row>
    <row r="126" spans="1:8" customFormat="1" x14ac:dyDescent="0.25">
      <c r="A126" s="42"/>
      <c r="B126" s="169" t="s">
        <v>245</v>
      </c>
      <c r="C126" s="169"/>
      <c r="D126" s="169"/>
      <c r="E126" s="170"/>
      <c r="F126" s="262">
        <v>321.39999999999998</v>
      </c>
      <c r="G126" s="263">
        <v>2.2599999999999998</v>
      </c>
      <c r="H126" s="171"/>
    </row>
    <row r="127" spans="1:8" customFormat="1" x14ac:dyDescent="0.25">
      <c r="A127" s="42"/>
      <c r="B127" s="254"/>
      <c r="C127" s="254"/>
      <c r="D127" s="254"/>
      <c r="E127" s="224"/>
      <c r="F127" s="160"/>
      <c r="G127" s="161"/>
      <c r="H127" s="162"/>
    </row>
    <row r="128" spans="1:8" customFormat="1" x14ac:dyDescent="0.25">
      <c r="A128" s="42"/>
      <c r="B128" s="173" t="s">
        <v>262</v>
      </c>
      <c r="C128" s="174"/>
      <c r="D128" s="174"/>
      <c r="E128" s="175"/>
      <c r="F128" s="176"/>
      <c r="G128" s="177"/>
      <c r="H128" s="178"/>
    </row>
    <row r="129" spans="1:8" customFormat="1" x14ac:dyDescent="0.25">
      <c r="A129" s="42"/>
      <c r="B129" s="254"/>
      <c r="C129" s="254"/>
      <c r="D129" s="254"/>
      <c r="E129" s="224"/>
      <c r="F129" s="161">
        <v>0</v>
      </c>
      <c r="G129" s="161">
        <v>0</v>
      </c>
      <c r="H129" s="162"/>
    </row>
    <row r="130" spans="1:8" customFormat="1" x14ac:dyDescent="0.25">
      <c r="A130" s="42"/>
      <c r="B130" s="169" t="s">
        <v>245</v>
      </c>
      <c r="C130" s="254"/>
      <c r="D130" s="254"/>
      <c r="E130" s="224"/>
      <c r="F130" s="264" t="s">
        <v>247</v>
      </c>
      <c r="G130" s="264" t="s">
        <v>247</v>
      </c>
      <c r="H130" s="162"/>
    </row>
    <row r="131" spans="1:8" customFormat="1" x14ac:dyDescent="0.25">
      <c r="A131" s="42"/>
      <c r="B131" s="254"/>
      <c r="C131" s="254"/>
      <c r="D131" s="254"/>
      <c r="E131" s="224"/>
      <c r="F131" s="160"/>
      <c r="G131" s="161"/>
      <c r="H131" s="162"/>
    </row>
    <row r="132" spans="1:8" customFormat="1" x14ac:dyDescent="0.25">
      <c r="A132" s="76"/>
      <c r="B132" s="173" t="s">
        <v>263</v>
      </c>
      <c r="C132" s="174"/>
      <c r="D132" s="174"/>
      <c r="E132" s="175"/>
      <c r="F132" s="176"/>
      <c r="G132" s="177"/>
      <c r="H132" s="178"/>
    </row>
    <row r="133" spans="1:8" customFormat="1" x14ac:dyDescent="0.25">
      <c r="A133" s="76"/>
      <c r="B133" s="254"/>
      <c r="C133" s="254"/>
      <c r="D133" s="254"/>
      <c r="E133" s="224"/>
      <c r="F133" s="161">
        <v>0</v>
      </c>
      <c r="G133" s="161">
        <v>0</v>
      </c>
      <c r="H133" s="162"/>
    </row>
    <row r="134" spans="1:8" customFormat="1" x14ac:dyDescent="0.25">
      <c r="A134" s="76"/>
      <c r="B134" s="169" t="s">
        <v>245</v>
      </c>
      <c r="C134" s="254"/>
      <c r="D134" s="254"/>
      <c r="E134" s="224"/>
      <c r="F134" s="264" t="s">
        <v>247</v>
      </c>
      <c r="G134" s="264" t="s">
        <v>247</v>
      </c>
      <c r="H134" s="162"/>
    </row>
    <row r="135" spans="1:8" customFormat="1" x14ac:dyDescent="0.25">
      <c r="A135" s="76"/>
      <c r="B135" s="254"/>
      <c r="C135" s="254"/>
      <c r="D135" s="254"/>
      <c r="E135" s="224"/>
      <c r="F135" s="160"/>
      <c r="G135" s="161"/>
      <c r="H135" s="162"/>
    </row>
    <row r="136" spans="1:8" customFormat="1" x14ac:dyDescent="0.25">
      <c r="A136" s="76"/>
      <c r="B136" s="265" t="s">
        <v>248</v>
      </c>
      <c r="C136" s="266"/>
      <c r="D136" s="266"/>
      <c r="E136" s="267"/>
      <c r="F136" s="262">
        <v>321.39999999999998</v>
      </c>
      <c r="G136" s="263">
        <v>2.2599999999999998</v>
      </c>
      <c r="H136" s="171"/>
    </row>
    <row r="137" spans="1:8" customFormat="1" x14ac:dyDescent="0.25">
      <c r="A137" s="76"/>
      <c r="B137" s="254"/>
      <c r="C137" s="254"/>
      <c r="D137" s="254"/>
      <c r="E137" s="224"/>
      <c r="F137" s="160"/>
      <c r="G137" s="161"/>
      <c r="H137" s="162"/>
    </row>
    <row r="138" spans="1:8" customFormat="1" x14ac:dyDescent="0.25">
      <c r="A138" s="223"/>
      <c r="B138" s="163" t="s">
        <v>264</v>
      </c>
      <c r="C138" s="164"/>
      <c r="D138" s="164"/>
      <c r="E138" s="165"/>
      <c r="F138" s="166"/>
      <c r="G138" s="167"/>
      <c r="H138" s="168"/>
    </row>
    <row r="139" spans="1:8" customFormat="1" x14ac:dyDescent="0.25">
      <c r="A139" s="76"/>
      <c r="B139" s="254"/>
      <c r="C139" s="254"/>
      <c r="D139" s="254"/>
      <c r="E139" s="224"/>
      <c r="F139" s="160"/>
      <c r="G139" s="161"/>
      <c r="H139" s="162"/>
    </row>
    <row r="140" spans="1:8" customFormat="1" x14ac:dyDescent="0.25">
      <c r="A140" s="223"/>
      <c r="B140" s="173" t="s">
        <v>333</v>
      </c>
      <c r="C140" s="174"/>
      <c r="D140" s="174"/>
      <c r="E140" s="175"/>
      <c r="F140" s="176"/>
      <c r="G140" s="177"/>
      <c r="H140" s="178"/>
    </row>
    <row r="141" spans="1:8" customFormat="1" x14ac:dyDescent="0.25">
      <c r="A141" s="223" t="s">
        <v>48</v>
      </c>
      <c r="B141" s="254" t="s">
        <v>466</v>
      </c>
      <c r="C141" s="254" t="s">
        <v>456</v>
      </c>
      <c r="D141" s="254" t="s">
        <v>377</v>
      </c>
      <c r="E141" s="224">
        <v>800000</v>
      </c>
      <c r="F141" s="160">
        <v>769.98</v>
      </c>
      <c r="G141" s="161">
        <v>5.41</v>
      </c>
      <c r="H141" s="162">
        <v>6.6191000000000004</v>
      </c>
    </row>
    <row r="142" spans="1:8" customFormat="1" x14ac:dyDescent="0.25">
      <c r="A142" s="76"/>
      <c r="B142" s="169" t="s">
        <v>245</v>
      </c>
      <c r="C142" s="169"/>
      <c r="D142" s="169"/>
      <c r="E142" s="170"/>
      <c r="F142" s="262">
        <v>769.98</v>
      </c>
      <c r="G142" s="263">
        <v>5.41</v>
      </c>
      <c r="H142" s="171"/>
    </row>
    <row r="143" spans="1:8" customFormat="1" x14ac:dyDescent="0.25">
      <c r="A143" s="76"/>
      <c r="B143" s="254"/>
      <c r="C143" s="254"/>
      <c r="D143" s="254"/>
      <c r="E143" s="224"/>
      <c r="F143" s="160"/>
      <c r="G143" s="161"/>
      <c r="H143" s="162"/>
    </row>
    <row r="144" spans="1:8" customFormat="1" x14ac:dyDescent="0.25">
      <c r="A144" s="223"/>
      <c r="B144" s="265" t="s">
        <v>248</v>
      </c>
      <c r="C144" s="266"/>
      <c r="D144" s="266"/>
      <c r="E144" s="267"/>
      <c r="F144" s="262">
        <v>769.98</v>
      </c>
      <c r="G144" s="263">
        <v>5.41</v>
      </c>
      <c r="H144" s="171"/>
    </row>
    <row r="145" spans="1:8" customFormat="1" x14ac:dyDescent="0.25">
      <c r="A145" s="223"/>
      <c r="B145" s="254"/>
      <c r="C145" s="254"/>
      <c r="D145" s="254"/>
      <c r="E145" s="224"/>
      <c r="F145" s="160"/>
      <c r="G145" s="161"/>
      <c r="H145" s="162"/>
    </row>
    <row r="146" spans="1:8" s="222" customFormat="1" x14ac:dyDescent="0.25">
      <c r="A146" s="223"/>
      <c r="B146" s="254"/>
      <c r="C146" s="254"/>
      <c r="D146" s="254"/>
      <c r="E146" s="224"/>
      <c r="F146" s="160"/>
      <c r="G146" s="161"/>
      <c r="H146" s="162"/>
    </row>
    <row r="147" spans="1:8" s="222" customFormat="1" x14ac:dyDescent="0.25">
      <c r="B147" s="163" t="s">
        <v>325</v>
      </c>
      <c r="C147" s="164"/>
      <c r="D147" s="164"/>
      <c r="E147" s="165"/>
      <c r="F147" s="166"/>
      <c r="G147" s="167"/>
      <c r="H147" s="168"/>
    </row>
    <row r="148" spans="1:8" s="222" customFormat="1" x14ac:dyDescent="0.25">
      <c r="A148" s="223" t="s">
        <v>48</v>
      </c>
      <c r="B148" s="254" t="s">
        <v>440</v>
      </c>
      <c r="C148" s="254" t="s">
        <v>326</v>
      </c>
      <c r="D148" s="254"/>
      <c r="E148" s="224">
        <v>1405172</v>
      </c>
      <c r="F148" s="160">
        <v>1690.56</v>
      </c>
      <c r="G148" s="161">
        <v>11.87</v>
      </c>
      <c r="H148" s="162"/>
    </row>
    <row r="149" spans="1:8" s="222" customFormat="1" x14ac:dyDescent="0.25">
      <c r="B149" s="254" t="s">
        <v>478</v>
      </c>
      <c r="C149" s="254" t="s">
        <v>327</v>
      </c>
      <c r="D149" s="254"/>
      <c r="E149" s="224">
        <v>144981</v>
      </c>
      <c r="F149" s="160">
        <v>320.86</v>
      </c>
      <c r="G149" s="161">
        <v>2.25</v>
      </c>
      <c r="H149" s="162"/>
    </row>
    <row r="150" spans="1:8" s="222" customFormat="1" x14ac:dyDescent="0.25">
      <c r="B150" s="169" t="s">
        <v>245</v>
      </c>
      <c r="C150" s="169"/>
      <c r="D150" s="169"/>
      <c r="E150" s="170"/>
      <c r="F150" s="262">
        <v>2011.42</v>
      </c>
      <c r="G150" s="263">
        <v>14.12</v>
      </c>
      <c r="H150" s="171"/>
    </row>
    <row r="151" spans="1:8" s="222" customFormat="1" x14ac:dyDescent="0.25">
      <c r="A151" s="223"/>
      <c r="B151" s="254"/>
      <c r="C151" s="254"/>
      <c r="D151" s="254"/>
      <c r="E151" s="224"/>
      <c r="F151" s="160"/>
      <c r="G151" s="161"/>
      <c r="H151" s="162"/>
    </row>
    <row r="152" spans="1:8" s="222" customFormat="1" x14ac:dyDescent="0.25">
      <c r="A152" s="223"/>
      <c r="B152" s="265" t="s">
        <v>248</v>
      </c>
      <c r="C152" s="266"/>
      <c r="D152" s="266"/>
      <c r="E152" s="267"/>
      <c r="F152" s="262">
        <v>2011.42</v>
      </c>
      <c r="G152" s="263">
        <v>14.12</v>
      </c>
      <c r="H152" s="171"/>
    </row>
    <row r="153" spans="1:8" s="222" customFormat="1" x14ac:dyDescent="0.25">
      <c r="A153" s="223"/>
      <c r="B153" s="254"/>
      <c r="C153" s="254"/>
      <c r="D153" s="254"/>
      <c r="E153" s="224"/>
      <c r="F153" s="160"/>
      <c r="G153" s="161"/>
      <c r="H153" s="162"/>
    </row>
    <row r="154" spans="1:8" s="222" customFormat="1" x14ac:dyDescent="0.25">
      <c r="A154" s="223"/>
      <c r="B154" s="163" t="s">
        <v>382</v>
      </c>
      <c r="C154" s="164"/>
      <c r="D154" s="164"/>
      <c r="E154" s="165"/>
      <c r="F154" s="166"/>
      <c r="G154" s="167"/>
      <c r="H154" s="168"/>
    </row>
    <row r="155" spans="1:8" s="222" customFormat="1" x14ac:dyDescent="0.25">
      <c r="A155" s="223" t="s">
        <v>48</v>
      </c>
      <c r="B155" s="254" t="s">
        <v>476</v>
      </c>
      <c r="C155" s="254" t="s">
        <v>467</v>
      </c>
      <c r="D155" s="254"/>
      <c r="E155" s="224"/>
      <c r="F155" s="160">
        <v>1064.7</v>
      </c>
      <c r="G155" s="161">
        <v>7.47</v>
      </c>
      <c r="H155" s="162">
        <v>5.1081000000000003</v>
      </c>
    </row>
    <row r="156" spans="1:8" s="222" customFormat="1" x14ac:dyDescent="0.25">
      <c r="A156" s="223"/>
      <c r="B156" s="169" t="s">
        <v>245</v>
      </c>
      <c r="C156" s="169"/>
      <c r="D156" s="169"/>
      <c r="E156" s="170"/>
      <c r="F156" s="262">
        <v>1064.7</v>
      </c>
      <c r="G156" s="263">
        <v>7.47</v>
      </c>
      <c r="H156" s="171"/>
    </row>
    <row r="157" spans="1:8" s="222" customFormat="1" x14ac:dyDescent="0.25">
      <c r="B157" s="254"/>
      <c r="C157" s="254"/>
      <c r="D157" s="254"/>
      <c r="E157" s="224"/>
      <c r="F157" s="160"/>
      <c r="G157" s="161"/>
      <c r="H157" s="162"/>
    </row>
    <row r="158" spans="1:8" s="222" customFormat="1" x14ac:dyDescent="0.25">
      <c r="A158" s="223"/>
      <c r="B158" s="265" t="s">
        <v>248</v>
      </c>
      <c r="C158" s="266"/>
      <c r="D158" s="266"/>
      <c r="E158" s="267"/>
      <c r="F158" s="262">
        <v>1064.7</v>
      </c>
      <c r="G158" s="263">
        <v>7.47</v>
      </c>
      <c r="H158" s="171"/>
    </row>
    <row r="159" spans="1:8" s="222" customFormat="1" x14ac:dyDescent="0.25">
      <c r="A159" s="223"/>
      <c r="B159" s="254"/>
      <c r="C159" s="254"/>
      <c r="D159" s="254"/>
      <c r="E159" s="224"/>
      <c r="F159" s="160"/>
      <c r="G159" s="161"/>
      <c r="H159" s="162"/>
    </row>
    <row r="160" spans="1:8" s="222" customFormat="1" x14ac:dyDescent="0.25">
      <c r="A160" s="223"/>
      <c r="B160" s="254" t="s">
        <v>266</v>
      </c>
      <c r="C160" s="254"/>
      <c r="D160" s="254"/>
      <c r="E160" s="224"/>
      <c r="F160" s="160">
        <v>543.77</v>
      </c>
      <c r="G160" s="161">
        <v>3.8199999999999932</v>
      </c>
      <c r="H160" s="162"/>
    </row>
    <row r="161" spans="1:13" s="222" customFormat="1" x14ac:dyDescent="0.25">
      <c r="A161" s="223"/>
      <c r="B161" s="254"/>
      <c r="C161" s="254"/>
      <c r="D161" s="254"/>
      <c r="E161" s="224"/>
      <c r="F161" s="160"/>
      <c r="G161" s="161"/>
      <c r="H161" s="162"/>
    </row>
    <row r="162" spans="1:13" s="222" customFormat="1" x14ac:dyDescent="0.25">
      <c r="A162" s="223"/>
      <c r="B162" s="265" t="s">
        <v>267</v>
      </c>
      <c r="C162" s="266"/>
      <c r="D162" s="266"/>
      <c r="E162" s="267"/>
      <c r="F162" s="262">
        <v>14244.73</v>
      </c>
      <c r="G162" s="263">
        <v>100</v>
      </c>
      <c r="H162" s="172"/>
    </row>
    <row r="163" spans="1:13" x14ac:dyDescent="0.25">
      <c r="A163" s="159" t="s">
        <v>48</v>
      </c>
      <c r="B163" t="s">
        <v>361</v>
      </c>
    </row>
    <row r="164" spans="1:13" x14ac:dyDescent="0.15">
      <c r="B164" s="40" t="s">
        <v>0</v>
      </c>
    </row>
    <row r="165" spans="1:13" x14ac:dyDescent="0.15">
      <c r="A165" s="80"/>
      <c r="B165" s="40" t="s">
        <v>408</v>
      </c>
      <c r="D165" s="81"/>
      <c r="E165" s="82"/>
      <c r="F165" s="83"/>
      <c r="G165" s="82"/>
      <c r="H165" s="82"/>
      <c r="I165" s="84"/>
      <c r="J165" s="85"/>
    </row>
    <row r="166" spans="1:13" x14ac:dyDescent="0.15">
      <c r="A166" s="80"/>
      <c r="B166" s="40" t="s">
        <v>31</v>
      </c>
      <c r="D166" s="81"/>
      <c r="E166" s="82"/>
      <c r="F166" s="83"/>
      <c r="G166" s="82"/>
      <c r="H166" s="82"/>
      <c r="I166" s="84"/>
      <c r="J166" s="85"/>
    </row>
    <row r="167" spans="1:13" x14ac:dyDescent="0.25">
      <c r="A167" s="80"/>
      <c r="D167" s="82"/>
      <c r="E167" s="86"/>
      <c r="F167" s="87"/>
      <c r="G167" s="87"/>
      <c r="H167" s="82"/>
      <c r="I167" s="82"/>
    </row>
    <row r="168" spans="1:13" x14ac:dyDescent="0.25">
      <c r="A168" s="80" t="s">
        <v>137</v>
      </c>
      <c r="B168" s="88" t="s">
        <v>1</v>
      </c>
      <c r="C168" s="89" t="s">
        <v>51</v>
      </c>
      <c r="D168" s="90"/>
      <c r="E168" s="91"/>
      <c r="F168" s="87"/>
      <c r="G168" s="87"/>
      <c r="H168" s="82"/>
      <c r="I168" s="82"/>
      <c r="K168" s="92"/>
      <c r="L168" s="93"/>
    </row>
    <row r="169" spans="1:13" x14ac:dyDescent="0.25">
      <c r="A169" s="94"/>
      <c r="B169" s="7" t="s">
        <v>67</v>
      </c>
      <c r="C169" s="96">
        <f t="shared" ref="C169:C202" si="0">SUMIF($D$16:$D$162,B169,$G$16:$G$162)</f>
        <v>17</v>
      </c>
      <c r="D169" s="97"/>
      <c r="E169" s="98"/>
      <c r="F169" s="99"/>
      <c r="G169" s="87"/>
      <c r="H169" s="82"/>
      <c r="J169" s="92"/>
      <c r="K169" s="93"/>
      <c r="L169" s="84"/>
      <c r="M169" s="93"/>
    </row>
    <row r="170" spans="1:13" x14ac:dyDescent="0.25">
      <c r="A170" s="94"/>
      <c r="B170" s="7" t="s">
        <v>45</v>
      </c>
      <c r="C170" s="96">
        <f t="shared" si="0"/>
        <v>5.62</v>
      </c>
      <c r="D170" s="137"/>
      <c r="E170" s="98"/>
      <c r="F170" s="99"/>
      <c r="G170" s="87"/>
      <c r="H170" s="82"/>
      <c r="K170" s="93"/>
      <c r="L170" s="84"/>
      <c r="M170" s="93"/>
    </row>
    <row r="171" spans="1:13" x14ac:dyDescent="0.25">
      <c r="A171" s="94"/>
      <c r="B171" s="7" t="s">
        <v>111</v>
      </c>
      <c r="C171" s="96">
        <f t="shared" si="0"/>
        <v>5.2200000000000006</v>
      </c>
      <c r="D171" s="137"/>
      <c r="E171" s="98"/>
      <c r="F171" s="99"/>
      <c r="G171" s="87"/>
      <c r="H171" s="82"/>
      <c r="K171" s="93"/>
      <c r="L171" s="84"/>
      <c r="M171" s="93"/>
    </row>
    <row r="172" spans="1:13" x14ac:dyDescent="0.25">
      <c r="A172" s="94"/>
      <c r="B172" s="7" t="s">
        <v>44</v>
      </c>
      <c r="C172" s="96">
        <f t="shared" si="0"/>
        <v>4.43</v>
      </c>
      <c r="D172" s="137"/>
      <c r="E172" s="98"/>
      <c r="F172" s="99"/>
      <c r="G172" s="87"/>
      <c r="H172" s="82"/>
      <c r="K172" s="93"/>
      <c r="L172" s="84"/>
      <c r="M172" s="93"/>
    </row>
    <row r="173" spans="1:13" x14ac:dyDescent="0.25">
      <c r="A173" s="94"/>
      <c r="B173" s="7" t="s">
        <v>50</v>
      </c>
      <c r="C173" s="96">
        <f t="shared" si="0"/>
        <v>3.75</v>
      </c>
      <c r="D173" s="137"/>
      <c r="E173" s="98"/>
      <c r="F173" s="99"/>
      <c r="G173" s="87"/>
      <c r="H173" s="82"/>
      <c r="J173" s="92"/>
      <c r="K173" s="93"/>
      <c r="L173" s="84"/>
      <c r="M173" s="93"/>
    </row>
    <row r="174" spans="1:13" x14ac:dyDescent="0.25">
      <c r="A174" s="94"/>
      <c r="B174" s="7" t="s">
        <v>42</v>
      </c>
      <c r="C174" s="96">
        <f t="shared" si="0"/>
        <v>3.68</v>
      </c>
      <c r="D174" s="137"/>
      <c r="E174" s="98"/>
      <c r="F174" s="99"/>
      <c r="G174" s="87"/>
      <c r="H174" s="82"/>
      <c r="J174" s="92"/>
      <c r="K174" s="93"/>
      <c r="L174" s="84"/>
      <c r="M174" s="93"/>
    </row>
    <row r="175" spans="1:13" x14ac:dyDescent="0.25">
      <c r="A175" s="94"/>
      <c r="B175" s="7" t="s">
        <v>43</v>
      </c>
      <c r="C175" s="96">
        <f t="shared" si="0"/>
        <v>2.82</v>
      </c>
      <c r="D175" s="137"/>
      <c r="E175" s="98"/>
      <c r="F175" s="99"/>
      <c r="G175" s="87"/>
      <c r="H175" s="82"/>
      <c r="J175" s="92"/>
      <c r="K175" s="93"/>
      <c r="L175" s="84"/>
      <c r="M175" s="93"/>
    </row>
    <row r="176" spans="1:13" x14ac:dyDescent="0.25">
      <c r="A176" s="94"/>
      <c r="B176" s="7" t="s">
        <v>114</v>
      </c>
      <c r="C176" s="96">
        <f t="shared" si="0"/>
        <v>2.58</v>
      </c>
      <c r="D176" s="137"/>
      <c r="E176" s="98"/>
      <c r="F176" s="99"/>
      <c r="G176" s="87"/>
      <c r="H176" s="82"/>
      <c r="J176" s="92"/>
      <c r="K176" s="93"/>
      <c r="L176" s="84"/>
      <c r="M176" s="93"/>
    </row>
    <row r="177" spans="1:13" x14ac:dyDescent="0.25">
      <c r="A177" s="94"/>
      <c r="B177" s="7" t="s">
        <v>94</v>
      </c>
      <c r="C177" s="96">
        <f t="shared" si="0"/>
        <v>2.2400000000000002</v>
      </c>
      <c r="D177" s="137"/>
      <c r="E177" s="98"/>
      <c r="F177" s="99"/>
      <c r="G177" s="87"/>
      <c r="H177" s="82"/>
      <c r="J177" s="92"/>
      <c r="K177" s="93"/>
      <c r="L177" s="84"/>
      <c r="M177" s="93"/>
    </row>
    <row r="178" spans="1:13" x14ac:dyDescent="0.25">
      <c r="A178" s="94"/>
      <c r="B178" s="7" t="s">
        <v>121</v>
      </c>
      <c r="C178" s="96">
        <f t="shared" si="0"/>
        <v>1.98</v>
      </c>
      <c r="D178" s="137"/>
      <c r="E178" s="98"/>
      <c r="F178" s="99"/>
      <c r="G178" s="87"/>
      <c r="H178" s="82"/>
      <c r="J178" s="92"/>
      <c r="K178" s="93"/>
      <c r="L178" s="84"/>
      <c r="M178" s="93"/>
    </row>
    <row r="179" spans="1:13" x14ac:dyDescent="0.25">
      <c r="A179" s="94"/>
      <c r="B179" s="7" t="s">
        <v>68</v>
      </c>
      <c r="C179" s="96">
        <f t="shared" si="0"/>
        <v>1.5699999999999998</v>
      </c>
      <c r="D179" s="137"/>
      <c r="E179" s="98"/>
      <c r="F179" s="99"/>
      <c r="G179" s="87"/>
      <c r="H179" s="82"/>
      <c r="J179" s="92"/>
      <c r="K179" s="93"/>
      <c r="L179" s="84"/>
      <c r="M179" s="93"/>
    </row>
    <row r="180" spans="1:13" x14ac:dyDescent="0.25">
      <c r="A180" s="94"/>
      <c r="B180" s="7" t="s">
        <v>109</v>
      </c>
      <c r="C180" s="96">
        <f t="shared" si="0"/>
        <v>1.5</v>
      </c>
      <c r="D180" s="137"/>
      <c r="E180" s="98"/>
      <c r="F180" s="99"/>
      <c r="G180" s="87"/>
      <c r="H180" s="82"/>
      <c r="J180" s="92"/>
      <c r="K180" s="93"/>
      <c r="L180" s="84"/>
      <c r="M180" s="93"/>
    </row>
    <row r="181" spans="1:13" x14ac:dyDescent="0.25">
      <c r="A181" s="94"/>
      <c r="B181" s="7" t="s">
        <v>105</v>
      </c>
      <c r="C181" s="96">
        <f t="shared" si="0"/>
        <v>1.45</v>
      </c>
      <c r="D181" s="137"/>
      <c r="E181" s="98"/>
      <c r="F181" s="99"/>
      <c r="G181" s="87"/>
      <c r="H181" s="82"/>
      <c r="J181" s="92"/>
      <c r="K181" s="93"/>
      <c r="L181" s="84"/>
      <c r="M181" s="93"/>
    </row>
    <row r="182" spans="1:13" x14ac:dyDescent="0.25">
      <c r="A182" s="94"/>
      <c r="B182" s="7" t="s">
        <v>274</v>
      </c>
      <c r="C182" s="96">
        <f t="shared" si="0"/>
        <v>1.43</v>
      </c>
      <c r="D182" s="137"/>
      <c r="E182" s="98"/>
      <c r="F182" s="99"/>
      <c r="G182" s="87"/>
      <c r="H182" s="82"/>
      <c r="J182" s="92"/>
      <c r="K182" s="93"/>
      <c r="L182" s="84"/>
      <c r="M182" s="93"/>
    </row>
    <row r="183" spans="1:13" x14ac:dyDescent="0.25">
      <c r="A183" s="94"/>
      <c r="B183" s="7" t="s">
        <v>66</v>
      </c>
      <c r="C183" s="96">
        <f t="shared" si="0"/>
        <v>1.37</v>
      </c>
      <c r="D183" s="137"/>
      <c r="E183" s="98"/>
      <c r="F183" s="99"/>
      <c r="G183" s="87"/>
      <c r="H183" s="82"/>
      <c r="J183" s="92"/>
      <c r="K183" s="93"/>
      <c r="L183" s="84"/>
      <c r="M183" s="93"/>
    </row>
    <row r="184" spans="1:13" x14ac:dyDescent="0.25">
      <c r="A184" s="94"/>
      <c r="B184" s="7" t="s">
        <v>93</v>
      </c>
      <c r="C184" s="96">
        <f t="shared" si="0"/>
        <v>1.31</v>
      </c>
      <c r="D184" s="137"/>
      <c r="E184" s="98"/>
      <c r="F184" s="99"/>
      <c r="G184" s="87"/>
      <c r="H184" s="82"/>
      <c r="J184" s="92"/>
      <c r="K184" s="93"/>
      <c r="L184" s="84"/>
      <c r="M184" s="93"/>
    </row>
    <row r="185" spans="1:13" x14ac:dyDescent="0.25">
      <c r="A185" s="94"/>
      <c r="B185" s="7" t="s">
        <v>130</v>
      </c>
      <c r="C185" s="96">
        <f t="shared" si="0"/>
        <v>1.22</v>
      </c>
      <c r="D185" s="137"/>
      <c r="E185" s="98"/>
      <c r="F185" s="99"/>
      <c r="G185" s="87"/>
      <c r="H185" s="82"/>
      <c r="J185" s="92"/>
      <c r="K185" s="93"/>
      <c r="L185" s="84"/>
      <c r="M185" s="93"/>
    </row>
    <row r="186" spans="1:13" x14ac:dyDescent="0.25">
      <c r="A186" s="94"/>
      <c r="B186" s="7" t="s">
        <v>120</v>
      </c>
      <c r="C186" s="96">
        <f t="shared" si="0"/>
        <v>1.1000000000000001</v>
      </c>
      <c r="D186" s="137"/>
      <c r="E186" s="98"/>
      <c r="F186" s="99"/>
      <c r="G186" s="87"/>
      <c r="H186" s="82"/>
      <c r="J186" s="92"/>
      <c r="K186" s="93"/>
      <c r="L186" s="84"/>
      <c r="M186" s="93"/>
    </row>
    <row r="187" spans="1:13" x14ac:dyDescent="0.25">
      <c r="A187" s="94"/>
      <c r="B187" s="7" t="s">
        <v>113</v>
      </c>
      <c r="C187" s="96">
        <f t="shared" si="0"/>
        <v>1.01</v>
      </c>
      <c r="D187" s="137"/>
      <c r="E187" s="98"/>
      <c r="F187" s="99"/>
      <c r="G187" s="87"/>
      <c r="H187" s="82"/>
      <c r="J187" s="92"/>
      <c r="K187" s="93"/>
      <c r="L187" s="84"/>
      <c r="M187" s="93"/>
    </row>
    <row r="188" spans="1:13" x14ac:dyDescent="0.25">
      <c r="A188" s="94"/>
      <c r="B188" s="7" t="s">
        <v>47</v>
      </c>
      <c r="C188" s="96">
        <f t="shared" si="0"/>
        <v>0.89999999999999991</v>
      </c>
      <c r="D188" s="137"/>
      <c r="E188" s="98"/>
      <c r="F188" s="99"/>
      <c r="G188" s="87"/>
      <c r="H188" s="82"/>
      <c r="J188" s="92"/>
      <c r="K188" s="93"/>
      <c r="L188" s="84"/>
      <c r="M188" s="93"/>
    </row>
    <row r="189" spans="1:13" x14ac:dyDescent="0.25">
      <c r="A189" s="94"/>
      <c r="B189" s="7" t="s">
        <v>119</v>
      </c>
      <c r="C189" s="96">
        <f t="shared" si="0"/>
        <v>0.87</v>
      </c>
      <c r="D189" s="137"/>
      <c r="E189" s="98"/>
      <c r="F189" s="99"/>
      <c r="G189" s="87"/>
      <c r="H189" s="82"/>
      <c r="J189" s="92"/>
      <c r="K189" s="93"/>
      <c r="L189" s="84"/>
      <c r="M189" s="93"/>
    </row>
    <row r="190" spans="1:13" x14ac:dyDescent="0.25">
      <c r="A190" s="94"/>
      <c r="B190" s="7" t="s">
        <v>65</v>
      </c>
      <c r="C190" s="96">
        <f t="shared" si="0"/>
        <v>0.81</v>
      </c>
      <c r="D190" s="137"/>
      <c r="E190" s="195"/>
      <c r="F190" s="196"/>
      <c r="G190" s="197"/>
      <c r="H190" s="82"/>
      <c r="J190" s="92"/>
      <c r="K190" s="93"/>
      <c r="L190" s="84"/>
      <c r="M190" s="93"/>
    </row>
    <row r="191" spans="1:13" x14ac:dyDescent="0.25">
      <c r="A191" s="94"/>
      <c r="B191" s="7" t="s">
        <v>108</v>
      </c>
      <c r="C191" s="96">
        <f t="shared" si="0"/>
        <v>0.76</v>
      </c>
      <c r="D191" s="137"/>
      <c r="E191" s="195"/>
      <c r="F191" s="196"/>
      <c r="G191" s="197"/>
      <c r="H191" s="82"/>
      <c r="J191" s="92"/>
      <c r="K191" s="93"/>
      <c r="L191" s="84"/>
      <c r="M191" s="93"/>
    </row>
    <row r="192" spans="1:13" x14ac:dyDescent="0.25">
      <c r="A192" s="94"/>
      <c r="B192" s="7" t="s">
        <v>135</v>
      </c>
      <c r="C192" s="96">
        <f t="shared" si="0"/>
        <v>0.72</v>
      </c>
      <c r="D192" s="137"/>
      <c r="E192" s="195"/>
      <c r="F192" s="196"/>
      <c r="G192" s="197"/>
      <c r="H192" s="82"/>
      <c r="J192" s="92"/>
      <c r="K192" s="93"/>
      <c r="L192" s="84"/>
      <c r="M192" s="93"/>
    </row>
    <row r="193" spans="1:13" x14ac:dyDescent="0.25">
      <c r="A193" s="94"/>
      <c r="B193" s="7" t="s">
        <v>107</v>
      </c>
      <c r="C193" s="96">
        <f t="shared" si="0"/>
        <v>0.7</v>
      </c>
      <c r="D193" s="137"/>
      <c r="E193" s="195"/>
      <c r="F193" s="196"/>
      <c r="G193" s="197"/>
      <c r="H193" s="82"/>
      <c r="J193" s="92"/>
      <c r="K193" s="93"/>
      <c r="L193" s="84"/>
      <c r="M193" s="93"/>
    </row>
    <row r="194" spans="1:13" x14ac:dyDescent="0.25">
      <c r="A194" s="94"/>
      <c r="B194" s="7" t="s">
        <v>118</v>
      </c>
      <c r="C194" s="96">
        <f t="shared" si="0"/>
        <v>0.62</v>
      </c>
      <c r="D194" s="137"/>
      <c r="E194" s="195"/>
      <c r="F194" s="196"/>
      <c r="G194" s="197"/>
      <c r="H194" s="82"/>
      <c r="J194" s="92"/>
      <c r="K194" s="93"/>
      <c r="L194" s="84"/>
      <c r="M194" s="93"/>
    </row>
    <row r="195" spans="1:13" x14ac:dyDescent="0.25">
      <c r="A195" s="94"/>
      <c r="B195" s="7" t="s">
        <v>424</v>
      </c>
      <c r="C195" s="96">
        <f t="shared" si="0"/>
        <v>0.49</v>
      </c>
      <c r="D195" s="137"/>
      <c r="E195" s="195"/>
      <c r="F195" s="196"/>
      <c r="G195" s="197"/>
      <c r="H195" s="82"/>
      <c r="J195" s="92"/>
      <c r="K195" s="93"/>
      <c r="L195" s="84"/>
      <c r="M195" s="93"/>
    </row>
    <row r="196" spans="1:13" x14ac:dyDescent="0.25">
      <c r="A196" s="94"/>
      <c r="B196" s="7" t="s">
        <v>115</v>
      </c>
      <c r="C196" s="96">
        <f t="shared" si="0"/>
        <v>0.45</v>
      </c>
      <c r="D196" s="137"/>
      <c r="E196" s="195"/>
      <c r="F196" s="196"/>
      <c r="G196" s="197"/>
      <c r="H196" s="82"/>
      <c r="J196" s="92"/>
      <c r="K196" s="93"/>
      <c r="L196" s="84"/>
      <c r="M196" s="93"/>
    </row>
    <row r="197" spans="1:13" x14ac:dyDescent="0.25">
      <c r="A197" s="94"/>
      <c r="B197" s="7" t="s">
        <v>369</v>
      </c>
      <c r="C197" s="96">
        <f t="shared" si="0"/>
        <v>0.38</v>
      </c>
      <c r="D197" s="137"/>
      <c r="E197" s="195"/>
      <c r="F197" s="196"/>
      <c r="G197" s="197"/>
      <c r="H197" s="82"/>
      <c r="J197" s="92"/>
      <c r="K197" s="93"/>
      <c r="L197" s="84"/>
      <c r="M197" s="93"/>
    </row>
    <row r="198" spans="1:13" x14ac:dyDescent="0.25">
      <c r="A198" s="94"/>
      <c r="B198" s="7" t="s">
        <v>117</v>
      </c>
      <c r="C198" s="96">
        <f t="shared" si="0"/>
        <v>0.38</v>
      </c>
      <c r="D198" s="137"/>
      <c r="E198" s="195"/>
      <c r="F198" s="196"/>
      <c r="G198" s="197"/>
      <c r="H198" s="82"/>
      <c r="J198" s="92"/>
      <c r="K198" s="93"/>
      <c r="L198" s="84"/>
      <c r="M198" s="93"/>
    </row>
    <row r="199" spans="1:13" x14ac:dyDescent="0.25">
      <c r="A199" s="94"/>
      <c r="B199" s="7" t="s">
        <v>356</v>
      </c>
      <c r="C199" s="96">
        <f t="shared" si="0"/>
        <v>0.35</v>
      </c>
      <c r="D199" s="137"/>
      <c r="E199" s="195"/>
      <c r="F199" s="196"/>
      <c r="G199" s="197"/>
      <c r="H199" s="82"/>
      <c r="J199" s="92"/>
      <c r="K199" s="93"/>
      <c r="L199" s="84"/>
      <c r="M199" s="93"/>
    </row>
    <row r="200" spans="1:13" x14ac:dyDescent="0.25">
      <c r="A200" s="94"/>
      <c r="B200" s="7" t="s">
        <v>46</v>
      </c>
      <c r="C200" s="96">
        <f t="shared" si="0"/>
        <v>0.31</v>
      </c>
      <c r="D200" s="137"/>
      <c r="E200" s="195"/>
      <c r="F200" s="196"/>
      <c r="G200" s="197"/>
      <c r="H200" s="82"/>
      <c r="J200" s="92"/>
      <c r="K200" s="93"/>
      <c r="L200" s="84"/>
      <c r="M200" s="93"/>
    </row>
    <row r="201" spans="1:13" x14ac:dyDescent="0.25">
      <c r="A201" s="94"/>
      <c r="B201" s="7" t="s">
        <v>418</v>
      </c>
      <c r="C201" s="96">
        <f t="shared" si="0"/>
        <v>0.28999999999999998</v>
      </c>
      <c r="D201" s="137"/>
      <c r="E201" s="195"/>
      <c r="F201" s="196"/>
      <c r="G201" s="197"/>
      <c r="H201" s="82"/>
      <c r="J201" s="92"/>
      <c r="K201" s="93"/>
      <c r="L201" s="84"/>
      <c r="M201" s="93"/>
    </row>
    <row r="202" spans="1:13" x14ac:dyDescent="0.25">
      <c r="A202" s="94"/>
      <c r="B202" s="7" t="s">
        <v>345</v>
      </c>
      <c r="C202" s="96">
        <f t="shared" si="0"/>
        <v>0.19</v>
      </c>
      <c r="D202" s="137"/>
      <c r="E202" s="195"/>
      <c r="F202" s="196"/>
      <c r="G202" s="197"/>
      <c r="H202" s="82"/>
      <c r="J202" s="92"/>
      <c r="K202" s="93"/>
      <c r="L202" s="84"/>
      <c r="M202" s="93"/>
    </row>
    <row r="203" spans="1:13" s="38" customFormat="1" x14ac:dyDescent="0.25">
      <c r="A203" s="100"/>
      <c r="B203" s="101" t="s">
        <v>138</v>
      </c>
      <c r="C203" s="17"/>
      <c r="D203" s="203"/>
      <c r="E203" s="210">
        <f>SUM(C168:C203)-G96</f>
        <v>0</v>
      </c>
      <c r="F203" s="204"/>
      <c r="G203" s="200"/>
      <c r="H203" s="103"/>
      <c r="I203" s="119"/>
    </row>
    <row r="204" spans="1:13" s="38" customFormat="1" x14ac:dyDescent="0.25">
      <c r="A204" s="100"/>
      <c r="B204"/>
      <c r="C204"/>
      <c r="D204" s="203"/>
      <c r="E204" s="205"/>
      <c r="F204" s="204"/>
      <c r="G204" s="200"/>
      <c r="H204" s="103"/>
      <c r="I204" s="119"/>
    </row>
    <row r="205" spans="1:13" x14ac:dyDescent="0.25">
      <c r="B205" t="s">
        <v>136</v>
      </c>
      <c r="D205" s="206"/>
      <c r="E205" s="206"/>
      <c r="F205" s="206"/>
      <c r="G205" s="13"/>
      <c r="H205" s="86"/>
      <c r="I205" s="86"/>
    </row>
    <row r="206" spans="1:13" x14ac:dyDescent="0.25">
      <c r="B206" t="s">
        <v>344</v>
      </c>
      <c r="D206" s="13"/>
      <c r="E206" s="13"/>
      <c r="F206" s="13"/>
      <c r="G206" s="13"/>
      <c r="H206" s="86"/>
      <c r="I206" s="86"/>
    </row>
    <row r="207" spans="1:13" x14ac:dyDescent="0.25">
      <c r="B207" s="229" t="s">
        <v>388</v>
      </c>
      <c r="C207" s="230" t="s">
        <v>387</v>
      </c>
      <c r="D207" s="14"/>
      <c r="E207" s="13"/>
      <c r="F207" s="13"/>
      <c r="G207" s="13"/>
      <c r="H207" s="86"/>
      <c r="I207" s="86"/>
    </row>
    <row r="208" spans="1:13" x14ac:dyDescent="0.25">
      <c r="D208" s="13"/>
      <c r="E208" s="13"/>
      <c r="F208" s="13"/>
      <c r="G208" s="13"/>
      <c r="H208" s="86"/>
      <c r="I208" s="86"/>
    </row>
    <row r="209" spans="4:9" x14ac:dyDescent="0.25">
      <c r="D209" s="13"/>
      <c r="E209" s="13"/>
      <c r="F209" s="13"/>
      <c r="G209" s="13"/>
      <c r="H209" s="86"/>
      <c r="I209" s="86"/>
    </row>
    <row r="210" spans="4:9" x14ac:dyDescent="0.25">
      <c r="D210" s="13"/>
      <c r="E210" s="13"/>
      <c r="F210" s="13"/>
      <c r="G210" s="13"/>
      <c r="H210" s="86"/>
      <c r="I210" s="86"/>
    </row>
    <row r="211" spans="4:9" x14ac:dyDescent="0.25">
      <c r="D211" s="13"/>
      <c r="E211" s="13"/>
      <c r="F211" s="13"/>
      <c r="G211" s="13"/>
      <c r="H211" s="86"/>
      <c r="I211" s="86"/>
    </row>
    <row r="212" spans="4:9" x14ac:dyDescent="0.25">
      <c r="D212" s="13"/>
      <c r="E212" s="13"/>
      <c r="F212" s="13"/>
      <c r="G212" s="13"/>
      <c r="H212" s="86"/>
      <c r="I212" s="86"/>
    </row>
    <row r="213" spans="4:9" x14ac:dyDescent="0.25">
      <c r="D213" s="13"/>
      <c r="E213" s="13"/>
      <c r="F213" s="13"/>
      <c r="G213" s="13"/>
    </row>
  </sheetData>
  <mergeCells count="10">
    <mergeCell ref="B1:H1"/>
    <mergeCell ref="F4:H4"/>
    <mergeCell ref="F10:H10"/>
    <mergeCell ref="B2:H2"/>
    <mergeCell ref="D4:E4"/>
    <mergeCell ref="F11:H11"/>
    <mergeCell ref="B6:C6"/>
    <mergeCell ref="B7:C7"/>
    <mergeCell ref="B9:C9"/>
    <mergeCell ref="D10:E10"/>
  </mergeCells>
  <hyperlinks>
    <hyperlink ref="C207" r:id="rId1" xr:uid="{0DF9304C-961E-4E19-94B9-2661B2BF4EA3}"/>
  </hyperlinks>
  <printOptions gridLines="1"/>
  <pageMargins left="0.7" right="0.7" top="0.75" bottom="0.75" header="0.3" footer="0.3"/>
  <pageSetup paperSize="9" scale="54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43B68-67DD-4B5C-8BB6-FC78916DA60B}">
  <sheetPr codeName="Sheet6">
    <pageSetUpPr autoPageBreaks="0"/>
  </sheetPr>
  <dimension ref="A1:M104"/>
  <sheetViews>
    <sheetView showGridLines="0" zoomScaleNormal="100" workbookViewId="0"/>
  </sheetViews>
  <sheetFormatPr defaultColWidth="17.7109375" defaultRowHeight="15" x14ac:dyDescent="0.25"/>
  <cols>
    <col min="1" max="1" width="3.85546875" style="76" customWidth="1"/>
    <col min="2" max="2" width="49.140625" style="11" customWidth="1"/>
    <col min="3" max="3" width="23.85546875" style="11" customWidth="1"/>
    <col min="4" max="5" width="27.28515625" style="11" customWidth="1"/>
    <col min="6" max="6" width="24.7109375" style="11" customWidth="1"/>
    <col min="7" max="7" width="14.5703125" style="11" customWidth="1"/>
    <col min="8" max="8" width="8.7109375" style="11" customWidth="1"/>
    <col min="9" max="9" width="17.28515625" style="11" customWidth="1"/>
    <col min="10" max="10" width="19" style="11" bestFit="1" customWidth="1"/>
    <col min="11" max="15" width="17.7109375" style="11"/>
    <col min="16" max="16" width="22.5703125" style="11" bestFit="1" customWidth="1"/>
    <col min="17" max="16384" width="17.7109375" style="11"/>
  </cols>
  <sheetData>
    <row r="1" spans="1:9" ht="21.75" x14ac:dyDescent="0.25">
      <c r="B1" s="287" t="s">
        <v>91</v>
      </c>
      <c r="C1" s="287"/>
      <c r="D1" s="287"/>
      <c r="E1" s="287"/>
      <c r="F1" s="287"/>
      <c r="G1" s="287"/>
      <c r="H1" s="287"/>
    </row>
    <row r="2" spans="1:9" customFormat="1" ht="13.5" customHeight="1" x14ac:dyDescent="0.25">
      <c r="B2" s="276" t="s">
        <v>92</v>
      </c>
      <c r="C2" s="276"/>
      <c r="D2" s="276"/>
      <c r="E2" s="276"/>
      <c r="F2" s="276"/>
      <c r="G2" s="276"/>
      <c r="H2" s="276"/>
    </row>
    <row r="3" spans="1:9" customFormat="1" ht="13.5" customHeight="1" x14ac:dyDescent="0.3">
      <c r="B3" s="144"/>
      <c r="C3" s="144"/>
      <c r="D3" s="144"/>
      <c r="E3" s="144"/>
      <c r="F3" s="144"/>
      <c r="G3" s="144"/>
      <c r="H3" s="144"/>
    </row>
    <row r="4" spans="1:9" s="19" customFormat="1" ht="21" x14ac:dyDescent="0.25">
      <c r="A4" s="75"/>
      <c r="B4" s="55"/>
      <c r="C4" s="56"/>
      <c r="D4" s="273" t="s">
        <v>9</v>
      </c>
      <c r="E4" s="275"/>
      <c r="F4" s="273" t="s">
        <v>56</v>
      </c>
      <c r="G4" s="274"/>
      <c r="H4" s="275"/>
    </row>
    <row r="5" spans="1:9" s="19" customFormat="1" ht="15.75" x14ac:dyDescent="0.25">
      <c r="A5" s="75"/>
      <c r="B5" s="54" t="s">
        <v>32</v>
      </c>
      <c r="C5" s="20"/>
      <c r="D5" s="50"/>
      <c r="E5" s="24"/>
      <c r="F5" s="50"/>
      <c r="G5" s="44"/>
      <c r="H5" s="51"/>
    </row>
    <row r="6" spans="1:9" s="19" customFormat="1" ht="45.75" customHeight="1" x14ac:dyDescent="0.25">
      <c r="A6" s="75"/>
      <c r="B6" s="292" t="s">
        <v>103</v>
      </c>
      <c r="C6" s="293"/>
      <c r="D6" s="59"/>
      <c r="E6" s="24"/>
      <c r="F6" s="294"/>
      <c r="G6" s="295"/>
      <c r="H6" s="296"/>
    </row>
    <row r="7" spans="1:9" s="19" customFormat="1" ht="38.25" customHeight="1" x14ac:dyDescent="0.25">
      <c r="A7" s="75"/>
      <c r="B7" s="292" t="s">
        <v>104</v>
      </c>
      <c r="C7" s="293"/>
      <c r="D7" s="149"/>
      <c r="E7" s="24"/>
      <c r="F7" s="294"/>
      <c r="G7" s="295"/>
      <c r="H7" s="296"/>
    </row>
    <row r="8" spans="1:9" s="19" customFormat="1" x14ac:dyDescent="0.25">
      <c r="A8" s="75"/>
      <c r="B8" s="50"/>
      <c r="C8" s="20"/>
      <c r="D8" s="50"/>
      <c r="E8" s="24"/>
      <c r="F8" s="50"/>
      <c r="G8" s="20"/>
      <c r="H8" s="24"/>
    </row>
    <row r="9" spans="1:9" s="19" customFormat="1" ht="29.25" customHeight="1" x14ac:dyDescent="0.25">
      <c r="A9" s="75"/>
      <c r="B9" s="282" t="s">
        <v>8</v>
      </c>
      <c r="C9" s="283"/>
      <c r="D9" s="148"/>
      <c r="E9" s="24"/>
      <c r="F9" s="50"/>
      <c r="G9" s="20"/>
      <c r="H9" s="24"/>
    </row>
    <row r="10" spans="1:9" s="19" customFormat="1" ht="15" customHeight="1" x14ac:dyDescent="0.25">
      <c r="A10" s="75"/>
      <c r="B10" s="25"/>
      <c r="C10" s="20"/>
      <c r="D10" s="288" t="s">
        <v>57</v>
      </c>
      <c r="E10" s="289"/>
      <c r="F10" s="288" t="s">
        <v>13</v>
      </c>
      <c r="G10" s="290"/>
      <c r="H10" s="289"/>
    </row>
    <row r="11" spans="1:9" s="19" customFormat="1" ht="27" customHeight="1" x14ac:dyDescent="0.25">
      <c r="A11" s="75"/>
      <c r="B11" s="26"/>
      <c r="C11" s="68"/>
      <c r="D11" s="151"/>
      <c r="E11" s="69"/>
      <c r="F11" s="277" t="s">
        <v>98</v>
      </c>
      <c r="G11" s="278"/>
      <c r="H11" s="279"/>
    </row>
    <row r="12" spans="1:9" x14ac:dyDescent="0.25">
      <c r="I12" s="19"/>
    </row>
    <row r="13" spans="1:9" x14ac:dyDescent="0.2">
      <c r="A13" s="42"/>
      <c r="B13" s="121" t="s">
        <v>96</v>
      </c>
      <c r="C13" s="193"/>
      <c r="D13" s="193"/>
      <c r="E13" s="193"/>
      <c r="F13" s="193"/>
      <c r="G13" s="193"/>
      <c r="H13" s="41"/>
      <c r="I13" s="19"/>
    </row>
    <row r="14" spans="1:9" ht="3" customHeight="1" x14ac:dyDescent="0.2">
      <c r="A14" s="42"/>
      <c r="B14" s="121"/>
      <c r="C14" s="121"/>
      <c r="D14" s="121"/>
      <c r="E14" s="121"/>
      <c r="F14" s="121"/>
      <c r="G14" s="121"/>
      <c r="H14" s="42"/>
    </row>
    <row r="15" spans="1:9" customFormat="1" ht="3" customHeight="1" x14ac:dyDescent="0.25">
      <c r="A15" s="42"/>
      <c r="B15" s="121"/>
      <c r="C15" s="121"/>
      <c r="D15" s="121"/>
      <c r="E15" s="121"/>
      <c r="F15" s="121"/>
      <c r="G15" s="121"/>
      <c r="H15" s="42"/>
    </row>
    <row r="16" spans="1:9" customFormat="1" x14ac:dyDescent="0.25">
      <c r="A16" s="42"/>
      <c r="B16" s="121" t="s">
        <v>475</v>
      </c>
      <c r="C16" s="42"/>
      <c r="D16" s="42"/>
      <c r="E16" s="43"/>
      <c r="F16" s="42"/>
      <c r="G16" s="42"/>
      <c r="H16" s="42"/>
    </row>
    <row r="17" spans="1:8" customFormat="1" ht="15.75" thickBot="1" x14ac:dyDescent="0.3">
      <c r="A17" s="42"/>
      <c r="B17" s="258" t="s">
        <v>122</v>
      </c>
      <c r="C17" s="258" t="s">
        <v>123</v>
      </c>
      <c r="D17" s="258" t="s">
        <v>124</v>
      </c>
      <c r="E17" s="259" t="s">
        <v>125</v>
      </c>
      <c r="F17" s="260" t="s">
        <v>126</v>
      </c>
      <c r="G17" s="261" t="s">
        <v>51</v>
      </c>
      <c r="H17" s="261" t="s">
        <v>127</v>
      </c>
    </row>
    <row r="18" spans="1:8" customFormat="1" x14ac:dyDescent="0.25">
      <c r="A18" s="42"/>
      <c r="B18" s="163" t="s">
        <v>128</v>
      </c>
      <c r="C18" s="164"/>
      <c r="D18" s="164"/>
      <c r="E18" s="165"/>
      <c r="F18" s="166"/>
      <c r="G18" s="167"/>
      <c r="H18" s="168"/>
    </row>
    <row r="19" spans="1:8" customFormat="1" x14ac:dyDescent="0.25">
      <c r="A19" s="42"/>
      <c r="B19" s="254"/>
      <c r="C19" s="254"/>
      <c r="D19" s="254"/>
      <c r="E19" s="224"/>
      <c r="F19" s="160"/>
      <c r="G19" s="161"/>
      <c r="H19" s="162"/>
    </row>
    <row r="20" spans="1:8" customFormat="1" x14ac:dyDescent="0.25">
      <c r="A20" s="42"/>
      <c r="B20" s="173" t="s">
        <v>129</v>
      </c>
      <c r="C20" s="174"/>
      <c r="D20" s="174"/>
      <c r="E20" s="175"/>
      <c r="F20" s="176"/>
      <c r="G20" s="177"/>
      <c r="H20" s="178"/>
    </row>
    <row r="21" spans="1:8" customFormat="1" x14ac:dyDescent="0.25">
      <c r="A21" s="159" t="s">
        <v>48</v>
      </c>
      <c r="B21" s="254" t="s">
        <v>148</v>
      </c>
      <c r="C21" s="254" t="s">
        <v>149</v>
      </c>
      <c r="D21" s="254" t="s">
        <v>67</v>
      </c>
      <c r="E21" s="224">
        <v>78380</v>
      </c>
      <c r="F21" s="160">
        <v>1051.94</v>
      </c>
      <c r="G21" s="161">
        <v>6.01</v>
      </c>
      <c r="H21" s="162"/>
    </row>
    <row r="22" spans="1:8" customFormat="1" x14ac:dyDescent="0.25">
      <c r="A22" s="159" t="s">
        <v>48</v>
      </c>
      <c r="B22" s="254" t="s">
        <v>140</v>
      </c>
      <c r="C22" s="254" t="s">
        <v>141</v>
      </c>
      <c r="D22" s="254" t="s">
        <v>67</v>
      </c>
      <c r="E22" s="224">
        <v>109730</v>
      </c>
      <c r="F22" s="160">
        <v>878.99</v>
      </c>
      <c r="G22" s="161">
        <v>5.0199999999999996</v>
      </c>
      <c r="H22" s="162"/>
    </row>
    <row r="23" spans="1:8" customFormat="1" x14ac:dyDescent="0.25">
      <c r="A23" s="159" t="s">
        <v>48</v>
      </c>
      <c r="B23" s="254" t="s">
        <v>146</v>
      </c>
      <c r="C23" s="254" t="s">
        <v>147</v>
      </c>
      <c r="D23" s="254" t="s">
        <v>111</v>
      </c>
      <c r="E23" s="224">
        <v>63410</v>
      </c>
      <c r="F23" s="160">
        <v>826.87</v>
      </c>
      <c r="G23" s="161">
        <v>4.7300000000000004</v>
      </c>
      <c r="H23" s="162"/>
    </row>
    <row r="24" spans="1:8" customFormat="1" x14ac:dyDescent="0.25">
      <c r="A24" s="159" t="s">
        <v>48</v>
      </c>
      <c r="B24" s="254" t="s">
        <v>272</v>
      </c>
      <c r="C24" s="254" t="s">
        <v>273</v>
      </c>
      <c r="D24" s="254" t="s">
        <v>274</v>
      </c>
      <c r="E24" s="224">
        <v>269090</v>
      </c>
      <c r="F24" s="160">
        <v>757.89</v>
      </c>
      <c r="G24" s="161">
        <v>4.33</v>
      </c>
      <c r="H24" s="162"/>
    </row>
    <row r="25" spans="1:8" customFormat="1" x14ac:dyDescent="0.25">
      <c r="A25" s="159" t="s">
        <v>48</v>
      </c>
      <c r="B25" s="254" t="s">
        <v>342</v>
      </c>
      <c r="C25" s="254" t="s">
        <v>343</v>
      </c>
      <c r="D25" s="254" t="s">
        <v>114</v>
      </c>
      <c r="E25" s="224">
        <v>29462</v>
      </c>
      <c r="F25" s="160">
        <v>690.38</v>
      </c>
      <c r="G25" s="161">
        <v>3.95</v>
      </c>
      <c r="H25" s="162"/>
    </row>
    <row r="26" spans="1:8" customFormat="1" x14ac:dyDescent="0.25">
      <c r="A26" s="159" t="s">
        <v>48</v>
      </c>
      <c r="B26" s="254" t="s">
        <v>352</v>
      </c>
      <c r="C26" s="254" t="s">
        <v>353</v>
      </c>
      <c r="D26" s="254" t="s">
        <v>45</v>
      </c>
      <c r="E26" s="224">
        <v>20331</v>
      </c>
      <c r="F26" s="160">
        <v>676.27</v>
      </c>
      <c r="G26" s="161">
        <v>3.86</v>
      </c>
      <c r="H26" s="162"/>
    </row>
    <row r="27" spans="1:8" customFormat="1" x14ac:dyDescent="0.25">
      <c r="A27" s="159" t="s">
        <v>48</v>
      </c>
      <c r="B27" s="254" t="s">
        <v>328</v>
      </c>
      <c r="C27" s="254" t="s">
        <v>383</v>
      </c>
      <c r="D27" s="254" t="s">
        <v>65</v>
      </c>
      <c r="E27" s="224">
        <v>34750</v>
      </c>
      <c r="F27" s="160">
        <v>655.91</v>
      </c>
      <c r="G27" s="161">
        <v>3.75</v>
      </c>
      <c r="H27" s="162"/>
    </row>
    <row r="28" spans="1:8" customFormat="1" x14ac:dyDescent="0.25">
      <c r="A28" s="159" t="s">
        <v>48</v>
      </c>
      <c r="B28" s="254" t="s">
        <v>154</v>
      </c>
      <c r="C28" s="254" t="s">
        <v>155</v>
      </c>
      <c r="D28" s="254" t="s">
        <v>67</v>
      </c>
      <c r="E28" s="224">
        <v>62400</v>
      </c>
      <c r="F28" s="160">
        <v>648.96</v>
      </c>
      <c r="G28" s="161">
        <v>3.71</v>
      </c>
      <c r="H28" s="162"/>
    </row>
    <row r="29" spans="1:8" customFormat="1" x14ac:dyDescent="0.25">
      <c r="A29" s="159" t="s">
        <v>48</v>
      </c>
      <c r="B29" s="254" t="s">
        <v>241</v>
      </c>
      <c r="C29" s="254" t="s">
        <v>242</v>
      </c>
      <c r="D29" s="254" t="s">
        <v>135</v>
      </c>
      <c r="E29" s="224">
        <v>32850</v>
      </c>
      <c r="F29" s="160">
        <v>615.66999999999996</v>
      </c>
      <c r="G29" s="161">
        <v>3.52</v>
      </c>
      <c r="H29" s="162"/>
    </row>
    <row r="30" spans="1:8" customFormat="1" x14ac:dyDescent="0.25">
      <c r="A30" s="223" t="s">
        <v>48</v>
      </c>
      <c r="B30" s="254" t="s">
        <v>430</v>
      </c>
      <c r="C30" s="254" t="s">
        <v>431</v>
      </c>
      <c r="D30" s="254" t="s">
        <v>65</v>
      </c>
      <c r="E30" s="224">
        <v>21240</v>
      </c>
      <c r="F30" s="160">
        <v>594.76</v>
      </c>
      <c r="G30" s="161">
        <v>3.4</v>
      </c>
      <c r="H30" s="162"/>
    </row>
    <row r="31" spans="1:8" customFormat="1" x14ac:dyDescent="0.25">
      <c r="A31" s="159"/>
      <c r="B31" s="254" t="s">
        <v>365</v>
      </c>
      <c r="C31" s="254" t="s">
        <v>366</v>
      </c>
      <c r="D31" s="254" t="s">
        <v>66</v>
      </c>
      <c r="E31" s="224">
        <v>6600</v>
      </c>
      <c r="F31" s="160">
        <v>586.97</v>
      </c>
      <c r="G31" s="161">
        <v>3.35</v>
      </c>
      <c r="H31" s="162"/>
    </row>
    <row r="32" spans="1:8" customFormat="1" x14ac:dyDescent="0.25">
      <c r="A32" s="42"/>
      <c r="B32" s="254" t="s">
        <v>144</v>
      </c>
      <c r="C32" s="254" t="s">
        <v>145</v>
      </c>
      <c r="D32" s="254" t="s">
        <v>42</v>
      </c>
      <c r="E32" s="224">
        <v>28220</v>
      </c>
      <c r="F32" s="160">
        <v>539.11</v>
      </c>
      <c r="G32" s="161">
        <v>3.08</v>
      </c>
      <c r="H32" s="162"/>
    </row>
    <row r="33" spans="1:8" customFormat="1" x14ac:dyDescent="0.25">
      <c r="A33" s="42"/>
      <c r="B33" s="254" t="s">
        <v>152</v>
      </c>
      <c r="C33" s="254" t="s">
        <v>153</v>
      </c>
      <c r="D33" s="254" t="s">
        <v>44</v>
      </c>
      <c r="E33" s="224">
        <v>16910</v>
      </c>
      <c r="F33" s="160">
        <v>530.45000000000005</v>
      </c>
      <c r="G33" s="161">
        <v>3.03</v>
      </c>
      <c r="H33" s="162"/>
    </row>
    <row r="34" spans="1:8" customFormat="1" x14ac:dyDescent="0.25">
      <c r="A34" s="42"/>
      <c r="B34" s="254" t="s">
        <v>182</v>
      </c>
      <c r="C34" s="254" t="s">
        <v>183</v>
      </c>
      <c r="D34" s="254" t="s">
        <v>93</v>
      </c>
      <c r="E34" s="224">
        <v>8980</v>
      </c>
      <c r="F34" s="160">
        <v>487.3</v>
      </c>
      <c r="G34" s="161">
        <v>2.78</v>
      </c>
      <c r="H34" s="162"/>
    </row>
    <row r="35" spans="1:8" customFormat="1" x14ac:dyDescent="0.25">
      <c r="A35" s="42"/>
      <c r="B35" s="254" t="s">
        <v>420</v>
      </c>
      <c r="C35" s="254" t="s">
        <v>421</v>
      </c>
      <c r="D35" s="254" t="s">
        <v>68</v>
      </c>
      <c r="E35" s="224">
        <v>265094</v>
      </c>
      <c r="F35" s="160">
        <v>471.73</v>
      </c>
      <c r="G35" s="161">
        <v>2.7</v>
      </c>
      <c r="H35" s="162"/>
    </row>
    <row r="36" spans="1:8" customFormat="1" x14ac:dyDescent="0.25">
      <c r="A36" s="42"/>
      <c r="B36" s="254" t="s">
        <v>277</v>
      </c>
      <c r="C36" s="254" t="s">
        <v>376</v>
      </c>
      <c r="D36" s="254" t="s">
        <v>65</v>
      </c>
      <c r="E36" s="224">
        <v>59000</v>
      </c>
      <c r="F36" s="160">
        <v>471.03</v>
      </c>
      <c r="G36" s="161">
        <v>2.69</v>
      </c>
      <c r="H36" s="162"/>
    </row>
    <row r="37" spans="1:8" customFormat="1" x14ac:dyDescent="0.25">
      <c r="A37" s="42"/>
      <c r="B37" s="254" t="s">
        <v>350</v>
      </c>
      <c r="C37" s="254" t="s">
        <v>351</v>
      </c>
      <c r="D37" s="254" t="s">
        <v>68</v>
      </c>
      <c r="E37" s="224">
        <v>365290</v>
      </c>
      <c r="F37" s="160">
        <v>434.51</v>
      </c>
      <c r="G37" s="161">
        <v>2.48</v>
      </c>
      <c r="H37" s="162"/>
    </row>
    <row r="38" spans="1:8" customFormat="1" x14ac:dyDescent="0.25">
      <c r="A38" s="42"/>
      <c r="B38" s="254" t="s">
        <v>156</v>
      </c>
      <c r="C38" s="254" t="s">
        <v>157</v>
      </c>
      <c r="D38" s="254" t="s">
        <v>50</v>
      </c>
      <c r="E38" s="224">
        <v>20270</v>
      </c>
      <c r="F38" s="160">
        <v>424.35</v>
      </c>
      <c r="G38" s="161">
        <v>2.42</v>
      </c>
      <c r="H38" s="162"/>
    </row>
    <row r="39" spans="1:8" customFormat="1" x14ac:dyDescent="0.25">
      <c r="A39" s="42"/>
      <c r="B39" s="254" t="s">
        <v>378</v>
      </c>
      <c r="C39" s="254" t="s">
        <v>379</v>
      </c>
      <c r="D39" s="254" t="s">
        <v>46</v>
      </c>
      <c r="E39" s="224">
        <v>285854</v>
      </c>
      <c r="F39" s="160">
        <v>418.2</v>
      </c>
      <c r="G39" s="161">
        <v>2.39</v>
      </c>
      <c r="H39" s="162"/>
    </row>
    <row r="40" spans="1:8" customFormat="1" x14ac:dyDescent="0.25">
      <c r="A40" s="42"/>
      <c r="B40" s="254" t="s">
        <v>329</v>
      </c>
      <c r="C40" s="254" t="s">
        <v>330</v>
      </c>
      <c r="D40" s="254" t="s">
        <v>66</v>
      </c>
      <c r="E40" s="224">
        <v>74733</v>
      </c>
      <c r="F40" s="160">
        <v>415.22</v>
      </c>
      <c r="G40" s="161">
        <v>2.37</v>
      </c>
      <c r="H40" s="162"/>
    </row>
    <row r="41" spans="1:8" customFormat="1" x14ac:dyDescent="0.25">
      <c r="A41" s="42"/>
      <c r="B41" s="254" t="s">
        <v>338</v>
      </c>
      <c r="C41" s="254" t="s">
        <v>339</v>
      </c>
      <c r="D41" s="254" t="s">
        <v>66</v>
      </c>
      <c r="E41" s="224">
        <v>27980</v>
      </c>
      <c r="F41" s="160">
        <v>402.91</v>
      </c>
      <c r="G41" s="161">
        <v>2.2999999999999998</v>
      </c>
      <c r="H41" s="162"/>
    </row>
    <row r="42" spans="1:8" customFormat="1" x14ac:dyDescent="0.25">
      <c r="A42" s="42"/>
      <c r="B42" s="254" t="s">
        <v>168</v>
      </c>
      <c r="C42" s="254" t="s">
        <v>169</v>
      </c>
      <c r="D42" s="254" t="s">
        <v>50</v>
      </c>
      <c r="E42" s="224">
        <v>38195</v>
      </c>
      <c r="F42" s="160">
        <v>399.98</v>
      </c>
      <c r="G42" s="161">
        <v>2.29</v>
      </c>
      <c r="H42" s="162"/>
    </row>
    <row r="43" spans="1:8" customFormat="1" x14ac:dyDescent="0.25">
      <c r="A43" s="42"/>
      <c r="B43" s="254" t="s">
        <v>284</v>
      </c>
      <c r="C43" s="254" t="s">
        <v>285</v>
      </c>
      <c r="D43" s="254" t="s">
        <v>67</v>
      </c>
      <c r="E43" s="224">
        <v>48450</v>
      </c>
      <c r="F43" s="160">
        <v>387.09</v>
      </c>
      <c r="G43" s="161">
        <v>2.21</v>
      </c>
      <c r="H43" s="162"/>
    </row>
    <row r="44" spans="1:8" customFormat="1" x14ac:dyDescent="0.25">
      <c r="A44" s="42"/>
      <c r="B44" s="254" t="s">
        <v>268</v>
      </c>
      <c r="C44" s="254" t="s">
        <v>269</v>
      </c>
      <c r="D44" s="254" t="s">
        <v>43</v>
      </c>
      <c r="E44" s="224">
        <v>41548</v>
      </c>
      <c r="F44" s="160">
        <v>373.97</v>
      </c>
      <c r="G44" s="161">
        <v>2.14</v>
      </c>
      <c r="H44" s="162"/>
    </row>
    <row r="45" spans="1:8" customFormat="1" x14ac:dyDescent="0.25">
      <c r="A45" s="42"/>
      <c r="B45" s="254" t="s">
        <v>209</v>
      </c>
      <c r="C45" s="254" t="s">
        <v>210</v>
      </c>
      <c r="D45" s="254" t="s">
        <v>43</v>
      </c>
      <c r="E45" s="224">
        <v>97400</v>
      </c>
      <c r="F45" s="160">
        <v>355.66</v>
      </c>
      <c r="G45" s="161">
        <v>2.0299999999999998</v>
      </c>
      <c r="H45" s="162"/>
    </row>
    <row r="46" spans="1:8" customFormat="1" x14ac:dyDescent="0.25">
      <c r="A46" s="42"/>
      <c r="B46" s="254" t="s">
        <v>229</v>
      </c>
      <c r="C46" s="254" t="s">
        <v>230</v>
      </c>
      <c r="D46" s="254" t="s">
        <v>120</v>
      </c>
      <c r="E46" s="224">
        <v>83320</v>
      </c>
      <c r="F46" s="160">
        <v>351.69</v>
      </c>
      <c r="G46" s="161">
        <v>2.0099999999999998</v>
      </c>
      <c r="H46" s="162"/>
    </row>
    <row r="47" spans="1:8" customFormat="1" x14ac:dyDescent="0.25">
      <c r="A47" s="42"/>
      <c r="B47" s="254" t="s">
        <v>359</v>
      </c>
      <c r="C47" s="254" t="s">
        <v>360</v>
      </c>
      <c r="D47" s="254" t="s">
        <v>65</v>
      </c>
      <c r="E47" s="224">
        <v>126040</v>
      </c>
      <c r="F47" s="160">
        <v>322.39</v>
      </c>
      <c r="G47" s="161">
        <v>1.84</v>
      </c>
      <c r="H47" s="162"/>
    </row>
    <row r="48" spans="1:8" customFormat="1" x14ac:dyDescent="0.25">
      <c r="A48" s="42"/>
      <c r="B48" s="254" t="s">
        <v>331</v>
      </c>
      <c r="C48" s="254" t="s">
        <v>332</v>
      </c>
      <c r="D48" s="254" t="s">
        <v>50</v>
      </c>
      <c r="E48" s="224">
        <v>14000</v>
      </c>
      <c r="F48" s="160">
        <v>321.52</v>
      </c>
      <c r="G48" s="161">
        <v>1.84</v>
      </c>
      <c r="H48" s="162"/>
    </row>
    <row r="49" spans="1:8" customFormat="1" x14ac:dyDescent="0.25">
      <c r="A49" s="42"/>
      <c r="B49" s="254" t="s">
        <v>282</v>
      </c>
      <c r="C49" s="254" t="s">
        <v>283</v>
      </c>
      <c r="D49" s="254" t="s">
        <v>50</v>
      </c>
      <c r="E49" s="224">
        <v>19340</v>
      </c>
      <c r="F49" s="160">
        <v>272.70999999999998</v>
      </c>
      <c r="G49" s="161">
        <v>1.56</v>
      </c>
      <c r="H49" s="162"/>
    </row>
    <row r="50" spans="1:8" customFormat="1" x14ac:dyDescent="0.25">
      <c r="A50" s="42"/>
      <c r="B50" s="254" t="s">
        <v>370</v>
      </c>
      <c r="C50" s="254" t="s">
        <v>371</v>
      </c>
      <c r="D50" s="254" t="s">
        <v>93</v>
      </c>
      <c r="E50" s="224">
        <v>106118</v>
      </c>
      <c r="F50" s="160">
        <v>251.82</v>
      </c>
      <c r="G50" s="161">
        <v>1.44</v>
      </c>
      <c r="H50" s="162"/>
    </row>
    <row r="51" spans="1:8" customFormat="1" x14ac:dyDescent="0.25">
      <c r="A51" s="42"/>
      <c r="B51" s="254" t="s">
        <v>288</v>
      </c>
      <c r="C51" s="254" t="s">
        <v>289</v>
      </c>
      <c r="D51" s="254" t="s">
        <v>66</v>
      </c>
      <c r="E51" s="224">
        <v>44209</v>
      </c>
      <c r="F51" s="160">
        <v>248.83</v>
      </c>
      <c r="G51" s="161">
        <v>1.42</v>
      </c>
      <c r="H51" s="162"/>
    </row>
    <row r="52" spans="1:8" customFormat="1" x14ac:dyDescent="0.25">
      <c r="A52" s="42"/>
      <c r="B52" s="254" t="s">
        <v>348</v>
      </c>
      <c r="C52" s="254" t="s">
        <v>349</v>
      </c>
      <c r="D52" s="254" t="s">
        <v>274</v>
      </c>
      <c r="E52" s="224">
        <v>100050</v>
      </c>
      <c r="F52" s="160">
        <v>248.39</v>
      </c>
      <c r="G52" s="161">
        <v>1.42</v>
      </c>
      <c r="H52" s="162"/>
    </row>
    <row r="53" spans="1:8" customFormat="1" x14ac:dyDescent="0.25">
      <c r="A53" s="42"/>
      <c r="B53" s="254" t="s">
        <v>215</v>
      </c>
      <c r="C53" s="254" t="s">
        <v>216</v>
      </c>
      <c r="D53" s="254" t="s">
        <v>46</v>
      </c>
      <c r="E53" s="224">
        <v>37052</v>
      </c>
      <c r="F53" s="160">
        <v>230.35</v>
      </c>
      <c r="G53" s="161">
        <v>1.32</v>
      </c>
      <c r="H53" s="162"/>
    </row>
    <row r="54" spans="1:8" customFormat="1" x14ac:dyDescent="0.25">
      <c r="A54" s="42"/>
      <c r="B54" s="254" t="s">
        <v>363</v>
      </c>
      <c r="C54" s="254" t="s">
        <v>364</v>
      </c>
      <c r="D54" s="254" t="s">
        <v>46</v>
      </c>
      <c r="E54" s="224">
        <v>8290</v>
      </c>
      <c r="F54" s="160">
        <v>187.49</v>
      </c>
      <c r="G54" s="161">
        <v>1.07</v>
      </c>
      <c r="H54" s="162"/>
    </row>
    <row r="55" spans="1:8" customFormat="1" x14ac:dyDescent="0.25">
      <c r="A55" s="42"/>
      <c r="B55" s="254" t="s">
        <v>374</v>
      </c>
      <c r="C55" s="254" t="s">
        <v>375</v>
      </c>
      <c r="D55" s="254" t="s">
        <v>121</v>
      </c>
      <c r="E55" s="224">
        <v>9890</v>
      </c>
      <c r="F55" s="160">
        <v>176.9</v>
      </c>
      <c r="G55" s="161">
        <v>1.01</v>
      </c>
      <c r="H55" s="162"/>
    </row>
    <row r="56" spans="1:8" customFormat="1" x14ac:dyDescent="0.25">
      <c r="A56" s="42"/>
      <c r="B56" s="254" t="s">
        <v>432</v>
      </c>
      <c r="C56" s="254" t="s">
        <v>433</v>
      </c>
      <c r="D56" s="254" t="s">
        <v>68</v>
      </c>
      <c r="E56" s="224">
        <v>21025</v>
      </c>
      <c r="F56" s="160">
        <v>175.5</v>
      </c>
      <c r="G56" s="161">
        <v>1</v>
      </c>
      <c r="H56" s="162"/>
    </row>
    <row r="57" spans="1:8" customFormat="1" x14ac:dyDescent="0.25">
      <c r="A57" s="42"/>
      <c r="B57" s="169" t="s">
        <v>245</v>
      </c>
      <c r="C57" s="169"/>
      <c r="D57" s="169"/>
      <c r="E57" s="170"/>
      <c r="F57" s="262">
        <v>16883.71</v>
      </c>
      <c r="G57" s="263">
        <v>96.47</v>
      </c>
      <c r="H57" s="171"/>
    </row>
    <row r="58" spans="1:8" customFormat="1" x14ac:dyDescent="0.25">
      <c r="A58" s="42"/>
      <c r="B58" s="254"/>
      <c r="C58" s="254"/>
      <c r="D58" s="254"/>
      <c r="E58" s="224"/>
      <c r="F58" s="160"/>
      <c r="G58" s="161"/>
      <c r="H58" s="162"/>
    </row>
    <row r="59" spans="1:8" customFormat="1" x14ac:dyDescent="0.25">
      <c r="A59" s="42"/>
      <c r="B59" s="173" t="s">
        <v>246</v>
      </c>
      <c r="C59" s="174"/>
      <c r="D59" s="174"/>
      <c r="E59" s="175"/>
      <c r="F59" s="176"/>
      <c r="G59" s="177"/>
      <c r="H59" s="178"/>
    </row>
    <row r="60" spans="1:8" customFormat="1" x14ac:dyDescent="0.25">
      <c r="A60" s="42"/>
      <c r="B60" s="254"/>
      <c r="C60" s="254"/>
      <c r="D60" s="254"/>
      <c r="E60" s="224"/>
      <c r="F60" s="161">
        <v>0</v>
      </c>
      <c r="G60" s="161">
        <v>0</v>
      </c>
      <c r="H60" s="162"/>
    </row>
    <row r="61" spans="1:8" customFormat="1" x14ac:dyDescent="0.25">
      <c r="A61" s="42"/>
      <c r="B61" s="169" t="s">
        <v>245</v>
      </c>
      <c r="C61" s="254"/>
      <c r="D61" s="254"/>
      <c r="E61" s="224"/>
      <c r="F61" s="264" t="s">
        <v>247</v>
      </c>
      <c r="G61" s="264" t="s">
        <v>247</v>
      </c>
      <c r="H61" s="162"/>
    </row>
    <row r="62" spans="1:8" customFormat="1" x14ac:dyDescent="0.25">
      <c r="A62" s="42"/>
      <c r="B62" s="254"/>
      <c r="C62" s="254"/>
      <c r="D62" s="254"/>
      <c r="E62" s="224"/>
      <c r="F62" s="160"/>
      <c r="G62" s="161"/>
      <c r="H62" s="162"/>
    </row>
    <row r="63" spans="1:8" customFormat="1" x14ac:dyDescent="0.25">
      <c r="A63" s="42"/>
      <c r="B63" s="265" t="s">
        <v>248</v>
      </c>
      <c r="C63" s="266"/>
      <c r="D63" s="266"/>
      <c r="E63" s="267"/>
      <c r="F63" s="262">
        <v>16883.71</v>
      </c>
      <c r="G63" s="263">
        <v>96.47</v>
      </c>
      <c r="H63" s="171"/>
    </row>
    <row r="64" spans="1:8" customFormat="1" x14ac:dyDescent="0.25">
      <c r="A64" s="42"/>
      <c r="B64" s="254"/>
      <c r="C64" s="254"/>
      <c r="D64" s="254"/>
      <c r="E64" s="224"/>
      <c r="F64" s="160"/>
      <c r="G64" s="161"/>
      <c r="H64" s="162"/>
    </row>
    <row r="65" spans="1:12" s="219" customFormat="1" x14ac:dyDescent="0.25">
      <c r="A65" s="42"/>
      <c r="B65" s="254"/>
      <c r="C65" s="254"/>
      <c r="D65" s="254"/>
      <c r="E65" s="224"/>
      <c r="F65" s="160"/>
      <c r="G65" s="161"/>
      <c r="H65" s="162"/>
    </row>
    <row r="66" spans="1:12" s="219" customFormat="1" x14ac:dyDescent="0.25">
      <c r="A66" s="42"/>
      <c r="B66" s="163" t="s">
        <v>382</v>
      </c>
      <c r="C66" s="164"/>
      <c r="D66" s="164"/>
      <c r="E66" s="165"/>
      <c r="F66" s="166"/>
      <c r="G66" s="167"/>
      <c r="H66" s="168"/>
    </row>
    <row r="67" spans="1:12" s="219" customFormat="1" x14ac:dyDescent="0.25">
      <c r="A67" s="42"/>
      <c r="B67" s="254" t="s">
        <v>476</v>
      </c>
      <c r="C67" s="254" t="s">
        <v>467</v>
      </c>
      <c r="D67" s="254"/>
      <c r="E67" s="224"/>
      <c r="F67" s="160">
        <v>473.4</v>
      </c>
      <c r="G67" s="161">
        <v>2.71</v>
      </c>
      <c r="H67" s="162">
        <v>5.1081000000000003</v>
      </c>
    </row>
    <row r="68" spans="1:12" s="222" customFormat="1" x14ac:dyDescent="0.25">
      <c r="A68" s="42"/>
      <c r="B68" s="169" t="s">
        <v>245</v>
      </c>
      <c r="C68" s="169"/>
      <c r="D68" s="169"/>
      <c r="E68" s="170"/>
      <c r="F68" s="262">
        <v>473.4</v>
      </c>
      <c r="G68" s="263">
        <v>2.71</v>
      </c>
      <c r="H68" s="171"/>
    </row>
    <row r="69" spans="1:12" s="222" customFormat="1" x14ac:dyDescent="0.25">
      <c r="A69" s="42"/>
      <c r="B69" s="254"/>
      <c r="C69" s="254"/>
      <c r="D69" s="254"/>
      <c r="E69" s="224"/>
      <c r="F69" s="160"/>
      <c r="G69" s="161"/>
      <c r="H69" s="162"/>
    </row>
    <row r="70" spans="1:12" s="222" customFormat="1" x14ac:dyDescent="0.25">
      <c r="A70" s="42"/>
      <c r="B70" s="265" t="s">
        <v>248</v>
      </c>
      <c r="C70" s="266"/>
      <c r="D70" s="266"/>
      <c r="E70" s="267"/>
      <c r="F70" s="262">
        <v>473.4</v>
      </c>
      <c r="G70" s="263">
        <v>2.71</v>
      </c>
      <c r="H70" s="171"/>
    </row>
    <row r="71" spans="1:12" s="222" customFormat="1" x14ac:dyDescent="0.25">
      <c r="A71" s="42"/>
      <c r="B71" s="254"/>
      <c r="C71" s="254"/>
      <c r="D71" s="254"/>
      <c r="E71" s="224"/>
      <c r="F71" s="160"/>
      <c r="G71" s="161"/>
      <c r="H71" s="162"/>
    </row>
    <row r="72" spans="1:12" s="222" customFormat="1" x14ac:dyDescent="0.25">
      <c r="A72" s="42"/>
      <c r="B72" s="254" t="s">
        <v>266</v>
      </c>
      <c r="C72" s="254"/>
      <c r="D72" s="254"/>
      <c r="E72" s="224"/>
      <c r="F72" s="160">
        <v>142.69</v>
      </c>
      <c r="G72" s="161">
        <v>0.82000000000000739</v>
      </c>
      <c r="H72" s="162"/>
    </row>
    <row r="73" spans="1:12" s="222" customFormat="1" x14ac:dyDescent="0.25">
      <c r="A73" s="42"/>
      <c r="B73" s="254"/>
      <c r="C73" s="254"/>
      <c r="D73" s="254"/>
      <c r="E73" s="224"/>
      <c r="F73" s="160"/>
      <c r="G73" s="161"/>
      <c r="H73" s="162"/>
    </row>
    <row r="74" spans="1:12" s="222" customFormat="1" x14ac:dyDescent="0.25">
      <c r="A74" s="42"/>
      <c r="B74" s="265" t="s">
        <v>267</v>
      </c>
      <c r="C74" s="266"/>
      <c r="D74" s="266"/>
      <c r="E74" s="267"/>
      <c r="F74" s="262">
        <v>17499.8</v>
      </c>
      <c r="G74" s="263">
        <v>100</v>
      </c>
      <c r="H74" s="172"/>
    </row>
    <row r="75" spans="1:12" x14ac:dyDescent="0.25">
      <c r="A75" s="159" t="s">
        <v>48</v>
      </c>
      <c r="B75" t="s">
        <v>361</v>
      </c>
    </row>
    <row r="76" spans="1:12" x14ac:dyDescent="0.15">
      <c r="B76" s="40" t="s">
        <v>0</v>
      </c>
    </row>
    <row r="77" spans="1:12" x14ac:dyDescent="0.15">
      <c r="A77" s="80"/>
      <c r="B77" s="40" t="s">
        <v>408</v>
      </c>
      <c r="D77" s="81"/>
      <c r="E77" s="82"/>
      <c r="F77" s="83"/>
      <c r="G77" s="82"/>
      <c r="H77" s="82"/>
      <c r="I77" s="84"/>
      <c r="J77" s="85"/>
    </row>
    <row r="78" spans="1:12" x14ac:dyDescent="0.15">
      <c r="A78" s="80"/>
      <c r="B78" s="40" t="s">
        <v>31</v>
      </c>
      <c r="D78" s="82"/>
      <c r="E78" s="86"/>
      <c r="F78" s="87"/>
      <c r="G78" s="87"/>
      <c r="H78" s="82"/>
      <c r="I78" s="82"/>
    </row>
    <row r="79" spans="1:12" ht="11.25" customHeight="1" x14ac:dyDescent="0.15">
      <c r="A79" s="80"/>
      <c r="B79" s="40"/>
      <c r="D79" s="82"/>
      <c r="E79" s="86"/>
      <c r="F79" s="87"/>
      <c r="G79" s="87"/>
      <c r="H79" s="82"/>
      <c r="I79" s="82"/>
    </row>
    <row r="80" spans="1:12" ht="11.25" customHeight="1" x14ac:dyDescent="0.25">
      <c r="A80" s="80" t="s">
        <v>137</v>
      </c>
      <c r="B80" s="188" t="s">
        <v>1</v>
      </c>
      <c r="C80" s="189" t="s">
        <v>51</v>
      </c>
      <c r="D80" s="190"/>
      <c r="E80" s="86"/>
      <c r="F80" s="87"/>
      <c r="G80" s="87"/>
      <c r="H80" s="82"/>
      <c r="I80" s="82"/>
      <c r="K80" s="92"/>
      <c r="L80" s="93"/>
    </row>
    <row r="81" spans="1:13" x14ac:dyDescent="0.25">
      <c r="A81" s="94"/>
      <c r="B81" s="7" t="s">
        <v>67</v>
      </c>
      <c r="C81" s="96">
        <f t="shared" ref="C81:C97" si="0">SUMIF($D$16:$D$74,B81,$G$16:$G$74)</f>
        <v>16.95</v>
      </c>
      <c r="D81" s="137"/>
      <c r="E81" s="181"/>
      <c r="F81" s="182"/>
      <c r="G81" s="183"/>
      <c r="H81" s="184"/>
      <c r="K81" s="93"/>
      <c r="L81" s="84"/>
      <c r="M81" s="93"/>
    </row>
    <row r="82" spans="1:13" x14ac:dyDescent="0.25">
      <c r="A82" s="94"/>
      <c r="B82" s="7" t="s">
        <v>65</v>
      </c>
      <c r="C82" s="96">
        <f t="shared" si="0"/>
        <v>11.68</v>
      </c>
      <c r="D82" s="137"/>
      <c r="E82" s="181"/>
      <c r="F82" s="182"/>
      <c r="G82" s="183"/>
      <c r="H82" s="184"/>
      <c r="K82" s="93"/>
      <c r="L82" s="84"/>
      <c r="M82" s="93"/>
    </row>
    <row r="83" spans="1:13" x14ac:dyDescent="0.25">
      <c r="A83" s="94"/>
      <c r="B83" s="7" t="s">
        <v>66</v>
      </c>
      <c r="C83" s="96">
        <f t="shared" si="0"/>
        <v>9.44</v>
      </c>
      <c r="D83" s="137"/>
      <c r="E83" s="181"/>
      <c r="F83" s="182"/>
      <c r="G83" s="183"/>
      <c r="H83" s="184"/>
      <c r="K83" s="93"/>
      <c r="L83" s="84"/>
      <c r="M83" s="93"/>
    </row>
    <row r="84" spans="1:13" x14ac:dyDescent="0.25">
      <c r="A84" s="94"/>
      <c r="B84" s="7" t="s">
        <v>50</v>
      </c>
      <c r="C84" s="96">
        <f t="shared" si="0"/>
        <v>8.11</v>
      </c>
      <c r="D84" s="137"/>
      <c r="E84" s="181"/>
      <c r="F84" s="182"/>
      <c r="G84" s="183"/>
      <c r="H84" s="184"/>
      <c r="K84" s="93"/>
      <c r="L84" s="84"/>
      <c r="M84" s="93"/>
    </row>
    <row r="85" spans="1:13" x14ac:dyDescent="0.25">
      <c r="A85" s="94"/>
      <c r="B85" s="7" t="s">
        <v>68</v>
      </c>
      <c r="C85" s="96">
        <f t="shared" si="0"/>
        <v>6.18</v>
      </c>
      <c r="D85" s="137"/>
      <c r="E85" s="181"/>
      <c r="F85" s="182"/>
      <c r="G85" s="183"/>
      <c r="H85" s="184"/>
      <c r="K85" s="93"/>
      <c r="L85" s="84"/>
      <c r="M85" s="93"/>
    </row>
    <row r="86" spans="1:13" x14ac:dyDescent="0.25">
      <c r="A86" s="94"/>
      <c r="B86" s="7" t="s">
        <v>274</v>
      </c>
      <c r="C86" s="96">
        <f t="shared" si="0"/>
        <v>5.75</v>
      </c>
      <c r="D86" s="137"/>
      <c r="E86" s="181"/>
      <c r="F86" s="182"/>
      <c r="G86" s="183"/>
      <c r="H86" s="184"/>
      <c r="K86" s="93"/>
      <c r="L86" s="84"/>
      <c r="M86" s="93"/>
    </row>
    <row r="87" spans="1:13" x14ac:dyDescent="0.25">
      <c r="A87" s="94"/>
      <c r="B87" s="7" t="s">
        <v>46</v>
      </c>
      <c r="C87" s="96">
        <f t="shared" si="0"/>
        <v>4.78</v>
      </c>
      <c r="D87" s="137"/>
      <c r="E87" s="181"/>
      <c r="F87" s="182"/>
      <c r="G87" s="183"/>
      <c r="H87" s="184"/>
      <c r="K87" s="93"/>
      <c r="L87" s="84"/>
      <c r="M87" s="93"/>
    </row>
    <row r="88" spans="1:13" x14ac:dyDescent="0.25">
      <c r="A88" s="94"/>
      <c r="B88" s="7" t="s">
        <v>111</v>
      </c>
      <c r="C88" s="96">
        <f t="shared" si="0"/>
        <v>4.7300000000000004</v>
      </c>
      <c r="D88" s="137"/>
      <c r="E88" s="181"/>
      <c r="F88" s="182"/>
      <c r="G88" s="183"/>
      <c r="H88" s="184"/>
      <c r="K88" s="93"/>
      <c r="L88" s="84"/>
      <c r="M88" s="93"/>
    </row>
    <row r="89" spans="1:13" x14ac:dyDescent="0.25">
      <c r="A89" s="94"/>
      <c r="B89" s="7" t="s">
        <v>93</v>
      </c>
      <c r="C89" s="96">
        <f t="shared" si="0"/>
        <v>4.22</v>
      </c>
      <c r="D89" s="137"/>
      <c r="E89" s="207"/>
      <c r="F89" s="182"/>
      <c r="G89" s="183"/>
      <c r="H89" s="184"/>
      <c r="K89" s="93"/>
      <c r="L89" s="84"/>
      <c r="M89" s="93"/>
    </row>
    <row r="90" spans="1:13" x14ac:dyDescent="0.25">
      <c r="A90" s="94"/>
      <c r="B90" s="7" t="s">
        <v>43</v>
      </c>
      <c r="C90" s="96">
        <f t="shared" si="0"/>
        <v>4.17</v>
      </c>
      <c r="D90" s="137"/>
      <c r="E90" s="207"/>
      <c r="F90" s="191"/>
      <c r="G90" s="194"/>
      <c r="H90" s="184"/>
      <c r="K90" s="93"/>
      <c r="L90" s="84"/>
      <c r="M90" s="93"/>
    </row>
    <row r="91" spans="1:13" x14ac:dyDescent="0.25">
      <c r="A91" s="94"/>
      <c r="B91" s="7" t="s">
        <v>114</v>
      </c>
      <c r="C91" s="96">
        <f t="shared" si="0"/>
        <v>3.95</v>
      </c>
      <c r="D91" s="137"/>
      <c r="E91" s="207"/>
      <c r="F91" s="191"/>
      <c r="G91" s="194"/>
      <c r="H91" s="184"/>
      <c r="K91" s="93"/>
      <c r="L91" s="84"/>
      <c r="M91" s="93"/>
    </row>
    <row r="92" spans="1:13" x14ac:dyDescent="0.25">
      <c r="A92" s="94"/>
      <c r="B92" s="7" t="s">
        <v>45</v>
      </c>
      <c r="C92" s="96">
        <f t="shared" si="0"/>
        <v>3.86</v>
      </c>
      <c r="D92" s="137"/>
      <c r="E92" s="207"/>
      <c r="F92" s="191"/>
      <c r="G92" s="194"/>
      <c r="H92" s="184"/>
      <c r="K92" s="93"/>
      <c r="L92" s="84"/>
      <c r="M92" s="93"/>
    </row>
    <row r="93" spans="1:13" x14ac:dyDescent="0.25">
      <c r="A93" s="94"/>
      <c r="B93" s="7" t="s">
        <v>135</v>
      </c>
      <c r="C93" s="96">
        <f t="shared" si="0"/>
        <v>3.52</v>
      </c>
      <c r="D93" s="137"/>
      <c r="E93" s="207"/>
      <c r="F93" s="191"/>
      <c r="G93" s="194"/>
      <c r="H93" s="184"/>
      <c r="K93" s="93"/>
      <c r="L93" s="84"/>
      <c r="M93" s="93"/>
    </row>
    <row r="94" spans="1:13" x14ac:dyDescent="0.25">
      <c r="A94" s="94"/>
      <c r="B94" s="7" t="s">
        <v>42</v>
      </c>
      <c r="C94" s="96">
        <f t="shared" si="0"/>
        <v>3.08</v>
      </c>
      <c r="D94" s="137"/>
      <c r="E94" s="207"/>
      <c r="F94" s="191"/>
      <c r="G94" s="194"/>
      <c r="H94" s="184"/>
      <c r="K94" s="93"/>
      <c r="L94" s="84"/>
      <c r="M94" s="93"/>
    </row>
    <row r="95" spans="1:13" x14ac:dyDescent="0.25">
      <c r="A95" s="94"/>
      <c r="B95" s="7" t="s">
        <v>44</v>
      </c>
      <c r="C95" s="96">
        <f t="shared" si="0"/>
        <v>3.03</v>
      </c>
      <c r="D95" s="137"/>
      <c r="E95" s="207"/>
      <c r="F95" s="191"/>
      <c r="G95" s="194"/>
      <c r="H95" s="184"/>
      <c r="K95" s="93"/>
      <c r="L95" s="84"/>
      <c r="M95" s="93"/>
    </row>
    <row r="96" spans="1:13" x14ac:dyDescent="0.25">
      <c r="A96" s="94"/>
      <c r="B96" s="7" t="s">
        <v>120</v>
      </c>
      <c r="C96" s="96">
        <f t="shared" si="0"/>
        <v>2.0099999999999998</v>
      </c>
      <c r="D96" s="137"/>
      <c r="E96" s="207"/>
      <c r="F96" s="191"/>
      <c r="G96" s="194"/>
      <c r="H96" s="184"/>
      <c r="K96" s="93"/>
      <c r="L96" s="84"/>
      <c r="M96" s="93"/>
    </row>
    <row r="97" spans="1:13" x14ac:dyDescent="0.25">
      <c r="A97" s="94"/>
      <c r="B97" s="7" t="s">
        <v>121</v>
      </c>
      <c r="C97" s="96">
        <f t="shared" si="0"/>
        <v>1.01</v>
      </c>
      <c r="D97" s="137"/>
      <c r="E97" s="207"/>
      <c r="F97" s="191"/>
      <c r="G97" s="194"/>
      <c r="H97" s="184"/>
      <c r="K97" s="93"/>
      <c r="L97" s="84"/>
      <c r="M97" s="93"/>
    </row>
    <row r="98" spans="1:13" s="38" customFormat="1" ht="11.25" customHeight="1" x14ac:dyDescent="0.25">
      <c r="A98" s="100"/>
      <c r="B98" s="101" t="s">
        <v>138</v>
      </c>
      <c r="C98" s="17"/>
      <c r="D98" s="102"/>
      <c r="E98" s="208">
        <f>SUM(C80:C98)-G63</f>
        <v>0</v>
      </c>
      <c r="F98" s="103"/>
      <c r="G98" s="103"/>
      <c r="H98" s="104"/>
    </row>
    <row r="99" spans="1:13" s="38" customFormat="1" ht="11.25" customHeight="1" x14ac:dyDescent="0.25">
      <c r="A99" s="100"/>
      <c r="B99"/>
      <c r="C99"/>
      <c r="D99" s="102"/>
      <c r="E99" s="201"/>
      <c r="F99" s="103"/>
      <c r="G99" s="103"/>
      <c r="H99" s="104"/>
    </row>
    <row r="100" spans="1:13" x14ac:dyDescent="0.25">
      <c r="B100" t="s">
        <v>136</v>
      </c>
      <c r="D100" s="86"/>
      <c r="E100" s="86"/>
      <c r="F100" s="86"/>
      <c r="G100" s="86"/>
    </row>
    <row r="101" spans="1:13" x14ac:dyDescent="0.25">
      <c r="B101" t="s">
        <v>344</v>
      </c>
      <c r="D101" s="86"/>
      <c r="E101" s="86"/>
      <c r="F101" s="86"/>
      <c r="G101" s="86"/>
    </row>
    <row r="102" spans="1:13" x14ac:dyDescent="0.25">
      <c r="B102" s="229" t="s">
        <v>388</v>
      </c>
      <c r="C102" s="230" t="s">
        <v>387</v>
      </c>
      <c r="D102" s="14"/>
      <c r="E102" s="86"/>
      <c r="F102" s="86"/>
      <c r="G102" s="86"/>
    </row>
    <row r="103" spans="1:13" x14ac:dyDescent="0.25">
      <c r="D103" s="86"/>
      <c r="E103" s="86"/>
      <c r="F103" s="86"/>
      <c r="G103" s="86"/>
    </row>
    <row r="104" spans="1:13" x14ac:dyDescent="0.25">
      <c r="D104" s="86"/>
      <c r="E104" s="86"/>
      <c r="F104" s="86"/>
    </row>
  </sheetData>
  <mergeCells count="11">
    <mergeCell ref="D10:E10"/>
    <mergeCell ref="F10:H10"/>
    <mergeCell ref="B1:H1"/>
    <mergeCell ref="B2:H2"/>
    <mergeCell ref="F4:H4"/>
    <mergeCell ref="F6:H7"/>
    <mergeCell ref="F11:H11"/>
    <mergeCell ref="B6:C6"/>
    <mergeCell ref="B7:C7"/>
    <mergeCell ref="B9:C9"/>
    <mergeCell ref="D4:E4"/>
  </mergeCells>
  <hyperlinks>
    <hyperlink ref="C102" r:id="rId1" xr:uid="{137010E5-2ACA-4CB4-BB00-39EC56961359}"/>
  </hyperlinks>
  <printOptions gridLines="1"/>
  <pageMargins left="0.7" right="0.7" top="0.75" bottom="0.75" header="0.3" footer="0.3"/>
  <pageSetup paperSize="9" scale="54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21A1-C0EB-497E-8C4D-D0D022C40901}">
  <sheetPr codeName="Sheet7">
    <pageSetUpPr fitToPage="1"/>
  </sheetPr>
  <dimension ref="A1:H44"/>
  <sheetViews>
    <sheetView showGridLines="0" zoomScaleNormal="100" workbookViewId="0"/>
  </sheetViews>
  <sheetFormatPr defaultColWidth="17.7109375" defaultRowHeight="15" x14ac:dyDescent="0.25"/>
  <cols>
    <col min="1" max="1" width="3.5703125" style="11" customWidth="1"/>
    <col min="2" max="2" width="49.85546875" style="11" customWidth="1"/>
    <col min="3" max="3" width="21" style="11" customWidth="1"/>
    <col min="4" max="4" width="20.28515625" style="11" customWidth="1"/>
    <col min="5" max="5" width="22.85546875" style="11" customWidth="1"/>
    <col min="6" max="6" width="29.140625" style="11" customWidth="1"/>
    <col min="7" max="7" width="29.5703125" style="11" customWidth="1"/>
    <col min="8" max="8" width="15" style="11" customWidth="1"/>
    <col min="9" max="9" width="12" style="11" customWidth="1"/>
    <col min="10" max="10" width="19" style="11" bestFit="1" customWidth="1"/>
    <col min="11" max="15" width="17.7109375" style="11"/>
    <col min="16" max="16" width="22.5703125" style="11" bestFit="1" customWidth="1"/>
    <col min="17" max="16384" width="17.7109375" style="11"/>
  </cols>
  <sheetData>
    <row r="1" spans="2:8" ht="21.75" x14ac:dyDescent="0.25">
      <c r="B1" s="287" t="s">
        <v>15</v>
      </c>
      <c r="C1" s="287"/>
      <c r="D1" s="287"/>
      <c r="E1" s="287"/>
      <c r="F1" s="287"/>
      <c r="G1" s="287"/>
      <c r="H1" s="287"/>
    </row>
    <row r="2" spans="2:8" ht="17.25" customHeight="1" x14ac:dyDescent="0.25">
      <c r="B2" s="276" t="s">
        <v>74</v>
      </c>
      <c r="C2" s="276"/>
      <c r="D2" s="276"/>
      <c r="E2" s="276"/>
      <c r="F2" s="276"/>
      <c r="G2" s="276"/>
      <c r="H2" s="276"/>
    </row>
    <row r="3" spans="2:8" x14ac:dyDescent="0.25">
      <c r="B3" s="65"/>
      <c r="C3" s="66"/>
      <c r="F3" s="67"/>
      <c r="G3" s="67"/>
      <c r="H3" s="67"/>
    </row>
    <row r="4" spans="2:8" s="19" customFormat="1" ht="21" x14ac:dyDescent="0.25">
      <c r="B4" s="55"/>
      <c r="C4" s="56"/>
      <c r="D4" s="57"/>
      <c r="E4" s="273" t="s">
        <v>9</v>
      </c>
      <c r="F4" s="275"/>
      <c r="G4" s="273" t="s">
        <v>56</v>
      </c>
      <c r="H4" s="275"/>
    </row>
    <row r="5" spans="2:8" s="19" customFormat="1" ht="15.75" x14ac:dyDescent="0.25">
      <c r="B5" s="54" t="s">
        <v>2</v>
      </c>
      <c r="C5" s="20"/>
      <c r="D5" s="20"/>
      <c r="E5" s="50"/>
      <c r="F5" s="24"/>
      <c r="G5" s="106"/>
      <c r="H5" s="107"/>
    </row>
    <row r="6" spans="2:8" s="19" customFormat="1" ht="15" customHeight="1" x14ac:dyDescent="0.25">
      <c r="B6" s="25" t="s">
        <v>16</v>
      </c>
      <c r="C6" s="20"/>
      <c r="D6" s="20"/>
      <c r="E6" s="50"/>
      <c r="F6" s="24"/>
      <c r="G6" s="150"/>
      <c r="H6" s="58"/>
    </row>
    <row r="7" spans="2:8" s="19" customFormat="1" x14ac:dyDescent="0.25">
      <c r="B7" s="25" t="s">
        <v>17</v>
      </c>
      <c r="C7" s="48"/>
      <c r="D7" s="48"/>
      <c r="E7" s="50"/>
      <c r="F7" s="24"/>
      <c r="G7" s="50"/>
      <c r="H7" s="24"/>
    </row>
    <row r="8" spans="2:8" s="19" customFormat="1" x14ac:dyDescent="0.25">
      <c r="B8" s="25" t="s">
        <v>18</v>
      </c>
      <c r="C8" s="20"/>
      <c r="D8" s="20"/>
      <c r="E8" s="50"/>
      <c r="F8" s="24"/>
      <c r="G8" s="50"/>
      <c r="H8" s="24"/>
    </row>
    <row r="9" spans="2:8" s="19" customFormat="1" ht="6.75" customHeight="1" x14ac:dyDescent="0.25">
      <c r="B9" s="50"/>
      <c r="C9" s="20"/>
      <c r="D9" s="20"/>
      <c r="E9" s="50"/>
      <c r="F9" s="24"/>
      <c r="G9" s="50"/>
      <c r="H9" s="24"/>
    </row>
    <row r="10" spans="2:8" s="19" customFormat="1" ht="29.25" customHeight="1" x14ac:dyDescent="0.25">
      <c r="B10" s="282" t="s">
        <v>8</v>
      </c>
      <c r="C10" s="283"/>
      <c r="D10" s="283"/>
      <c r="E10" s="50"/>
      <c r="F10" s="24"/>
      <c r="G10" s="50"/>
      <c r="H10" s="24"/>
    </row>
    <row r="11" spans="2:8" s="19" customFormat="1" ht="27" customHeight="1" x14ac:dyDescent="0.25">
      <c r="B11" s="50"/>
      <c r="C11" s="20"/>
      <c r="D11" s="20"/>
      <c r="E11" s="50"/>
      <c r="F11" s="24"/>
      <c r="G11" s="50"/>
      <c r="H11" s="24"/>
    </row>
    <row r="12" spans="2:8" s="19" customFormat="1" x14ac:dyDescent="0.25">
      <c r="B12" s="25"/>
      <c r="C12" s="20"/>
      <c r="D12" s="20"/>
      <c r="E12" s="288" t="s">
        <v>58</v>
      </c>
      <c r="F12" s="289"/>
      <c r="G12" s="288" t="s">
        <v>19</v>
      </c>
      <c r="H12" s="289"/>
    </row>
    <row r="13" spans="2:8" s="19" customFormat="1" ht="27" customHeight="1" x14ac:dyDescent="0.25">
      <c r="B13" s="26"/>
      <c r="C13" s="68"/>
      <c r="D13" s="68"/>
      <c r="E13" s="77"/>
      <c r="F13" s="69"/>
      <c r="G13" s="277" t="s">
        <v>99</v>
      </c>
      <c r="H13" s="279"/>
    </row>
    <row r="14" spans="2:8" s="19" customFormat="1" ht="7.5" customHeight="1" x14ac:dyDescent="0.25">
      <c r="B14" s="70"/>
      <c r="C14" s="71"/>
      <c r="D14" s="72"/>
      <c r="G14" s="73"/>
    </row>
    <row r="15" spans="2:8" s="19" customFormat="1" x14ac:dyDescent="0.25">
      <c r="B15" s="302" t="s">
        <v>29</v>
      </c>
      <c r="C15" s="303"/>
      <c r="D15" s="303"/>
      <c r="E15" s="304"/>
    </row>
    <row r="16" spans="2:8" s="19" customFormat="1" ht="15" customHeight="1" x14ac:dyDescent="0.25">
      <c r="B16" s="32" t="s">
        <v>20</v>
      </c>
      <c r="C16" s="300" t="s">
        <v>21</v>
      </c>
      <c r="D16" s="300" t="s">
        <v>22</v>
      </c>
      <c r="E16" s="300" t="s">
        <v>23</v>
      </c>
    </row>
    <row r="17" spans="1:8" s="19" customFormat="1" x14ac:dyDescent="0.25">
      <c r="B17" s="32" t="s">
        <v>24</v>
      </c>
      <c r="C17" s="301"/>
      <c r="D17" s="301"/>
      <c r="E17" s="301"/>
    </row>
    <row r="18" spans="1:8" s="19" customFormat="1" x14ac:dyDescent="0.25">
      <c r="B18" s="33" t="s">
        <v>25</v>
      </c>
      <c r="C18" s="35" t="s">
        <v>26</v>
      </c>
      <c r="D18" s="34"/>
      <c r="E18" s="34"/>
    </row>
    <row r="19" spans="1:8" s="19" customFormat="1" x14ac:dyDescent="0.25">
      <c r="B19" s="33" t="s">
        <v>27</v>
      </c>
      <c r="C19" s="34"/>
      <c r="D19" s="34"/>
      <c r="E19" s="34"/>
    </row>
    <row r="20" spans="1:8" s="19" customFormat="1" x14ac:dyDescent="0.25">
      <c r="B20" s="33" t="s">
        <v>28</v>
      </c>
      <c r="C20" s="34"/>
      <c r="D20" s="34"/>
      <c r="E20" s="34"/>
    </row>
    <row r="21" spans="1:8" s="19" customFormat="1" ht="15.75" x14ac:dyDescent="0.25">
      <c r="B21" s="297" t="s">
        <v>30</v>
      </c>
      <c r="C21" s="298"/>
      <c r="D21" s="298"/>
      <c r="E21" s="299"/>
    </row>
    <row r="22" spans="1:8" s="19" customFormat="1" x14ac:dyDescent="0.25">
      <c r="B22" s="70"/>
      <c r="C22" s="71"/>
      <c r="D22" s="72"/>
      <c r="G22" s="73"/>
    </row>
    <row r="23" spans="1:8" ht="18.75" customHeight="1" x14ac:dyDescent="0.2">
      <c r="A23" s="42"/>
      <c r="B23" s="121" t="s">
        <v>131</v>
      </c>
      <c r="C23" s="193"/>
      <c r="D23" s="193"/>
      <c r="E23" s="193"/>
      <c r="F23" s="193"/>
      <c r="G23" s="193"/>
      <c r="H23" s="41"/>
    </row>
    <row r="24" spans="1:8" customFormat="1" ht="2.25" customHeight="1" x14ac:dyDescent="0.25">
      <c r="A24" s="42"/>
      <c r="B24" s="121"/>
      <c r="C24" s="121"/>
      <c r="D24" s="121"/>
      <c r="E24" s="121"/>
      <c r="F24" s="121"/>
      <c r="G24" s="121"/>
      <c r="H24" s="42"/>
    </row>
    <row r="25" spans="1:8" customFormat="1" ht="6" customHeight="1" x14ac:dyDescent="0.25">
      <c r="A25" s="42"/>
      <c r="B25" s="121"/>
      <c r="C25" s="121"/>
      <c r="D25" s="121"/>
      <c r="E25" s="121"/>
      <c r="F25" s="121"/>
      <c r="G25" s="121"/>
      <c r="H25" s="42"/>
    </row>
    <row r="26" spans="1:8" customFormat="1" x14ac:dyDescent="0.25">
      <c r="A26" s="42"/>
      <c r="B26" s="121" t="s">
        <v>475</v>
      </c>
      <c r="C26" s="42"/>
      <c r="D26" s="42"/>
      <c r="E26" s="43"/>
      <c r="F26" s="42"/>
      <c r="G26" s="42"/>
      <c r="H26" s="42"/>
    </row>
    <row r="27" spans="1:8" customFormat="1" ht="15.75" thickBot="1" x14ac:dyDescent="0.3">
      <c r="A27" s="42"/>
      <c r="B27" s="258" t="s">
        <v>122</v>
      </c>
      <c r="C27" s="258" t="s">
        <v>123</v>
      </c>
      <c r="D27" s="258" t="s">
        <v>124</v>
      </c>
      <c r="E27" s="259" t="s">
        <v>125</v>
      </c>
      <c r="F27" s="260" t="s">
        <v>126</v>
      </c>
      <c r="G27" s="261" t="s">
        <v>51</v>
      </c>
      <c r="H27" s="261" t="s">
        <v>127</v>
      </c>
    </row>
    <row r="28" spans="1:8" customFormat="1" x14ac:dyDescent="0.25">
      <c r="A28" s="42"/>
      <c r="B28" s="254"/>
      <c r="C28" s="254"/>
      <c r="D28" s="254"/>
      <c r="E28" s="224"/>
      <c r="F28" s="160"/>
      <c r="G28" s="161"/>
      <c r="H28" s="162"/>
    </row>
    <row r="29" spans="1:8" customFormat="1" x14ac:dyDescent="0.25">
      <c r="A29" s="42"/>
      <c r="B29" s="254"/>
      <c r="C29" s="254"/>
      <c r="D29" s="254"/>
      <c r="E29" s="224"/>
      <c r="F29" s="160"/>
      <c r="G29" s="161"/>
      <c r="H29" s="162"/>
    </row>
    <row r="30" spans="1:8" customFormat="1" x14ac:dyDescent="0.25">
      <c r="A30" s="42"/>
      <c r="B30" s="163" t="s">
        <v>403</v>
      </c>
      <c r="C30" s="164"/>
      <c r="D30" s="164"/>
      <c r="E30" s="165"/>
      <c r="F30" s="166"/>
      <c r="G30" s="167"/>
      <c r="H30" s="168"/>
    </row>
    <row r="31" spans="1:8" customFormat="1" x14ac:dyDescent="0.25">
      <c r="A31" s="223" t="s">
        <v>48</v>
      </c>
      <c r="B31" s="254" t="s">
        <v>402</v>
      </c>
      <c r="C31" s="254" t="s">
        <v>469</v>
      </c>
      <c r="D31" s="254"/>
      <c r="E31" s="224"/>
      <c r="F31" s="160">
        <v>6736.31</v>
      </c>
      <c r="G31" s="161">
        <v>51.38</v>
      </c>
      <c r="H31" s="162">
        <v>5.22</v>
      </c>
    </row>
    <row r="32" spans="1:8" s="219" customFormat="1" x14ac:dyDescent="0.25">
      <c r="A32" s="223" t="s">
        <v>48</v>
      </c>
      <c r="B32" s="254" t="s">
        <v>402</v>
      </c>
      <c r="C32" s="254" t="s">
        <v>470</v>
      </c>
      <c r="D32" s="254"/>
      <c r="E32" s="224"/>
      <c r="F32" s="160">
        <v>6383.45</v>
      </c>
      <c r="G32" s="161">
        <v>48.69</v>
      </c>
      <c r="H32" s="162">
        <v>5.25</v>
      </c>
    </row>
    <row r="33" spans="1:8" customFormat="1" x14ac:dyDescent="0.25">
      <c r="A33" s="223"/>
      <c r="B33" s="169" t="s">
        <v>245</v>
      </c>
      <c r="C33" s="169"/>
      <c r="D33" s="169"/>
      <c r="E33" s="170"/>
      <c r="F33" s="262">
        <v>13119.76</v>
      </c>
      <c r="G33" s="263">
        <v>100.07</v>
      </c>
      <c r="H33" s="171"/>
    </row>
    <row r="34" spans="1:8" customFormat="1" x14ac:dyDescent="0.25">
      <c r="A34" s="11"/>
      <c r="B34" s="254"/>
      <c r="C34" s="254"/>
      <c r="D34" s="254"/>
      <c r="E34" s="224"/>
      <c r="F34" s="160"/>
      <c r="G34" s="161"/>
      <c r="H34" s="162"/>
    </row>
    <row r="35" spans="1:8" customFormat="1" x14ac:dyDescent="0.25">
      <c r="A35" s="158"/>
      <c r="B35" s="265" t="s">
        <v>248</v>
      </c>
      <c r="C35" s="266"/>
      <c r="D35" s="266"/>
      <c r="E35" s="267"/>
      <c r="F35" s="262">
        <v>13119.76</v>
      </c>
      <c r="G35" s="263">
        <v>100.07</v>
      </c>
      <c r="H35" s="171"/>
    </row>
    <row r="36" spans="1:8" customFormat="1" x14ac:dyDescent="0.25">
      <c r="A36" s="158"/>
      <c r="B36" s="254"/>
      <c r="C36" s="254"/>
      <c r="D36" s="254"/>
      <c r="E36" s="224"/>
      <c r="F36" s="160"/>
      <c r="G36" s="161"/>
      <c r="H36" s="162"/>
    </row>
    <row r="37" spans="1:8" s="219" customFormat="1" x14ac:dyDescent="0.25">
      <c r="A37" s="78"/>
      <c r="B37" s="254" t="s">
        <v>266</v>
      </c>
      <c r="C37" s="254"/>
      <c r="D37" s="254"/>
      <c r="E37" s="224"/>
      <c r="F37" s="179">
        <v>-9.43</v>
      </c>
      <c r="G37" s="161">
        <v>-6.9999999999993179E-2</v>
      </c>
      <c r="H37" s="162"/>
    </row>
    <row r="38" spans="1:8" s="222" customFormat="1" x14ac:dyDescent="0.25">
      <c r="A38" s="78"/>
      <c r="B38" s="254"/>
      <c r="C38" s="254"/>
      <c r="D38" s="254"/>
      <c r="E38" s="224"/>
      <c r="F38" s="160"/>
      <c r="G38" s="161"/>
      <c r="H38" s="162"/>
    </row>
    <row r="39" spans="1:8" s="222" customFormat="1" x14ac:dyDescent="0.25">
      <c r="B39" s="265" t="s">
        <v>267</v>
      </c>
      <c r="C39" s="266"/>
      <c r="D39" s="266"/>
      <c r="E39" s="267"/>
      <c r="F39" s="262">
        <v>13110.33</v>
      </c>
      <c r="G39" s="263">
        <v>100</v>
      </c>
      <c r="H39" s="172"/>
    </row>
    <row r="40" spans="1:8" s="13" customFormat="1" x14ac:dyDescent="0.25">
      <c r="A40" s="78" t="s">
        <v>48</v>
      </c>
      <c r="B40" s="11" t="s">
        <v>49</v>
      </c>
      <c r="C40" s="180"/>
      <c r="D40" s="180"/>
      <c r="E40" s="181"/>
      <c r="F40" s="182"/>
      <c r="G40" s="183"/>
      <c r="H40" s="184"/>
    </row>
    <row r="41" spans="1:8" s="13" customFormat="1" x14ac:dyDescent="0.25">
      <c r="A41" s="78"/>
      <c r="B41" s="11"/>
      <c r="C41" s="180"/>
      <c r="D41" s="180"/>
      <c r="E41" s="181"/>
      <c r="F41" s="182"/>
      <c r="G41" s="183"/>
      <c r="H41" s="184"/>
    </row>
    <row r="42" spans="1:8" x14ac:dyDescent="0.25">
      <c r="B42" t="s">
        <v>136</v>
      </c>
    </row>
    <row r="43" spans="1:8" x14ac:dyDescent="0.25">
      <c r="B43" t="s">
        <v>344</v>
      </c>
    </row>
    <row r="44" spans="1:8" x14ac:dyDescent="0.25">
      <c r="B44" s="229" t="s">
        <v>388</v>
      </c>
      <c r="C44" s="230" t="s">
        <v>387</v>
      </c>
      <c r="D44" s="14"/>
    </row>
  </sheetData>
  <mergeCells count="13">
    <mergeCell ref="G4:H4"/>
    <mergeCell ref="E4:F4"/>
    <mergeCell ref="E12:F12"/>
    <mergeCell ref="B1:H1"/>
    <mergeCell ref="B10:D10"/>
    <mergeCell ref="G12:H12"/>
    <mergeCell ref="B2:H2"/>
    <mergeCell ref="G13:H13"/>
    <mergeCell ref="B21:E21"/>
    <mergeCell ref="E16:E17"/>
    <mergeCell ref="D16:D17"/>
    <mergeCell ref="B15:E15"/>
    <mergeCell ref="C16:C17"/>
  </mergeCells>
  <hyperlinks>
    <hyperlink ref="C44" r:id="rId1" xr:uid="{29413D20-0FF9-4C1F-BD2C-CC7592CA0635}"/>
  </hyperlinks>
  <pageMargins left="0.70866141732283472" right="0.70866141732283472" top="0.74803149606299213" bottom="0.74803149606299213" header="0.31496062992125984" footer="0.31496062992125984"/>
  <pageSetup scale="48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B53AB-BF01-4E74-B8EE-97B0501021EE}">
  <sheetPr codeName="Sheet8">
    <pageSetUpPr fitToPage="1"/>
  </sheetPr>
  <dimension ref="A1:I45"/>
  <sheetViews>
    <sheetView showGridLines="0" zoomScaleNormal="100" workbookViewId="0"/>
  </sheetViews>
  <sheetFormatPr defaultColWidth="17.7109375" defaultRowHeight="15" x14ac:dyDescent="0.25"/>
  <cols>
    <col min="1" max="1" width="2.7109375" customWidth="1"/>
    <col min="2" max="2" width="48.5703125" customWidth="1"/>
    <col min="3" max="4" width="21.7109375" customWidth="1"/>
    <col min="5" max="5" width="23.7109375" customWidth="1"/>
    <col min="6" max="6" width="27.85546875" customWidth="1"/>
    <col min="7" max="7" width="30.28515625" customWidth="1"/>
    <col min="8" max="8" width="15.7109375" customWidth="1"/>
    <col min="9" max="9" width="17.28515625" customWidth="1"/>
    <col min="10" max="10" width="19" bestFit="1" customWidth="1"/>
    <col min="11" max="11" width="20.42578125" bestFit="1" customWidth="1"/>
    <col min="16" max="16" width="22.5703125" bestFit="1" customWidth="1"/>
  </cols>
  <sheetData>
    <row r="1" spans="2:9" ht="21.75" x14ac:dyDescent="0.3">
      <c r="B1" s="272" t="s">
        <v>62</v>
      </c>
      <c r="C1" s="272"/>
      <c r="D1" s="272"/>
      <c r="E1" s="272"/>
      <c r="F1" s="272"/>
      <c r="G1" s="272"/>
      <c r="H1" s="272"/>
    </row>
    <row r="2" spans="2:9" s="11" customFormat="1" ht="17.25" customHeight="1" x14ac:dyDescent="0.25">
      <c r="B2" s="276" t="s">
        <v>75</v>
      </c>
      <c r="C2" s="276"/>
      <c r="D2" s="276"/>
      <c r="E2" s="276"/>
      <c r="F2" s="276"/>
      <c r="G2" s="276"/>
      <c r="H2" s="276"/>
    </row>
    <row r="3" spans="2:9" s="11" customFormat="1" ht="17.25" customHeight="1" x14ac:dyDescent="0.25">
      <c r="B3" s="13" t="s">
        <v>133</v>
      </c>
      <c r="C3" s="192"/>
      <c r="D3" s="192"/>
      <c r="E3" s="192"/>
      <c r="F3" s="192"/>
      <c r="G3" s="192"/>
      <c r="H3" s="192"/>
    </row>
    <row r="4" spans="2:9" s="11" customFormat="1" ht="17.25" customHeight="1" x14ac:dyDescent="0.25">
      <c r="B4" s="13" t="s">
        <v>134</v>
      </c>
      <c r="C4" s="192"/>
      <c r="D4" s="192"/>
      <c r="E4" s="192"/>
      <c r="F4" s="192"/>
      <c r="G4" s="192"/>
      <c r="H4" s="192"/>
    </row>
    <row r="5" spans="2:9" s="19" customFormat="1" ht="21" x14ac:dyDescent="0.25">
      <c r="B5" s="55"/>
      <c r="C5" s="56"/>
      <c r="D5" s="57"/>
      <c r="E5" s="273" t="s">
        <v>9</v>
      </c>
      <c r="F5" s="275"/>
      <c r="G5" s="273" t="s">
        <v>56</v>
      </c>
      <c r="H5" s="275"/>
    </row>
    <row r="6" spans="2:9" s="15" customFormat="1" ht="15.75" x14ac:dyDescent="0.25">
      <c r="B6" s="54" t="s">
        <v>2</v>
      </c>
      <c r="C6" s="20"/>
      <c r="D6" s="20"/>
      <c r="E6" s="50"/>
      <c r="F6" s="24"/>
      <c r="G6" s="129"/>
      <c r="H6" s="130"/>
      <c r="I6" s="19"/>
    </row>
    <row r="7" spans="2:9" s="15" customFormat="1" x14ac:dyDescent="0.25">
      <c r="B7" s="25" t="s">
        <v>63</v>
      </c>
      <c r="C7" s="20"/>
      <c r="D7" s="30"/>
      <c r="E7" s="50"/>
      <c r="F7" s="24"/>
      <c r="G7" s="150"/>
      <c r="H7" s="58"/>
      <c r="I7" s="19"/>
    </row>
    <row r="8" spans="2:9" s="15" customFormat="1" x14ac:dyDescent="0.25">
      <c r="B8" s="25" t="s">
        <v>64</v>
      </c>
      <c r="C8" s="48"/>
      <c r="D8" s="48"/>
      <c r="E8" s="50"/>
      <c r="F8" s="24"/>
      <c r="G8" s="50"/>
      <c r="H8" s="24"/>
      <c r="I8" s="19"/>
    </row>
    <row r="9" spans="2:9" s="15" customFormat="1" x14ac:dyDescent="0.25">
      <c r="B9" s="25"/>
      <c r="C9" s="20"/>
      <c r="D9" s="20"/>
      <c r="E9" s="50"/>
      <c r="F9" s="24"/>
      <c r="G9" s="50"/>
      <c r="H9" s="24"/>
      <c r="I9" s="19"/>
    </row>
    <row r="10" spans="2:9" s="15" customFormat="1" x14ac:dyDescent="0.25">
      <c r="B10" s="50"/>
      <c r="C10" s="20"/>
      <c r="D10" s="20"/>
      <c r="E10" s="50"/>
      <c r="F10" s="24"/>
      <c r="G10" s="50"/>
      <c r="H10" s="24"/>
      <c r="I10" s="19"/>
    </row>
    <row r="11" spans="2:9" s="15" customFormat="1" ht="45.75" customHeight="1" x14ac:dyDescent="0.25">
      <c r="B11" s="282" t="s">
        <v>8</v>
      </c>
      <c r="C11" s="283"/>
      <c r="D11" s="283"/>
      <c r="E11" s="50"/>
      <c r="F11" s="24"/>
      <c r="G11" s="50"/>
      <c r="H11" s="24"/>
      <c r="I11" s="19"/>
    </row>
    <row r="12" spans="2:9" s="15" customFormat="1" x14ac:dyDescent="0.25">
      <c r="B12" s="25"/>
      <c r="C12" s="20"/>
      <c r="D12" s="131"/>
      <c r="E12" s="288" t="s">
        <v>58</v>
      </c>
      <c r="F12" s="289"/>
      <c r="G12" s="284" t="s">
        <v>19</v>
      </c>
      <c r="H12" s="285"/>
      <c r="I12" s="19"/>
    </row>
    <row r="13" spans="2:9" s="15" customFormat="1" ht="28.5" customHeight="1" x14ac:dyDescent="0.25">
      <c r="B13" s="26"/>
      <c r="C13" s="27"/>
      <c r="D13" s="27"/>
      <c r="E13" s="53"/>
      <c r="F13" s="28"/>
      <c r="G13" s="277" t="s">
        <v>100</v>
      </c>
      <c r="H13" s="279"/>
      <c r="I13" s="19"/>
    </row>
    <row r="14" spans="2:9" s="15" customFormat="1" ht="7.5" customHeight="1" x14ac:dyDescent="0.25">
      <c r="B14" s="132"/>
      <c r="C14" s="21"/>
      <c r="D14" s="22"/>
      <c r="G14" s="31"/>
      <c r="I14" s="19"/>
    </row>
    <row r="15" spans="2:9" s="15" customFormat="1" x14ac:dyDescent="0.25">
      <c r="B15" s="132"/>
      <c r="C15" s="133" t="s">
        <v>29</v>
      </c>
      <c r="D15" s="126"/>
      <c r="E15" s="126"/>
      <c r="F15" s="127"/>
      <c r="I15" s="19"/>
    </row>
    <row r="16" spans="2:9" s="15" customFormat="1" ht="15" customHeight="1" x14ac:dyDescent="0.25">
      <c r="B16" s="132"/>
      <c r="C16" s="32" t="s">
        <v>20</v>
      </c>
      <c r="D16" s="124" t="s">
        <v>21</v>
      </c>
      <c r="E16" s="124" t="s">
        <v>22</v>
      </c>
      <c r="F16" s="124" t="s">
        <v>23</v>
      </c>
      <c r="I16" s="19"/>
    </row>
    <row r="17" spans="1:9" s="15" customFormat="1" x14ac:dyDescent="0.25">
      <c r="B17" s="132"/>
      <c r="C17" s="32" t="s">
        <v>24</v>
      </c>
      <c r="D17" s="125"/>
      <c r="E17" s="125"/>
      <c r="F17" s="125"/>
      <c r="I17" s="19"/>
    </row>
    <row r="18" spans="1:9" s="15" customFormat="1" x14ac:dyDescent="0.25">
      <c r="B18" s="132"/>
      <c r="C18" s="33" t="s">
        <v>25</v>
      </c>
      <c r="D18" s="35" t="s">
        <v>26</v>
      </c>
      <c r="E18" s="34"/>
      <c r="F18" s="34"/>
    </row>
    <row r="19" spans="1:9" s="15" customFormat="1" x14ac:dyDescent="0.25">
      <c r="B19" s="132"/>
      <c r="C19" s="33" t="s">
        <v>27</v>
      </c>
      <c r="D19" s="34"/>
      <c r="E19" s="34"/>
      <c r="F19" s="34"/>
    </row>
    <row r="20" spans="1:9" s="15" customFormat="1" x14ac:dyDescent="0.25">
      <c r="B20" s="132"/>
      <c r="C20" s="33" t="s">
        <v>28</v>
      </c>
      <c r="D20" s="34"/>
      <c r="E20" s="34"/>
      <c r="F20" s="34"/>
    </row>
    <row r="21" spans="1:9" s="15" customFormat="1" ht="15.75" x14ac:dyDescent="0.25">
      <c r="B21" s="132"/>
      <c r="C21" s="134" t="s">
        <v>30</v>
      </c>
      <c r="D21" s="122"/>
      <c r="E21" s="122"/>
      <c r="F21" s="123"/>
    </row>
    <row r="22" spans="1:9" s="15" customFormat="1" ht="16.5" customHeight="1" x14ac:dyDescent="0.25">
      <c r="B22" s="132"/>
      <c r="C22" s="21"/>
      <c r="D22" s="22"/>
      <c r="G22" s="31"/>
    </row>
    <row r="23" spans="1:9" x14ac:dyDescent="0.25">
      <c r="A23" s="18"/>
      <c r="B23" s="121" t="s">
        <v>132</v>
      </c>
      <c r="C23" s="193"/>
      <c r="D23" s="193"/>
      <c r="E23" s="193"/>
      <c r="F23" s="193"/>
      <c r="G23" s="193"/>
      <c r="H23" s="41"/>
    </row>
    <row r="24" spans="1:9" ht="4.5" customHeight="1" x14ac:dyDescent="0.25">
      <c r="A24" s="18"/>
      <c r="B24" s="121"/>
      <c r="C24" s="121"/>
      <c r="D24" s="121"/>
      <c r="E24" s="121"/>
      <c r="F24" s="121"/>
      <c r="G24" s="121"/>
      <c r="H24" s="42"/>
    </row>
    <row r="25" spans="1:9" ht="4.5" customHeight="1" x14ac:dyDescent="0.25">
      <c r="A25" s="18"/>
      <c r="B25" s="121"/>
      <c r="C25" s="121"/>
      <c r="D25" s="121"/>
      <c r="E25" s="121"/>
      <c r="F25" s="121"/>
      <c r="G25" s="121"/>
      <c r="H25" s="42"/>
    </row>
    <row r="26" spans="1:9" x14ac:dyDescent="0.25">
      <c r="A26" s="18"/>
      <c r="B26" s="121" t="s">
        <v>475</v>
      </c>
      <c r="C26" s="42"/>
      <c r="D26" s="42"/>
      <c r="E26" s="43"/>
      <c r="F26" s="42"/>
      <c r="G26" s="42"/>
      <c r="H26" s="42"/>
    </row>
    <row r="27" spans="1:9" ht="15.75" thickBot="1" x14ac:dyDescent="0.3">
      <c r="B27" s="258" t="s">
        <v>122</v>
      </c>
      <c r="C27" s="258" t="s">
        <v>123</v>
      </c>
      <c r="D27" s="258" t="s">
        <v>124</v>
      </c>
      <c r="E27" s="259" t="s">
        <v>125</v>
      </c>
      <c r="F27" s="260" t="s">
        <v>126</v>
      </c>
      <c r="G27" s="261" t="s">
        <v>51</v>
      </c>
      <c r="H27" s="261" t="s">
        <v>127</v>
      </c>
    </row>
    <row r="28" spans="1:9" x14ac:dyDescent="0.25">
      <c r="A28" s="18"/>
      <c r="B28" s="254"/>
      <c r="C28" s="254"/>
      <c r="D28" s="254"/>
      <c r="E28" s="224"/>
      <c r="F28" s="160"/>
      <c r="G28" s="161"/>
      <c r="H28" s="162"/>
    </row>
    <row r="29" spans="1:9" x14ac:dyDescent="0.25">
      <c r="A29" s="18"/>
      <c r="B29" s="254"/>
      <c r="C29" s="254"/>
      <c r="D29" s="254"/>
      <c r="E29" s="224"/>
      <c r="F29" s="160"/>
      <c r="G29" s="161"/>
      <c r="H29" s="162"/>
    </row>
    <row r="30" spans="1:9" x14ac:dyDescent="0.25">
      <c r="A30" s="18"/>
      <c r="B30" s="163" t="s">
        <v>382</v>
      </c>
      <c r="C30" s="164"/>
      <c r="D30" s="164"/>
      <c r="E30" s="165"/>
      <c r="F30" s="166"/>
      <c r="G30" s="167"/>
      <c r="H30" s="168"/>
    </row>
    <row r="31" spans="1:9" x14ac:dyDescent="0.25">
      <c r="A31" s="78" t="s">
        <v>48</v>
      </c>
      <c r="B31" s="254" t="s">
        <v>476</v>
      </c>
      <c r="C31" s="254" t="s">
        <v>467</v>
      </c>
      <c r="D31" s="254"/>
      <c r="E31" s="224"/>
      <c r="F31" s="160">
        <v>4083.38</v>
      </c>
      <c r="G31" s="161">
        <v>99.48</v>
      </c>
      <c r="H31" s="162">
        <v>5.1081000000000003</v>
      </c>
    </row>
    <row r="32" spans="1:9" x14ac:dyDescent="0.25">
      <c r="A32" s="18"/>
      <c r="B32" s="169" t="s">
        <v>245</v>
      </c>
      <c r="C32" s="169"/>
      <c r="D32" s="169"/>
      <c r="E32" s="170"/>
      <c r="F32" s="262">
        <v>4083.38</v>
      </c>
      <c r="G32" s="263">
        <v>99.48</v>
      </c>
      <c r="H32" s="171"/>
    </row>
    <row r="33" spans="1:8" x14ac:dyDescent="0.25">
      <c r="A33" s="18"/>
      <c r="B33" s="254"/>
      <c r="C33" s="254"/>
      <c r="D33" s="254"/>
      <c r="E33" s="224"/>
      <c r="F33" s="160"/>
      <c r="G33" s="161"/>
      <c r="H33" s="162"/>
    </row>
    <row r="34" spans="1:8" x14ac:dyDescent="0.25">
      <c r="A34" s="18"/>
      <c r="B34" s="265" t="s">
        <v>248</v>
      </c>
      <c r="C34" s="266"/>
      <c r="D34" s="266"/>
      <c r="E34" s="267"/>
      <c r="F34" s="262">
        <v>4083.38</v>
      </c>
      <c r="G34" s="263">
        <v>99.48</v>
      </c>
      <c r="H34" s="171"/>
    </row>
    <row r="35" spans="1:8" s="219" customFormat="1" x14ac:dyDescent="0.25">
      <c r="A35" s="18"/>
      <c r="B35" s="254"/>
      <c r="C35" s="254"/>
      <c r="D35" s="254"/>
      <c r="E35" s="224"/>
      <c r="F35" s="160"/>
      <c r="G35" s="161"/>
      <c r="H35" s="162"/>
    </row>
    <row r="36" spans="1:8" s="219" customFormat="1" x14ac:dyDescent="0.25">
      <c r="A36" s="18"/>
      <c r="B36" s="254" t="s">
        <v>266</v>
      </c>
      <c r="C36" s="254"/>
      <c r="D36" s="254"/>
      <c r="E36" s="224"/>
      <c r="F36" s="160">
        <v>21.45</v>
      </c>
      <c r="G36" s="161">
        <v>0.51999999999999602</v>
      </c>
      <c r="H36" s="162"/>
    </row>
    <row r="37" spans="1:8" s="222" customFormat="1" x14ac:dyDescent="0.25">
      <c r="A37" s="18"/>
      <c r="B37" s="254"/>
      <c r="C37" s="254"/>
      <c r="D37" s="254"/>
      <c r="E37" s="224"/>
      <c r="F37" s="160"/>
      <c r="G37" s="161"/>
      <c r="H37" s="162"/>
    </row>
    <row r="38" spans="1:8" s="222" customFormat="1" x14ac:dyDescent="0.25">
      <c r="A38" s="18"/>
      <c r="B38" s="265" t="s">
        <v>267</v>
      </c>
      <c r="C38" s="266"/>
      <c r="D38" s="266"/>
      <c r="E38" s="267"/>
      <c r="F38" s="262">
        <v>4104.83</v>
      </c>
      <c r="G38" s="263">
        <v>100</v>
      </c>
      <c r="H38" s="172"/>
    </row>
    <row r="39" spans="1:8" x14ac:dyDescent="0.25">
      <c r="A39" s="78" t="s">
        <v>48</v>
      </c>
      <c r="B39" s="11" t="s">
        <v>49</v>
      </c>
      <c r="C39" s="1"/>
      <c r="D39" s="4"/>
      <c r="E39" s="4"/>
      <c r="F39" s="29"/>
      <c r="G39" s="4"/>
      <c r="H39" s="4"/>
    </row>
    <row r="40" spans="1:8" x14ac:dyDescent="0.25">
      <c r="A40" s="18"/>
      <c r="B40" s="1"/>
      <c r="C40" s="1"/>
      <c r="D40" s="4"/>
      <c r="E40" s="4"/>
      <c r="F40" s="29"/>
      <c r="G40" s="4"/>
      <c r="H40" s="4"/>
    </row>
    <row r="41" spans="1:8" x14ac:dyDescent="0.25">
      <c r="B41" t="s">
        <v>136</v>
      </c>
    </row>
    <row r="42" spans="1:8" x14ac:dyDescent="0.25">
      <c r="B42" t="s">
        <v>344</v>
      </c>
    </row>
    <row r="43" spans="1:8" x14ac:dyDescent="0.25">
      <c r="B43" s="229" t="s">
        <v>388</v>
      </c>
      <c r="C43" s="230" t="s">
        <v>387</v>
      </c>
      <c r="D43" s="14"/>
    </row>
    <row r="44" spans="1:8" x14ac:dyDescent="0.25">
      <c r="B44" s="11"/>
    </row>
    <row r="45" spans="1:8" x14ac:dyDescent="0.25">
      <c r="B45" s="11"/>
    </row>
  </sheetData>
  <mergeCells count="8">
    <mergeCell ref="B1:H1"/>
    <mergeCell ref="G5:H5"/>
    <mergeCell ref="B11:D11"/>
    <mergeCell ref="G12:H12"/>
    <mergeCell ref="B2:H2"/>
    <mergeCell ref="G13:H13"/>
    <mergeCell ref="E5:F5"/>
    <mergeCell ref="E12:F12"/>
  </mergeCells>
  <hyperlinks>
    <hyperlink ref="C43" r:id="rId1" xr:uid="{66E95FF3-C898-47B1-BB32-5A0DFE3E302C}"/>
  </hyperlinks>
  <pageMargins left="0.7" right="0.7" top="0.75" bottom="0.75" header="0.3" footer="0.3"/>
  <pageSetup scale="47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44EED-2109-41F7-9F2D-6772BCAAC5ED}">
  <sheetPr codeName="Sheet9"/>
  <dimension ref="A1:J85"/>
  <sheetViews>
    <sheetView showGridLines="0" zoomScaleNormal="100" workbookViewId="0"/>
  </sheetViews>
  <sheetFormatPr defaultColWidth="17.7109375" defaultRowHeight="15" x14ac:dyDescent="0.25"/>
  <cols>
    <col min="1" max="1" width="3.5703125" bestFit="1" customWidth="1"/>
    <col min="2" max="2" width="48.5703125" customWidth="1"/>
    <col min="3" max="3" width="22.140625" customWidth="1"/>
    <col min="4" max="4" width="19.7109375" customWidth="1"/>
    <col min="5" max="5" width="28.28515625" customWidth="1"/>
    <col min="6" max="6" width="28.85546875" customWidth="1"/>
    <col min="7" max="7" width="31.28515625" customWidth="1"/>
    <col min="8" max="8" width="17.42578125" customWidth="1"/>
    <col min="9" max="9" width="17.28515625" customWidth="1"/>
    <col min="10" max="10" width="19" bestFit="1" customWidth="1"/>
    <col min="11" max="11" width="20.42578125" bestFit="1" customWidth="1"/>
    <col min="16" max="16" width="22.5703125" bestFit="1" customWidth="1"/>
  </cols>
  <sheetData>
    <row r="1" spans="1:9" ht="21.75" x14ac:dyDescent="0.3">
      <c r="B1" s="272" t="s">
        <v>76</v>
      </c>
      <c r="C1" s="272"/>
      <c r="D1" s="272"/>
      <c r="E1" s="272"/>
      <c r="F1" s="272"/>
      <c r="G1" s="272"/>
      <c r="H1" s="272"/>
    </row>
    <row r="2" spans="1:9" s="11" customFormat="1" ht="17.25" customHeight="1" x14ac:dyDescent="0.25">
      <c r="B2" s="276" t="s">
        <v>90</v>
      </c>
      <c r="C2" s="276"/>
      <c r="D2" s="276"/>
      <c r="E2" s="276"/>
      <c r="F2" s="276"/>
      <c r="G2" s="276"/>
      <c r="H2" s="276"/>
    </row>
    <row r="3" spans="1:9" ht="9.75" customHeight="1" x14ac:dyDescent="0.25">
      <c r="A3" s="1"/>
      <c r="B3" s="3"/>
      <c r="C3" s="3"/>
      <c r="D3" s="128"/>
      <c r="E3" s="1"/>
      <c r="F3" s="2"/>
      <c r="G3" s="2"/>
      <c r="H3" s="2"/>
    </row>
    <row r="4" spans="1:9" s="19" customFormat="1" ht="21" x14ac:dyDescent="0.25">
      <c r="B4" s="55"/>
      <c r="C4" s="56"/>
      <c r="D4" s="57"/>
      <c r="E4" s="273" t="s">
        <v>9</v>
      </c>
      <c r="F4" s="275"/>
      <c r="G4" s="273" t="s">
        <v>56</v>
      </c>
      <c r="H4" s="275"/>
    </row>
    <row r="5" spans="1:9" s="15" customFormat="1" ht="15.75" x14ac:dyDescent="0.25">
      <c r="B5" s="54" t="s">
        <v>2</v>
      </c>
      <c r="C5" s="20"/>
      <c r="D5" s="20"/>
      <c r="E5" s="50"/>
      <c r="F5" s="24"/>
      <c r="G5" s="129"/>
      <c r="H5" s="130"/>
      <c r="I5" s="19"/>
    </row>
    <row r="6" spans="1:9" s="15" customFormat="1" x14ac:dyDescent="0.25">
      <c r="B6" s="25" t="s">
        <v>63</v>
      </c>
      <c r="C6" s="20"/>
      <c r="D6" s="30"/>
      <c r="E6" s="50"/>
      <c r="F6" s="24"/>
      <c r="G6" s="150"/>
      <c r="H6" s="58"/>
      <c r="I6" s="19"/>
    </row>
    <row r="7" spans="1:9" s="15" customFormat="1" x14ac:dyDescent="0.25">
      <c r="B7" s="25" t="s">
        <v>77</v>
      </c>
      <c r="C7" s="48"/>
      <c r="D7" s="48"/>
      <c r="E7" s="50"/>
      <c r="F7" s="24"/>
      <c r="G7" s="50"/>
      <c r="H7" s="24"/>
      <c r="I7" s="19"/>
    </row>
    <row r="8" spans="1:9" s="15" customFormat="1" x14ac:dyDescent="0.25">
      <c r="B8" s="25"/>
      <c r="C8" s="20"/>
      <c r="D8" s="20"/>
      <c r="E8" s="50"/>
      <c r="F8" s="24"/>
      <c r="G8" s="50"/>
      <c r="H8" s="24"/>
      <c r="I8" s="19"/>
    </row>
    <row r="9" spans="1:9" s="15" customFormat="1" x14ac:dyDescent="0.25">
      <c r="B9" s="50"/>
      <c r="C9" s="20"/>
      <c r="D9" s="20"/>
      <c r="E9" s="50"/>
      <c r="F9" s="24"/>
      <c r="G9" s="50"/>
      <c r="H9" s="24"/>
      <c r="I9" s="19"/>
    </row>
    <row r="10" spans="1:9" s="15" customFormat="1" ht="29.25" customHeight="1" x14ac:dyDescent="0.25">
      <c r="B10" s="282" t="s">
        <v>8</v>
      </c>
      <c r="C10" s="283"/>
      <c r="D10" s="283"/>
      <c r="E10" s="50"/>
      <c r="F10" s="24"/>
      <c r="G10" s="50"/>
      <c r="H10" s="24"/>
      <c r="I10" s="19"/>
    </row>
    <row r="11" spans="1:9" s="15" customFormat="1" ht="26.25" customHeight="1" x14ac:dyDescent="0.25">
      <c r="B11" s="50"/>
      <c r="C11" s="20"/>
      <c r="D11" s="20"/>
      <c r="E11" s="50"/>
      <c r="F11" s="24"/>
      <c r="G11" s="50"/>
      <c r="H11" s="24"/>
      <c r="I11" s="19"/>
    </row>
    <row r="12" spans="1:9" s="15" customFormat="1" x14ac:dyDescent="0.25">
      <c r="B12" s="25"/>
      <c r="C12" s="20"/>
      <c r="D12" s="131"/>
      <c r="E12" s="288" t="s">
        <v>78</v>
      </c>
      <c r="F12" s="289"/>
      <c r="G12" s="284" t="s">
        <v>79</v>
      </c>
      <c r="H12" s="285"/>
      <c r="I12" s="19"/>
    </row>
    <row r="13" spans="1:9" s="15" customFormat="1" ht="27.75" customHeight="1" x14ac:dyDescent="0.25">
      <c r="B13" s="26"/>
      <c r="C13" s="27"/>
      <c r="D13" s="27"/>
      <c r="E13" s="53"/>
      <c r="F13" s="28"/>
      <c r="G13" s="305" t="s">
        <v>101</v>
      </c>
      <c r="H13" s="306"/>
    </row>
    <row r="14" spans="1:9" s="15" customFormat="1" ht="7.5" customHeight="1" x14ac:dyDescent="0.25">
      <c r="B14" s="132"/>
      <c r="C14" s="21"/>
      <c r="D14" s="22"/>
      <c r="G14" s="31"/>
    </row>
    <row r="15" spans="1:9" s="15" customFormat="1" x14ac:dyDescent="0.25">
      <c r="B15" s="132"/>
      <c r="C15" s="133" t="s">
        <v>29</v>
      </c>
      <c r="D15" s="142"/>
      <c r="E15" s="142"/>
      <c r="F15" s="143"/>
    </row>
    <row r="16" spans="1:9" s="15" customFormat="1" ht="15" customHeight="1" x14ac:dyDescent="0.25">
      <c r="B16" s="132"/>
      <c r="C16" s="32" t="s">
        <v>20</v>
      </c>
      <c r="D16" s="140" t="s">
        <v>80</v>
      </c>
      <c r="E16" s="140" t="s">
        <v>81</v>
      </c>
      <c r="F16" s="140" t="s">
        <v>82</v>
      </c>
    </row>
    <row r="17" spans="1:8" s="15" customFormat="1" x14ac:dyDescent="0.25">
      <c r="B17" s="132"/>
      <c r="C17" s="32" t="s">
        <v>24</v>
      </c>
      <c r="D17" s="141" t="s">
        <v>83</v>
      </c>
      <c r="E17" s="141" t="s">
        <v>84</v>
      </c>
      <c r="F17" s="141" t="s">
        <v>85</v>
      </c>
    </row>
    <row r="18" spans="1:8" s="15" customFormat="1" x14ac:dyDescent="0.25">
      <c r="B18" s="132"/>
      <c r="C18" s="33" t="s">
        <v>25</v>
      </c>
      <c r="D18" s="34"/>
      <c r="E18" s="35" t="s">
        <v>86</v>
      </c>
      <c r="F18" s="34"/>
    </row>
    <row r="19" spans="1:8" s="15" customFormat="1" x14ac:dyDescent="0.25">
      <c r="B19" s="132"/>
      <c r="C19" s="33" t="s">
        <v>27</v>
      </c>
      <c r="D19" s="34"/>
      <c r="E19" s="34"/>
      <c r="F19" s="34"/>
    </row>
    <row r="20" spans="1:8" s="15" customFormat="1" x14ac:dyDescent="0.25">
      <c r="B20" s="132"/>
      <c r="C20" s="33" t="s">
        <v>28</v>
      </c>
      <c r="D20" s="34"/>
      <c r="E20" s="34"/>
      <c r="F20" s="34"/>
    </row>
    <row r="21" spans="1:8" s="15" customFormat="1" ht="15.75" x14ac:dyDescent="0.25">
      <c r="B21" s="132"/>
      <c r="C21" s="145" t="s">
        <v>87</v>
      </c>
      <c r="D21" s="138"/>
      <c r="E21" s="138"/>
      <c r="F21" s="139"/>
    </row>
    <row r="22" spans="1:8" s="15" customFormat="1" x14ac:dyDescent="0.25">
      <c r="B22" s="132"/>
      <c r="C22" s="21"/>
      <c r="D22" s="22"/>
      <c r="G22" s="31"/>
    </row>
    <row r="23" spans="1:8" ht="17.25" customHeight="1" x14ac:dyDescent="0.25">
      <c r="A23" s="42"/>
      <c r="B23" s="121" t="s">
        <v>110</v>
      </c>
      <c r="C23" s="193"/>
      <c r="D23" s="193"/>
      <c r="E23" s="193"/>
      <c r="F23" s="193"/>
      <c r="G23" s="193"/>
      <c r="H23" s="41"/>
    </row>
    <row r="24" spans="1:8" hidden="1" x14ac:dyDescent="0.25">
      <c r="A24" s="42"/>
      <c r="B24" s="121"/>
      <c r="C24" s="121"/>
      <c r="D24" s="121"/>
      <c r="E24" s="121"/>
      <c r="F24" s="121"/>
      <c r="G24" s="121"/>
      <c r="H24" s="42"/>
    </row>
    <row r="25" spans="1:8" hidden="1" x14ac:dyDescent="0.25">
      <c r="A25" s="42"/>
      <c r="B25" s="121"/>
      <c r="C25" s="121"/>
      <c r="D25" s="121"/>
      <c r="E25" s="121"/>
      <c r="F25" s="121"/>
      <c r="G25" s="121"/>
      <c r="H25" s="42"/>
    </row>
    <row r="26" spans="1:8" ht="17.25" customHeight="1" x14ac:dyDescent="0.25">
      <c r="A26" s="42"/>
      <c r="B26" s="121" t="s">
        <v>475</v>
      </c>
      <c r="C26" s="42"/>
      <c r="D26" s="42"/>
      <c r="E26" s="43"/>
      <c r="F26" s="42"/>
      <c r="G26" s="42"/>
      <c r="H26" s="42"/>
    </row>
    <row r="27" spans="1:8" ht="15.75" thickBot="1" x14ac:dyDescent="0.3">
      <c r="A27" s="42"/>
      <c r="B27" s="258" t="s">
        <v>122</v>
      </c>
      <c r="C27" s="258" t="s">
        <v>123</v>
      </c>
      <c r="D27" s="258" t="s">
        <v>124</v>
      </c>
      <c r="E27" s="259" t="s">
        <v>125</v>
      </c>
      <c r="F27" s="260" t="s">
        <v>126</v>
      </c>
      <c r="G27" s="261" t="s">
        <v>51</v>
      </c>
      <c r="H27" s="261" t="s">
        <v>127</v>
      </c>
    </row>
    <row r="28" spans="1:8" x14ac:dyDescent="0.25">
      <c r="A28" s="42"/>
      <c r="B28" s="254"/>
      <c r="C28" s="254"/>
      <c r="D28" s="254"/>
      <c r="E28" s="224"/>
      <c r="F28" s="160"/>
      <c r="G28" s="161"/>
      <c r="H28" s="162"/>
    </row>
    <row r="29" spans="1:8" x14ac:dyDescent="0.25">
      <c r="A29" s="42"/>
      <c r="B29" s="163" t="s">
        <v>264</v>
      </c>
      <c r="C29" s="164"/>
      <c r="D29" s="164"/>
      <c r="E29" s="165"/>
      <c r="F29" s="166"/>
      <c r="G29" s="167"/>
      <c r="H29" s="168"/>
    </row>
    <row r="30" spans="1:8" x14ac:dyDescent="0.25">
      <c r="A30" s="42"/>
      <c r="B30" s="254"/>
      <c r="C30" s="254"/>
      <c r="D30" s="254"/>
      <c r="E30" s="224"/>
      <c r="F30" s="160"/>
      <c r="G30" s="161"/>
      <c r="H30" s="162"/>
    </row>
    <row r="31" spans="1:8" x14ac:dyDescent="0.25">
      <c r="B31" s="173" t="s">
        <v>333</v>
      </c>
      <c r="C31" s="174"/>
      <c r="D31" s="174"/>
      <c r="E31" s="175"/>
      <c r="F31" s="176"/>
      <c r="G31" s="177"/>
      <c r="H31" s="178"/>
    </row>
    <row r="32" spans="1:8" x14ac:dyDescent="0.25">
      <c r="A32" s="159" t="s">
        <v>48</v>
      </c>
      <c r="B32" s="254" t="s">
        <v>453</v>
      </c>
      <c r="C32" s="254" t="s">
        <v>437</v>
      </c>
      <c r="D32" s="254" t="s">
        <v>409</v>
      </c>
      <c r="E32" s="224">
        <v>1500000</v>
      </c>
      <c r="F32" s="160">
        <v>1488.12</v>
      </c>
      <c r="G32" s="161">
        <v>6.64</v>
      </c>
      <c r="H32" s="162">
        <v>6.0728999999999997</v>
      </c>
    </row>
    <row r="33" spans="1:8" x14ac:dyDescent="0.25">
      <c r="A33" s="159" t="s">
        <v>48</v>
      </c>
      <c r="B33" s="254" t="s">
        <v>441</v>
      </c>
      <c r="C33" s="254" t="s">
        <v>442</v>
      </c>
      <c r="D33" s="254" t="s">
        <v>377</v>
      </c>
      <c r="E33" s="224">
        <v>1500000</v>
      </c>
      <c r="F33" s="160">
        <v>1487.39</v>
      </c>
      <c r="G33" s="161">
        <v>6.64</v>
      </c>
      <c r="H33" s="162">
        <v>6.07</v>
      </c>
    </row>
    <row r="34" spans="1:8" x14ac:dyDescent="0.25">
      <c r="A34" s="220" t="s">
        <v>48</v>
      </c>
      <c r="B34" s="254" t="s">
        <v>434</v>
      </c>
      <c r="C34" s="254" t="s">
        <v>443</v>
      </c>
      <c r="D34" s="254" t="s">
        <v>334</v>
      </c>
      <c r="E34" s="224">
        <v>1500000</v>
      </c>
      <c r="F34" s="160">
        <v>1487.18</v>
      </c>
      <c r="G34" s="161">
        <v>6.64</v>
      </c>
      <c r="H34" s="162">
        <v>6.0495999999999999</v>
      </c>
    </row>
    <row r="35" spans="1:8" x14ac:dyDescent="0.25">
      <c r="A35" s="223" t="s">
        <v>48</v>
      </c>
      <c r="B35" s="254" t="s">
        <v>445</v>
      </c>
      <c r="C35" s="254" t="s">
        <v>446</v>
      </c>
      <c r="D35" s="254" t="s">
        <v>334</v>
      </c>
      <c r="E35" s="224">
        <v>1500000</v>
      </c>
      <c r="F35" s="160">
        <v>1485.43</v>
      </c>
      <c r="G35" s="161">
        <v>6.63</v>
      </c>
      <c r="H35" s="162">
        <v>6.07</v>
      </c>
    </row>
    <row r="36" spans="1:8" ht="14.25" customHeight="1" x14ac:dyDescent="0.25">
      <c r="A36" s="223" t="s">
        <v>48</v>
      </c>
      <c r="B36" s="254" t="s">
        <v>471</v>
      </c>
      <c r="C36" s="254" t="s">
        <v>452</v>
      </c>
      <c r="D36" s="254" t="s">
        <v>334</v>
      </c>
      <c r="E36" s="224">
        <v>1500000</v>
      </c>
      <c r="F36" s="160">
        <v>1481.98</v>
      </c>
      <c r="G36" s="161">
        <v>6.61</v>
      </c>
      <c r="H36" s="162">
        <v>6.08</v>
      </c>
    </row>
    <row r="37" spans="1:8" x14ac:dyDescent="0.25">
      <c r="A37" s="223" t="s">
        <v>48</v>
      </c>
      <c r="B37" s="254" t="s">
        <v>457</v>
      </c>
      <c r="C37" s="254" t="s">
        <v>458</v>
      </c>
      <c r="D37" s="254" t="s">
        <v>377</v>
      </c>
      <c r="E37" s="224">
        <v>1500000</v>
      </c>
      <c r="F37" s="160">
        <v>1480.32</v>
      </c>
      <c r="G37" s="161">
        <v>6.61</v>
      </c>
      <c r="H37" s="162">
        <v>6.0651000000000002</v>
      </c>
    </row>
    <row r="38" spans="1:8" x14ac:dyDescent="0.25">
      <c r="B38" s="169" t="s">
        <v>245</v>
      </c>
      <c r="C38" s="169"/>
      <c r="D38" s="169"/>
      <c r="E38" s="170"/>
      <c r="F38" s="262">
        <v>8910.42</v>
      </c>
      <c r="G38" s="263">
        <v>39.770000000000003</v>
      </c>
      <c r="H38" s="171"/>
    </row>
    <row r="39" spans="1:8" x14ac:dyDescent="0.25">
      <c r="B39" s="254"/>
      <c r="C39" s="254"/>
      <c r="D39" s="254"/>
      <c r="E39" s="224"/>
      <c r="F39" s="160"/>
      <c r="G39" s="161"/>
      <c r="H39" s="162"/>
    </row>
    <row r="40" spans="1:8" x14ac:dyDescent="0.25">
      <c r="A40" s="223"/>
      <c r="B40" s="173" t="s">
        <v>335</v>
      </c>
      <c r="C40" s="174"/>
      <c r="D40" s="174"/>
      <c r="E40" s="175"/>
      <c r="F40" s="176"/>
      <c r="G40" s="177"/>
      <c r="H40" s="178"/>
    </row>
    <row r="41" spans="1:8" x14ac:dyDescent="0.25">
      <c r="A41" s="223" t="s">
        <v>48</v>
      </c>
      <c r="B41" s="254" t="s">
        <v>472</v>
      </c>
      <c r="C41" s="254" t="s">
        <v>449</v>
      </c>
      <c r="D41" s="254" t="s">
        <v>334</v>
      </c>
      <c r="E41" s="224">
        <v>1500000</v>
      </c>
      <c r="F41" s="160">
        <v>1482.76</v>
      </c>
      <c r="G41" s="161">
        <v>6.62</v>
      </c>
      <c r="H41" s="162">
        <v>6.15</v>
      </c>
    </row>
    <row r="42" spans="1:8" x14ac:dyDescent="0.25">
      <c r="A42" s="223" t="s">
        <v>48</v>
      </c>
      <c r="B42" s="254" t="s">
        <v>459</v>
      </c>
      <c r="C42" s="254" t="s">
        <v>460</v>
      </c>
      <c r="D42" s="254" t="s">
        <v>334</v>
      </c>
      <c r="E42" s="224">
        <v>1500000</v>
      </c>
      <c r="F42" s="160">
        <v>1479.98</v>
      </c>
      <c r="G42" s="161">
        <v>6.61</v>
      </c>
      <c r="H42" s="162">
        <v>6.2500999999999998</v>
      </c>
    </row>
    <row r="43" spans="1:8" x14ac:dyDescent="0.25">
      <c r="A43" s="223"/>
      <c r="B43" s="254" t="s">
        <v>438</v>
      </c>
      <c r="C43" s="254" t="s">
        <v>439</v>
      </c>
      <c r="D43" s="254" t="s">
        <v>334</v>
      </c>
      <c r="E43" s="224">
        <v>1000000</v>
      </c>
      <c r="F43" s="160">
        <v>991.32</v>
      </c>
      <c r="G43" s="161">
        <v>4.42</v>
      </c>
      <c r="H43" s="162">
        <v>6.6597999999999997</v>
      </c>
    </row>
    <row r="44" spans="1:8" x14ac:dyDescent="0.25">
      <c r="A44" s="223"/>
      <c r="B44" s="254" t="s">
        <v>410</v>
      </c>
      <c r="C44" s="254" t="s">
        <v>455</v>
      </c>
      <c r="D44" s="254" t="s">
        <v>334</v>
      </c>
      <c r="E44" s="224">
        <v>1000000</v>
      </c>
      <c r="F44" s="160">
        <v>986.6</v>
      </c>
      <c r="G44" s="161">
        <v>4.4000000000000004</v>
      </c>
      <c r="H44" s="162">
        <v>6.6098999999999997</v>
      </c>
    </row>
    <row r="45" spans="1:8" x14ac:dyDescent="0.25">
      <c r="A45" s="223"/>
      <c r="B45" s="254" t="s">
        <v>461</v>
      </c>
      <c r="C45" s="254" t="s">
        <v>462</v>
      </c>
      <c r="D45" s="254" t="s">
        <v>334</v>
      </c>
      <c r="E45" s="224">
        <v>1000000</v>
      </c>
      <c r="F45" s="160">
        <v>985.76</v>
      </c>
      <c r="G45" s="161">
        <v>4.4000000000000004</v>
      </c>
      <c r="H45" s="162">
        <v>6.6749999999999998</v>
      </c>
    </row>
    <row r="46" spans="1:8" x14ac:dyDescent="0.25">
      <c r="A46" s="223"/>
      <c r="B46" s="169" t="s">
        <v>245</v>
      </c>
      <c r="C46" s="169"/>
      <c r="D46" s="169"/>
      <c r="E46" s="170"/>
      <c r="F46" s="262">
        <v>5926.42</v>
      </c>
      <c r="G46" s="263">
        <v>26.45</v>
      </c>
      <c r="H46" s="171"/>
    </row>
    <row r="47" spans="1:8" x14ac:dyDescent="0.25">
      <c r="B47" s="254"/>
      <c r="C47" s="254"/>
      <c r="D47" s="254"/>
      <c r="E47" s="224"/>
      <c r="F47" s="160"/>
      <c r="G47" s="161"/>
      <c r="H47" s="162"/>
    </row>
    <row r="48" spans="1:8" x14ac:dyDescent="0.25">
      <c r="B48" s="173" t="s">
        <v>265</v>
      </c>
      <c r="C48" s="174"/>
      <c r="D48" s="174"/>
      <c r="E48" s="175"/>
      <c r="F48" s="176"/>
      <c r="G48" s="177"/>
      <c r="H48" s="178"/>
    </row>
    <row r="49" spans="1:10" x14ac:dyDescent="0.25">
      <c r="A49" s="223" t="s">
        <v>48</v>
      </c>
      <c r="B49" s="254" t="s">
        <v>450</v>
      </c>
      <c r="C49" s="254" t="s">
        <v>451</v>
      </c>
      <c r="D49" s="254" t="s">
        <v>255</v>
      </c>
      <c r="E49" s="224">
        <v>3000000</v>
      </c>
      <c r="F49" s="160">
        <v>2971.16</v>
      </c>
      <c r="G49" s="161">
        <v>13.26</v>
      </c>
      <c r="H49" s="162">
        <v>5.21</v>
      </c>
    </row>
    <row r="50" spans="1:10" x14ac:dyDescent="0.25">
      <c r="B50" s="169" t="s">
        <v>245</v>
      </c>
      <c r="C50" s="169"/>
      <c r="D50" s="169"/>
      <c r="E50" s="170"/>
      <c r="F50" s="262">
        <v>2971.16</v>
      </c>
      <c r="G50" s="263">
        <v>13.26</v>
      </c>
      <c r="H50" s="171"/>
    </row>
    <row r="51" spans="1:10" x14ac:dyDescent="0.25">
      <c r="B51" s="254"/>
      <c r="C51" s="254"/>
      <c r="D51" s="254"/>
      <c r="E51" s="224"/>
      <c r="F51" s="160"/>
      <c r="G51" s="161"/>
      <c r="H51" s="162"/>
    </row>
    <row r="52" spans="1:10" x14ac:dyDescent="0.25">
      <c r="B52" s="265" t="s">
        <v>248</v>
      </c>
      <c r="C52" s="266"/>
      <c r="D52" s="266"/>
      <c r="E52" s="267"/>
      <c r="F52" s="262">
        <v>17808</v>
      </c>
      <c r="G52" s="263">
        <v>79.48</v>
      </c>
      <c r="H52" s="171"/>
      <c r="J52" s="185"/>
    </row>
    <row r="53" spans="1:10" x14ac:dyDescent="0.25">
      <c r="A53" s="42"/>
      <c r="B53" s="254"/>
      <c r="C53" s="254"/>
      <c r="D53" s="254"/>
      <c r="E53" s="224"/>
      <c r="F53" s="160"/>
      <c r="G53" s="161"/>
      <c r="H53" s="162"/>
    </row>
    <row r="54" spans="1:10" x14ac:dyDescent="0.25">
      <c r="A54" s="42"/>
      <c r="B54" s="254"/>
      <c r="C54" s="254"/>
      <c r="D54" s="254"/>
      <c r="E54" s="224"/>
      <c r="F54" s="160"/>
      <c r="G54" s="161"/>
      <c r="H54" s="162"/>
    </row>
    <row r="55" spans="1:10" x14ac:dyDescent="0.25">
      <c r="B55" s="163" t="s">
        <v>336</v>
      </c>
      <c r="C55" s="164"/>
      <c r="D55" s="164"/>
      <c r="E55" s="165"/>
      <c r="F55" s="166"/>
      <c r="G55" s="167"/>
      <c r="H55" s="168"/>
    </row>
    <row r="56" spans="1:10" x14ac:dyDescent="0.25">
      <c r="A56" s="223"/>
      <c r="B56" s="254" t="s">
        <v>477</v>
      </c>
      <c r="C56" s="254" t="s">
        <v>337</v>
      </c>
      <c r="D56" s="254"/>
      <c r="E56" s="224">
        <v>353.58800000000002</v>
      </c>
      <c r="F56" s="160">
        <v>41.99</v>
      </c>
      <c r="G56" s="161">
        <v>0.19</v>
      </c>
      <c r="H56" s="162"/>
    </row>
    <row r="57" spans="1:10" x14ac:dyDescent="0.25">
      <c r="A57" s="223"/>
      <c r="B57" s="254"/>
      <c r="C57" s="254"/>
      <c r="D57" s="254"/>
      <c r="E57" s="224"/>
      <c r="F57" s="160"/>
      <c r="G57" s="161"/>
      <c r="H57" s="162"/>
    </row>
    <row r="58" spans="1:10" x14ac:dyDescent="0.25">
      <c r="A58" s="223"/>
      <c r="B58" s="265" t="s">
        <v>248</v>
      </c>
      <c r="C58" s="266"/>
      <c r="D58" s="266"/>
      <c r="E58" s="267"/>
      <c r="F58" s="262">
        <v>41.99</v>
      </c>
      <c r="G58" s="263">
        <v>0.19</v>
      </c>
      <c r="H58" s="171"/>
    </row>
    <row r="59" spans="1:10" x14ac:dyDescent="0.25">
      <c r="B59" s="254"/>
      <c r="C59" s="254"/>
      <c r="D59" s="254"/>
      <c r="E59" s="224"/>
      <c r="F59" s="160"/>
      <c r="G59" s="161"/>
      <c r="H59" s="162"/>
    </row>
    <row r="60" spans="1:10" x14ac:dyDescent="0.25">
      <c r="B60" s="163" t="s">
        <v>382</v>
      </c>
      <c r="C60" s="164"/>
      <c r="D60" s="164"/>
      <c r="E60" s="165"/>
      <c r="F60" s="166"/>
      <c r="G60" s="167"/>
      <c r="H60" s="168"/>
    </row>
    <row r="61" spans="1:10" x14ac:dyDescent="0.25">
      <c r="A61" s="223"/>
      <c r="B61" s="254" t="s">
        <v>476</v>
      </c>
      <c r="C61" s="254" t="s">
        <v>467</v>
      </c>
      <c r="D61" s="254"/>
      <c r="E61" s="224"/>
      <c r="F61" s="160">
        <v>51.49</v>
      </c>
      <c r="G61" s="161">
        <v>0.23</v>
      </c>
      <c r="H61" s="162">
        <v>5.1081000000000003</v>
      </c>
    </row>
    <row r="62" spans="1:10" s="222" customFormat="1" x14ac:dyDescent="0.25">
      <c r="A62" s="223"/>
      <c r="B62" s="169" t="s">
        <v>245</v>
      </c>
      <c r="C62" s="169"/>
      <c r="D62" s="169"/>
      <c r="E62" s="170"/>
      <c r="F62" s="262">
        <v>51.49</v>
      </c>
      <c r="G62" s="263">
        <v>0.23</v>
      </c>
      <c r="H62" s="171"/>
    </row>
    <row r="63" spans="1:10" s="222" customFormat="1" x14ac:dyDescent="0.25">
      <c r="A63" s="223"/>
      <c r="B63" s="254"/>
      <c r="C63" s="254"/>
      <c r="D63" s="254"/>
      <c r="E63" s="224"/>
      <c r="F63" s="160"/>
      <c r="G63" s="161"/>
      <c r="H63" s="162"/>
    </row>
    <row r="64" spans="1:10" s="222" customFormat="1" x14ac:dyDescent="0.25">
      <c r="A64" s="223"/>
      <c r="B64" s="265" t="s">
        <v>248</v>
      </c>
      <c r="C64" s="266"/>
      <c r="D64" s="266"/>
      <c r="E64" s="267"/>
      <c r="F64" s="262">
        <v>51.49</v>
      </c>
      <c r="G64" s="263">
        <v>0.23</v>
      </c>
      <c r="H64" s="171"/>
    </row>
    <row r="65" spans="1:8" s="222" customFormat="1" x14ac:dyDescent="0.25">
      <c r="A65" s="223"/>
      <c r="B65" s="254"/>
      <c r="C65" s="254"/>
      <c r="D65" s="254"/>
      <c r="E65" s="224"/>
      <c r="F65" s="160"/>
      <c r="G65" s="161"/>
      <c r="H65" s="162"/>
    </row>
    <row r="66" spans="1:8" s="222" customFormat="1" x14ac:dyDescent="0.25">
      <c r="A66" s="223"/>
      <c r="B66" s="163" t="s">
        <v>403</v>
      </c>
      <c r="C66" s="164"/>
      <c r="D66" s="164"/>
      <c r="E66" s="165"/>
      <c r="F66" s="166"/>
      <c r="G66" s="167"/>
      <c r="H66" s="168"/>
    </row>
    <row r="67" spans="1:8" s="222" customFormat="1" x14ac:dyDescent="0.25">
      <c r="A67" s="223" t="s">
        <v>48</v>
      </c>
      <c r="B67" s="254" t="s">
        <v>402</v>
      </c>
      <c r="C67" s="254" t="s">
        <v>469</v>
      </c>
      <c r="D67" s="254"/>
      <c r="E67" s="224"/>
      <c r="F67" s="160">
        <v>2269.64</v>
      </c>
      <c r="G67" s="161">
        <v>10.130000000000001</v>
      </c>
      <c r="H67" s="162">
        <v>5.22</v>
      </c>
    </row>
    <row r="68" spans="1:8" s="222" customFormat="1" x14ac:dyDescent="0.25">
      <c r="A68" s="223"/>
      <c r="B68" s="254" t="s">
        <v>402</v>
      </c>
      <c r="C68" s="254" t="s">
        <v>473</v>
      </c>
      <c r="D68" s="254"/>
      <c r="E68" s="224"/>
      <c r="F68" s="160">
        <v>1241.8399999999999</v>
      </c>
      <c r="G68" s="161">
        <v>5.54</v>
      </c>
      <c r="H68" s="162">
        <v>5.0999999999999996</v>
      </c>
    </row>
    <row r="69" spans="1:8" s="222" customFormat="1" x14ac:dyDescent="0.25">
      <c r="A69" s="223"/>
      <c r="B69" s="254" t="s">
        <v>402</v>
      </c>
      <c r="C69" s="254" t="s">
        <v>474</v>
      </c>
      <c r="D69" s="254"/>
      <c r="E69" s="224"/>
      <c r="F69" s="160">
        <v>998.99</v>
      </c>
      <c r="G69" s="161">
        <v>4.46</v>
      </c>
      <c r="H69" s="162">
        <v>5.15</v>
      </c>
    </row>
    <row r="70" spans="1:8" s="222" customFormat="1" x14ac:dyDescent="0.25">
      <c r="A70" s="223"/>
      <c r="B70" s="169" t="s">
        <v>245</v>
      </c>
      <c r="C70" s="169"/>
      <c r="D70" s="169"/>
      <c r="E70" s="170"/>
      <c r="F70" s="262">
        <v>4510.47</v>
      </c>
      <c r="G70" s="263">
        <v>20.13</v>
      </c>
      <c r="H70" s="171"/>
    </row>
    <row r="71" spans="1:8" s="222" customFormat="1" x14ac:dyDescent="0.25">
      <c r="A71" s="223"/>
      <c r="B71" s="254"/>
      <c r="C71" s="254"/>
      <c r="D71" s="254"/>
      <c r="E71" s="224"/>
      <c r="F71" s="160"/>
      <c r="G71" s="161"/>
      <c r="H71" s="162"/>
    </row>
    <row r="72" spans="1:8" s="222" customFormat="1" x14ac:dyDescent="0.25">
      <c r="A72" s="223"/>
      <c r="B72" s="265" t="s">
        <v>248</v>
      </c>
      <c r="C72" s="266"/>
      <c r="D72" s="266"/>
      <c r="E72" s="267"/>
      <c r="F72" s="262">
        <v>4510.47</v>
      </c>
      <c r="G72" s="263">
        <v>20.13</v>
      </c>
      <c r="H72" s="171"/>
    </row>
    <row r="73" spans="1:8" s="222" customFormat="1" x14ac:dyDescent="0.25">
      <c r="A73" s="223"/>
      <c r="B73" s="254"/>
      <c r="C73" s="254"/>
      <c r="D73" s="254"/>
      <c r="E73" s="224"/>
      <c r="F73" s="160"/>
      <c r="G73" s="161"/>
      <c r="H73" s="162"/>
    </row>
    <row r="74" spans="1:8" s="222" customFormat="1" x14ac:dyDescent="0.25">
      <c r="A74" s="223"/>
      <c r="B74" s="254" t="s">
        <v>266</v>
      </c>
      <c r="C74" s="254"/>
      <c r="D74" s="254"/>
      <c r="E74" s="224"/>
      <c r="F74" s="179">
        <v>-5.19</v>
      </c>
      <c r="G74" s="161">
        <v>-3.0000000000001137E-2</v>
      </c>
      <c r="H74" s="162"/>
    </row>
    <row r="75" spans="1:8" s="222" customFormat="1" x14ac:dyDescent="0.25">
      <c r="A75" s="223"/>
      <c r="B75" s="254"/>
      <c r="C75" s="254"/>
      <c r="D75" s="254"/>
      <c r="E75" s="224"/>
      <c r="F75" s="160"/>
      <c r="G75" s="161"/>
      <c r="H75" s="162"/>
    </row>
    <row r="76" spans="1:8" s="222" customFormat="1" x14ac:dyDescent="0.25">
      <c r="A76" s="223"/>
      <c r="B76" s="265" t="s">
        <v>267</v>
      </c>
      <c r="C76" s="266"/>
      <c r="D76" s="266"/>
      <c r="E76" s="267"/>
      <c r="F76" s="262">
        <v>22406.76</v>
      </c>
      <c r="G76" s="263">
        <v>100</v>
      </c>
      <c r="H76" s="172"/>
    </row>
    <row r="77" spans="1:8" x14ac:dyDescent="0.25">
      <c r="A77" s="159" t="s">
        <v>48</v>
      </c>
      <c r="B77" s="11" t="s">
        <v>49</v>
      </c>
      <c r="D77" s="4"/>
      <c r="E77" s="4"/>
      <c r="F77" s="146"/>
      <c r="G77" s="4"/>
      <c r="H77" s="4"/>
    </row>
    <row r="78" spans="1:8" x14ac:dyDescent="0.25">
      <c r="A78" s="158"/>
      <c r="B78" s="79" t="s">
        <v>88</v>
      </c>
      <c r="D78" s="4"/>
      <c r="E78" s="4"/>
      <c r="F78" s="146"/>
      <c r="G78" s="4"/>
      <c r="H78" s="4"/>
    </row>
    <row r="79" spans="1:8" x14ac:dyDescent="0.25">
      <c r="A79" s="158"/>
      <c r="B79" s="79" t="s">
        <v>89</v>
      </c>
      <c r="D79" s="4"/>
      <c r="E79" s="4"/>
      <c r="F79" s="146"/>
      <c r="G79" s="4"/>
      <c r="H79" s="4"/>
    </row>
    <row r="80" spans="1:8" s="9" customFormat="1" x14ac:dyDescent="0.25">
      <c r="E80" s="186"/>
      <c r="F80" s="186"/>
      <c r="G80" s="186"/>
      <c r="H80" s="186"/>
    </row>
    <row r="81" spans="2:4" x14ac:dyDescent="0.25">
      <c r="B81" t="s">
        <v>136</v>
      </c>
    </row>
    <row r="82" spans="2:4" x14ac:dyDescent="0.25">
      <c r="B82" t="s">
        <v>344</v>
      </c>
    </row>
    <row r="83" spans="2:4" x14ac:dyDescent="0.25">
      <c r="B83" s="229" t="s">
        <v>388</v>
      </c>
      <c r="C83" s="230" t="s">
        <v>387</v>
      </c>
      <c r="D83" s="14"/>
    </row>
    <row r="84" spans="2:4" x14ac:dyDescent="0.25">
      <c r="B84" s="11"/>
    </row>
    <row r="85" spans="2:4" x14ac:dyDescent="0.25">
      <c r="B85" s="11"/>
    </row>
  </sheetData>
  <mergeCells count="8">
    <mergeCell ref="B1:H1"/>
    <mergeCell ref="B2:H2"/>
    <mergeCell ref="G4:H4"/>
    <mergeCell ref="B10:D10"/>
    <mergeCell ref="G12:H12"/>
    <mergeCell ref="G13:H13"/>
    <mergeCell ref="E4:F4"/>
    <mergeCell ref="E12:F12"/>
  </mergeCells>
  <hyperlinks>
    <hyperlink ref="C83" r:id="rId1" xr:uid="{E903DA27-69BE-4489-89F3-43D5AB119F5D}"/>
  </hyperlinks>
  <pageMargins left="0.7" right="0.7" top="0.75" bottom="0.75" header="0.3" footer="0.3"/>
  <pageSetup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B877-BAF3-40DB-8EEE-A6E599B2E5FB}">
  <sheetPr codeName="Sheet10"/>
  <dimension ref="A1:I74"/>
  <sheetViews>
    <sheetView showGridLines="0" zoomScaleNormal="100" workbookViewId="0"/>
  </sheetViews>
  <sheetFormatPr defaultColWidth="17.7109375" defaultRowHeight="15" x14ac:dyDescent="0.25"/>
  <cols>
    <col min="1" max="1" width="4.28515625" style="222" customWidth="1"/>
    <col min="2" max="2" width="51.28515625" style="222" customWidth="1"/>
    <col min="3" max="3" width="23.28515625" style="222" customWidth="1"/>
    <col min="4" max="4" width="19.7109375" style="222" customWidth="1"/>
    <col min="5" max="5" width="27.85546875" style="222" customWidth="1"/>
    <col min="6" max="6" width="29.7109375" style="222" customWidth="1"/>
    <col min="7" max="7" width="34" style="222" customWidth="1"/>
    <col min="8" max="8" width="14.5703125" style="222" customWidth="1"/>
    <col min="9" max="9" width="17.28515625" style="222" customWidth="1"/>
    <col min="10" max="10" width="19" style="222" bestFit="1" customWidth="1"/>
    <col min="11" max="11" width="20.42578125" style="222" bestFit="1" customWidth="1"/>
    <col min="12" max="15" width="17.7109375" style="222"/>
    <col min="16" max="16" width="22.5703125" style="222" bestFit="1" customWidth="1"/>
    <col min="17" max="16384" width="17.7109375" style="222"/>
  </cols>
  <sheetData>
    <row r="1" spans="2:9" ht="21.75" x14ac:dyDescent="0.3">
      <c r="B1" s="272" t="s">
        <v>394</v>
      </c>
      <c r="C1" s="272"/>
      <c r="D1" s="272"/>
      <c r="E1" s="272"/>
      <c r="F1" s="272"/>
      <c r="G1" s="272"/>
      <c r="H1" s="272"/>
    </row>
    <row r="2" spans="2:9" s="11" customFormat="1" ht="17.25" customHeight="1" x14ac:dyDescent="0.25">
      <c r="B2" s="276" t="s">
        <v>395</v>
      </c>
      <c r="C2" s="276"/>
      <c r="D2" s="276"/>
      <c r="E2" s="276"/>
      <c r="F2" s="276"/>
      <c r="G2" s="276"/>
      <c r="H2" s="276"/>
    </row>
    <row r="3" spans="2:9" ht="9.75" customHeight="1" x14ac:dyDescent="0.25">
      <c r="B3" s="232"/>
      <c r="C3" s="232"/>
      <c r="D3" s="233"/>
      <c r="F3" s="234"/>
      <c r="G3" s="234"/>
      <c r="H3" s="234"/>
    </row>
    <row r="4" spans="2:9" s="11" customFormat="1" ht="21" x14ac:dyDescent="0.25">
      <c r="B4" s="235"/>
      <c r="C4" s="236"/>
      <c r="D4" s="237"/>
      <c r="E4" s="273" t="s">
        <v>9</v>
      </c>
      <c r="F4" s="275"/>
      <c r="G4" s="273" t="s">
        <v>56</v>
      </c>
      <c r="H4" s="275"/>
    </row>
    <row r="5" spans="2:9" ht="15.75" x14ac:dyDescent="0.25">
      <c r="B5" s="54" t="s">
        <v>2</v>
      </c>
      <c r="C5" s="11"/>
      <c r="D5" s="11"/>
      <c r="E5" s="25"/>
      <c r="F5" s="238"/>
      <c r="G5" s="129"/>
      <c r="H5" s="239"/>
      <c r="I5" s="11"/>
    </row>
    <row r="6" spans="2:9" x14ac:dyDescent="0.25">
      <c r="B6" s="25" t="s">
        <v>396</v>
      </c>
      <c r="C6" s="11"/>
      <c r="D6" s="240"/>
      <c r="E6" s="25"/>
      <c r="F6" s="238"/>
      <c r="G6" s="150"/>
      <c r="H6" s="58"/>
      <c r="I6" s="11"/>
    </row>
    <row r="7" spans="2:9" x14ac:dyDescent="0.25">
      <c r="B7" s="25" t="s">
        <v>397</v>
      </c>
      <c r="C7" s="11"/>
      <c r="D7" s="11"/>
      <c r="E7" s="25"/>
      <c r="F7" s="238"/>
      <c r="G7" s="25"/>
      <c r="H7" s="238"/>
      <c r="I7" s="11"/>
    </row>
    <row r="8" spans="2:9" x14ac:dyDescent="0.25">
      <c r="B8" s="25"/>
      <c r="C8" s="11"/>
      <c r="D8" s="11"/>
      <c r="E8" s="25"/>
      <c r="F8" s="238"/>
      <c r="G8" s="25"/>
      <c r="H8" s="238"/>
      <c r="I8" s="11"/>
    </row>
    <row r="9" spans="2:9" x14ac:dyDescent="0.25">
      <c r="B9" s="25"/>
      <c r="C9" s="11"/>
      <c r="D9" s="11"/>
      <c r="E9" s="25"/>
      <c r="F9" s="238"/>
      <c r="G9" s="25"/>
      <c r="H9" s="238"/>
      <c r="I9" s="11"/>
    </row>
    <row r="10" spans="2:9" ht="29.25" customHeight="1" x14ac:dyDescent="0.25">
      <c r="B10" s="282" t="s">
        <v>8</v>
      </c>
      <c r="C10" s="307"/>
      <c r="D10" s="307"/>
      <c r="E10" s="25"/>
      <c r="F10" s="238"/>
      <c r="G10" s="25"/>
      <c r="H10" s="238"/>
      <c r="I10" s="11"/>
    </row>
    <row r="11" spans="2:9" ht="26.25" customHeight="1" x14ac:dyDescent="0.25">
      <c r="B11" s="25"/>
      <c r="C11" s="11"/>
      <c r="D11" s="11"/>
      <c r="E11" s="25"/>
      <c r="F11" s="238"/>
      <c r="G11" s="25"/>
      <c r="H11" s="238"/>
      <c r="I11" s="11"/>
    </row>
    <row r="12" spans="2:9" x14ac:dyDescent="0.25">
      <c r="B12" s="25"/>
      <c r="C12" s="11"/>
      <c r="D12" s="240"/>
      <c r="E12" s="288" t="s">
        <v>398</v>
      </c>
      <c r="F12" s="289"/>
      <c r="G12" s="284" t="s">
        <v>79</v>
      </c>
      <c r="H12" s="285"/>
      <c r="I12" s="11"/>
    </row>
    <row r="13" spans="2:9" ht="27.75" customHeight="1" x14ac:dyDescent="0.25">
      <c r="B13" s="26"/>
      <c r="C13" s="27"/>
      <c r="D13" s="27"/>
      <c r="E13" s="241"/>
      <c r="F13" s="242"/>
      <c r="G13" s="305" t="s">
        <v>399</v>
      </c>
      <c r="H13" s="306"/>
    </row>
    <row r="14" spans="2:9" ht="7.5" customHeight="1" x14ac:dyDescent="0.25">
      <c r="B14" s="132"/>
      <c r="C14" s="22"/>
      <c r="D14" s="22"/>
      <c r="G14" s="31"/>
    </row>
    <row r="15" spans="2:9" x14ac:dyDescent="0.25">
      <c r="B15" s="132"/>
      <c r="C15" s="243" t="s">
        <v>29</v>
      </c>
      <c r="D15" s="244"/>
      <c r="E15" s="244"/>
      <c r="F15" s="245"/>
    </row>
    <row r="16" spans="2:9" ht="15" customHeight="1" x14ac:dyDescent="0.25">
      <c r="B16" s="132"/>
      <c r="C16" s="246" t="s">
        <v>20</v>
      </c>
      <c r="D16" s="247" t="s">
        <v>80</v>
      </c>
      <c r="E16" s="247" t="s">
        <v>81</v>
      </c>
      <c r="F16" s="247" t="s">
        <v>82</v>
      </c>
    </row>
    <row r="17" spans="1:8" x14ac:dyDescent="0.25">
      <c r="B17" s="132"/>
      <c r="C17" s="246" t="s">
        <v>24</v>
      </c>
      <c r="D17" s="231" t="s">
        <v>83</v>
      </c>
      <c r="E17" s="231" t="s">
        <v>84</v>
      </c>
      <c r="F17" s="231" t="s">
        <v>85</v>
      </c>
    </row>
    <row r="18" spans="1:8" x14ac:dyDescent="0.25">
      <c r="B18" s="132"/>
      <c r="C18" s="248" t="s">
        <v>25</v>
      </c>
      <c r="D18" s="249"/>
      <c r="E18" s="250" t="s">
        <v>86</v>
      </c>
      <c r="F18" s="249"/>
    </row>
    <row r="19" spans="1:8" x14ac:dyDescent="0.25">
      <c r="B19" s="132"/>
      <c r="C19" s="248" t="s">
        <v>27</v>
      </c>
      <c r="D19" s="249"/>
      <c r="E19" s="249"/>
      <c r="F19" s="249"/>
    </row>
    <row r="20" spans="1:8" x14ac:dyDescent="0.25">
      <c r="B20" s="132"/>
      <c r="C20" s="248" t="s">
        <v>28</v>
      </c>
      <c r="D20" s="249"/>
      <c r="E20" s="249"/>
      <c r="F20" s="249"/>
    </row>
    <row r="21" spans="1:8" ht="15.75" x14ac:dyDescent="0.25">
      <c r="B21" s="132"/>
      <c r="C21" s="251" t="s">
        <v>87</v>
      </c>
      <c r="D21" s="252"/>
      <c r="E21" s="252"/>
      <c r="F21" s="253"/>
    </row>
    <row r="22" spans="1:8" x14ac:dyDescent="0.25">
      <c r="B22" s="132"/>
      <c r="C22" s="22"/>
      <c r="D22" s="22"/>
      <c r="G22" s="31"/>
    </row>
    <row r="23" spans="1:8" x14ac:dyDescent="0.25">
      <c r="A23" s="42"/>
      <c r="B23" s="121" t="s">
        <v>419</v>
      </c>
      <c r="C23" s="193"/>
      <c r="D23" s="193"/>
      <c r="E23" s="193"/>
      <c r="F23" s="193"/>
      <c r="G23" s="193"/>
      <c r="H23" s="41"/>
    </row>
    <row r="24" spans="1:8" ht="1.5" customHeight="1" x14ac:dyDescent="0.25">
      <c r="A24" s="42"/>
      <c r="B24" s="121"/>
      <c r="C24" s="121"/>
      <c r="D24" s="121"/>
      <c r="E24" s="121"/>
      <c r="F24" s="121"/>
      <c r="G24" s="121"/>
      <c r="H24" s="42"/>
    </row>
    <row r="25" spans="1:8" ht="3.75" customHeight="1" x14ac:dyDescent="0.25">
      <c r="A25" s="42"/>
      <c r="B25" s="121"/>
      <c r="C25" s="121"/>
      <c r="D25" s="121"/>
      <c r="E25" s="121"/>
      <c r="F25" s="121"/>
      <c r="G25" s="121"/>
      <c r="H25" s="42"/>
    </row>
    <row r="26" spans="1:8" x14ac:dyDescent="0.25">
      <c r="A26" s="42"/>
      <c r="B26" s="121" t="s">
        <v>475</v>
      </c>
      <c r="C26" s="42"/>
      <c r="D26" s="42"/>
      <c r="E26" s="43"/>
      <c r="F26" s="42"/>
      <c r="G26" s="42"/>
      <c r="H26" s="42"/>
    </row>
    <row r="27" spans="1:8" ht="15.75" thickBot="1" x14ac:dyDescent="0.3">
      <c r="A27" s="42"/>
      <c r="B27" s="258" t="s">
        <v>122</v>
      </c>
      <c r="C27" s="258" t="s">
        <v>123</v>
      </c>
      <c r="D27" s="258" t="s">
        <v>124</v>
      </c>
      <c r="E27" s="259" t="s">
        <v>125</v>
      </c>
      <c r="F27" s="260" t="s">
        <v>126</v>
      </c>
      <c r="G27" s="261" t="s">
        <v>51</v>
      </c>
      <c r="H27" s="261" t="s">
        <v>127</v>
      </c>
    </row>
    <row r="28" spans="1:8" x14ac:dyDescent="0.25">
      <c r="A28" s="42"/>
      <c r="B28" s="254"/>
      <c r="C28" s="254"/>
      <c r="D28" s="254"/>
      <c r="E28" s="224"/>
      <c r="F28" s="160"/>
      <c r="G28" s="161"/>
      <c r="H28" s="162"/>
    </row>
    <row r="29" spans="1:8" x14ac:dyDescent="0.25">
      <c r="A29" s="42"/>
      <c r="B29" s="163" t="s">
        <v>264</v>
      </c>
      <c r="C29" s="164"/>
      <c r="D29" s="164"/>
      <c r="E29" s="165"/>
      <c r="F29" s="166"/>
      <c r="G29" s="167"/>
      <c r="H29" s="168"/>
    </row>
    <row r="30" spans="1:8" x14ac:dyDescent="0.25">
      <c r="A30" s="42"/>
      <c r="B30" s="254"/>
      <c r="C30" s="254"/>
      <c r="D30" s="254"/>
      <c r="E30" s="224"/>
      <c r="F30" s="160"/>
      <c r="G30" s="161"/>
      <c r="H30" s="162"/>
    </row>
    <row r="31" spans="1:8" x14ac:dyDescent="0.25">
      <c r="B31" s="173" t="s">
        <v>333</v>
      </c>
      <c r="C31" s="174"/>
      <c r="D31" s="174"/>
      <c r="E31" s="175"/>
      <c r="F31" s="176"/>
      <c r="G31" s="177"/>
      <c r="H31" s="178"/>
    </row>
    <row r="32" spans="1:8" x14ac:dyDescent="0.25">
      <c r="A32" s="223" t="s">
        <v>48</v>
      </c>
      <c r="B32" s="254" t="s">
        <v>466</v>
      </c>
      <c r="C32" s="254" t="s">
        <v>456</v>
      </c>
      <c r="D32" s="254" t="s">
        <v>377</v>
      </c>
      <c r="E32" s="224">
        <v>1300000</v>
      </c>
      <c r="F32" s="160">
        <v>1251.22</v>
      </c>
      <c r="G32" s="161">
        <v>13.06</v>
      </c>
      <c r="H32" s="162">
        <v>6.6191000000000004</v>
      </c>
    </row>
    <row r="33" spans="1:8" x14ac:dyDescent="0.25">
      <c r="A33" s="223" t="s">
        <v>48</v>
      </c>
      <c r="B33" s="254" t="s">
        <v>471</v>
      </c>
      <c r="C33" s="254" t="s">
        <v>452</v>
      </c>
      <c r="D33" s="254" t="s">
        <v>334</v>
      </c>
      <c r="E33" s="224">
        <v>1000000</v>
      </c>
      <c r="F33" s="160">
        <v>987.99</v>
      </c>
      <c r="G33" s="161">
        <v>10.31</v>
      </c>
      <c r="H33" s="162">
        <v>6.08</v>
      </c>
    </row>
    <row r="34" spans="1:8" x14ac:dyDescent="0.25">
      <c r="A34" s="223" t="s">
        <v>48</v>
      </c>
      <c r="B34" s="254" t="s">
        <v>457</v>
      </c>
      <c r="C34" s="254" t="s">
        <v>458</v>
      </c>
      <c r="D34" s="254" t="s">
        <v>377</v>
      </c>
      <c r="E34" s="224">
        <v>1000000</v>
      </c>
      <c r="F34" s="160">
        <v>986.88</v>
      </c>
      <c r="G34" s="161">
        <v>10.3</v>
      </c>
      <c r="H34" s="162">
        <v>6.0651000000000002</v>
      </c>
    </row>
    <row r="35" spans="1:8" x14ac:dyDescent="0.25">
      <c r="A35" s="223" t="s">
        <v>48</v>
      </c>
      <c r="B35" s="254" t="s">
        <v>453</v>
      </c>
      <c r="C35" s="254" t="s">
        <v>454</v>
      </c>
      <c r="D35" s="254" t="s">
        <v>409</v>
      </c>
      <c r="E35" s="224">
        <v>1000000</v>
      </c>
      <c r="F35" s="160">
        <v>958.65</v>
      </c>
      <c r="G35" s="161">
        <v>10</v>
      </c>
      <c r="H35" s="162">
        <v>6.6999000000000004</v>
      </c>
    </row>
    <row r="36" spans="1:8" x14ac:dyDescent="0.25">
      <c r="A36" s="223" t="s">
        <v>48</v>
      </c>
      <c r="B36" s="254" t="s">
        <v>463</v>
      </c>
      <c r="C36" s="254" t="s">
        <v>464</v>
      </c>
      <c r="D36" s="254" t="s">
        <v>334</v>
      </c>
      <c r="E36" s="224">
        <v>1000000</v>
      </c>
      <c r="F36" s="160">
        <v>954.81</v>
      </c>
      <c r="G36" s="161">
        <v>9.9600000000000009</v>
      </c>
      <c r="H36" s="162">
        <v>6.7224000000000004</v>
      </c>
    </row>
    <row r="37" spans="1:8" x14ac:dyDescent="0.25">
      <c r="A37" s="223"/>
      <c r="B37" s="169" t="s">
        <v>245</v>
      </c>
      <c r="C37" s="169"/>
      <c r="D37" s="169"/>
      <c r="E37" s="170"/>
      <c r="F37" s="262">
        <v>5139.55</v>
      </c>
      <c r="G37" s="263">
        <v>53.63</v>
      </c>
      <c r="H37" s="171"/>
    </row>
    <row r="38" spans="1:8" x14ac:dyDescent="0.25">
      <c r="B38" s="254"/>
      <c r="C38" s="254"/>
      <c r="D38" s="254"/>
      <c r="E38" s="224"/>
      <c r="F38" s="160"/>
      <c r="G38" s="161"/>
      <c r="H38" s="162"/>
    </row>
    <row r="39" spans="1:8" x14ac:dyDescent="0.25">
      <c r="A39" s="223"/>
      <c r="B39" s="173" t="s">
        <v>335</v>
      </c>
      <c r="C39" s="174"/>
      <c r="D39" s="174"/>
      <c r="E39" s="175"/>
      <c r="F39" s="176"/>
      <c r="G39" s="177"/>
      <c r="H39" s="178"/>
    </row>
    <row r="40" spans="1:8" x14ac:dyDescent="0.25">
      <c r="A40" s="223" t="s">
        <v>48</v>
      </c>
      <c r="B40" s="254" t="s">
        <v>412</v>
      </c>
      <c r="C40" s="254" t="s">
        <v>413</v>
      </c>
      <c r="D40" s="254" t="s">
        <v>334</v>
      </c>
      <c r="E40" s="224">
        <v>1500000</v>
      </c>
      <c r="F40" s="160">
        <v>1427.63</v>
      </c>
      <c r="G40" s="161">
        <v>14.9</v>
      </c>
      <c r="H40" s="162">
        <v>7.8399000000000001</v>
      </c>
    </row>
    <row r="41" spans="1:8" x14ac:dyDescent="0.25">
      <c r="A41" s="223" t="s">
        <v>48</v>
      </c>
      <c r="B41" s="254" t="s">
        <v>459</v>
      </c>
      <c r="C41" s="254" t="s">
        <v>460</v>
      </c>
      <c r="D41" s="254" t="s">
        <v>334</v>
      </c>
      <c r="E41" s="224">
        <v>1000000</v>
      </c>
      <c r="F41" s="160">
        <v>986.65</v>
      </c>
      <c r="G41" s="161">
        <v>10.29</v>
      </c>
      <c r="H41" s="162">
        <v>6.2500999999999998</v>
      </c>
    </row>
    <row r="42" spans="1:8" x14ac:dyDescent="0.25">
      <c r="A42" s="223" t="s">
        <v>48</v>
      </c>
      <c r="B42" s="254" t="s">
        <v>410</v>
      </c>
      <c r="C42" s="254" t="s">
        <v>411</v>
      </c>
      <c r="D42" s="254" t="s">
        <v>334</v>
      </c>
      <c r="E42" s="224">
        <v>1000000</v>
      </c>
      <c r="F42" s="160">
        <v>956.64</v>
      </c>
      <c r="G42" s="161">
        <v>9.98</v>
      </c>
      <c r="H42" s="162">
        <v>7.07</v>
      </c>
    </row>
    <row r="43" spans="1:8" x14ac:dyDescent="0.25">
      <c r="B43" s="169" t="s">
        <v>245</v>
      </c>
      <c r="C43" s="169"/>
      <c r="D43" s="169"/>
      <c r="E43" s="170"/>
      <c r="F43" s="262">
        <v>3370.92</v>
      </c>
      <c r="G43" s="263">
        <v>35.17</v>
      </c>
      <c r="H43" s="171"/>
    </row>
    <row r="44" spans="1:8" x14ac:dyDescent="0.25">
      <c r="A44" s="223"/>
      <c r="B44" s="254"/>
      <c r="C44" s="254"/>
      <c r="D44" s="254"/>
      <c r="E44" s="224"/>
      <c r="F44" s="160"/>
      <c r="G44" s="161"/>
      <c r="H44" s="162"/>
    </row>
    <row r="45" spans="1:8" x14ac:dyDescent="0.25">
      <c r="A45" s="223"/>
      <c r="B45" s="173" t="s">
        <v>265</v>
      </c>
      <c r="C45" s="174"/>
      <c r="D45" s="174"/>
      <c r="E45" s="175"/>
      <c r="F45" s="176"/>
      <c r="G45" s="177"/>
      <c r="H45" s="178"/>
    </row>
    <row r="46" spans="1:8" x14ac:dyDescent="0.25">
      <c r="A46" s="223" t="s">
        <v>48</v>
      </c>
      <c r="B46" s="254" t="s">
        <v>427</v>
      </c>
      <c r="C46" s="254" t="s">
        <v>428</v>
      </c>
      <c r="D46" s="254" t="s">
        <v>255</v>
      </c>
      <c r="E46" s="224">
        <v>500000</v>
      </c>
      <c r="F46" s="160">
        <v>494.68</v>
      </c>
      <c r="G46" s="161">
        <v>5.16</v>
      </c>
      <c r="H46" s="162">
        <v>5.1699000000000002</v>
      </c>
    </row>
    <row r="47" spans="1:8" x14ac:dyDescent="0.25">
      <c r="A47" s="223" t="s">
        <v>48</v>
      </c>
      <c r="B47" s="254" t="s">
        <v>400</v>
      </c>
      <c r="C47" s="254" t="s">
        <v>401</v>
      </c>
      <c r="D47" s="254" t="s">
        <v>255</v>
      </c>
      <c r="E47" s="224">
        <v>500000</v>
      </c>
      <c r="F47" s="160">
        <v>488.44</v>
      </c>
      <c r="G47" s="161">
        <v>5.0999999999999996</v>
      </c>
      <c r="H47" s="162">
        <v>5.4324000000000003</v>
      </c>
    </row>
    <row r="48" spans="1:8" x14ac:dyDescent="0.25">
      <c r="B48" s="169" t="s">
        <v>245</v>
      </c>
      <c r="C48" s="169"/>
      <c r="D48" s="169"/>
      <c r="E48" s="170"/>
      <c r="F48" s="262">
        <v>983.12</v>
      </c>
      <c r="G48" s="263">
        <v>10.26</v>
      </c>
      <c r="H48" s="171"/>
    </row>
    <row r="49" spans="1:8" x14ac:dyDescent="0.25">
      <c r="B49" s="254"/>
      <c r="C49" s="254"/>
      <c r="D49" s="254"/>
      <c r="E49" s="224"/>
      <c r="F49" s="160"/>
      <c r="G49" s="161"/>
      <c r="H49" s="162"/>
    </row>
    <row r="50" spans="1:8" x14ac:dyDescent="0.25">
      <c r="B50" s="265" t="s">
        <v>248</v>
      </c>
      <c r="C50" s="266"/>
      <c r="D50" s="266"/>
      <c r="E50" s="267"/>
      <c r="F50" s="262">
        <v>9493.59</v>
      </c>
      <c r="G50" s="263">
        <v>99.06</v>
      </c>
      <c r="H50" s="171"/>
    </row>
    <row r="51" spans="1:8" x14ac:dyDescent="0.25">
      <c r="A51" s="223"/>
      <c r="B51" s="254"/>
      <c r="C51" s="254"/>
      <c r="D51" s="254"/>
      <c r="E51" s="224"/>
      <c r="F51" s="160"/>
      <c r="G51" s="161"/>
      <c r="H51" s="162"/>
    </row>
    <row r="52" spans="1:8" x14ac:dyDescent="0.25">
      <c r="A52" s="223"/>
      <c r="B52" s="254"/>
      <c r="C52" s="254"/>
      <c r="D52" s="254"/>
      <c r="E52" s="224"/>
      <c r="F52" s="160"/>
      <c r="G52" s="161"/>
      <c r="H52" s="162"/>
    </row>
    <row r="53" spans="1:8" x14ac:dyDescent="0.25">
      <c r="B53" s="163" t="s">
        <v>382</v>
      </c>
      <c r="C53" s="164"/>
      <c r="D53" s="164"/>
      <c r="E53" s="165"/>
      <c r="F53" s="166"/>
      <c r="G53" s="167"/>
      <c r="H53" s="168"/>
    </row>
    <row r="54" spans="1:8" x14ac:dyDescent="0.25">
      <c r="B54" s="254" t="s">
        <v>476</v>
      </c>
      <c r="C54" s="254" t="s">
        <v>467</v>
      </c>
      <c r="D54" s="254"/>
      <c r="E54" s="224"/>
      <c r="F54" s="160">
        <v>3</v>
      </c>
      <c r="G54" s="161">
        <v>0.03</v>
      </c>
      <c r="H54" s="162">
        <v>5.1081000000000003</v>
      </c>
    </row>
    <row r="55" spans="1:8" x14ac:dyDescent="0.25">
      <c r="B55" s="169" t="s">
        <v>245</v>
      </c>
      <c r="C55" s="169"/>
      <c r="D55" s="169"/>
      <c r="E55" s="170"/>
      <c r="F55" s="262">
        <v>3</v>
      </c>
      <c r="G55" s="263">
        <v>0.03</v>
      </c>
      <c r="H55" s="171"/>
    </row>
    <row r="56" spans="1:8" x14ac:dyDescent="0.25">
      <c r="B56" s="254"/>
      <c r="C56" s="254"/>
      <c r="D56" s="254"/>
      <c r="E56" s="224"/>
      <c r="F56" s="160"/>
      <c r="G56" s="161"/>
      <c r="H56" s="162"/>
    </row>
    <row r="57" spans="1:8" x14ac:dyDescent="0.25">
      <c r="B57" s="265" t="s">
        <v>248</v>
      </c>
      <c r="C57" s="266"/>
      <c r="D57" s="266"/>
      <c r="E57" s="267"/>
      <c r="F57" s="262">
        <v>3</v>
      </c>
      <c r="G57" s="263">
        <v>0.03</v>
      </c>
      <c r="H57" s="171"/>
    </row>
    <row r="58" spans="1:8" x14ac:dyDescent="0.25">
      <c r="B58" s="254"/>
      <c r="C58" s="254"/>
      <c r="D58" s="254"/>
      <c r="E58" s="224"/>
      <c r="F58" s="160"/>
      <c r="G58" s="161"/>
      <c r="H58" s="162"/>
    </row>
    <row r="59" spans="1:8" x14ac:dyDescent="0.25">
      <c r="B59" s="163" t="s">
        <v>403</v>
      </c>
      <c r="C59" s="164"/>
      <c r="D59" s="164"/>
      <c r="E59" s="165"/>
      <c r="F59" s="166"/>
      <c r="G59" s="167"/>
      <c r="H59" s="168"/>
    </row>
    <row r="60" spans="1:8" x14ac:dyDescent="0.25">
      <c r="B60" s="254" t="s">
        <v>402</v>
      </c>
      <c r="C60" s="254" t="s">
        <v>469</v>
      </c>
      <c r="D60" s="254"/>
      <c r="E60" s="224"/>
      <c r="F60" s="160">
        <v>93.92</v>
      </c>
      <c r="G60" s="161">
        <v>0.98</v>
      </c>
      <c r="H60" s="162">
        <v>5.22</v>
      </c>
    </row>
    <row r="61" spans="1:8" x14ac:dyDescent="0.25">
      <c r="B61" s="169" t="s">
        <v>245</v>
      </c>
      <c r="C61" s="169"/>
      <c r="D61" s="169"/>
      <c r="E61" s="170"/>
      <c r="F61" s="262">
        <v>93.92</v>
      </c>
      <c r="G61" s="263">
        <v>0.98</v>
      </c>
      <c r="H61" s="171"/>
    </row>
    <row r="62" spans="1:8" x14ac:dyDescent="0.25">
      <c r="B62" s="254"/>
      <c r="C62" s="254"/>
      <c r="D62" s="254"/>
      <c r="E62" s="224"/>
      <c r="F62" s="160"/>
      <c r="G62" s="161"/>
      <c r="H62" s="162"/>
    </row>
    <row r="63" spans="1:8" x14ac:dyDescent="0.25">
      <c r="B63" s="265" t="s">
        <v>248</v>
      </c>
      <c r="C63" s="266"/>
      <c r="D63" s="266"/>
      <c r="E63" s="267"/>
      <c r="F63" s="262">
        <v>93.92</v>
      </c>
      <c r="G63" s="263">
        <v>0.98</v>
      </c>
      <c r="H63" s="171"/>
    </row>
    <row r="64" spans="1:8" x14ac:dyDescent="0.25">
      <c r="B64" s="254"/>
      <c r="C64" s="254"/>
      <c r="D64" s="254"/>
      <c r="E64" s="224"/>
      <c r="F64" s="160"/>
      <c r="G64" s="161"/>
      <c r="H64" s="162"/>
    </row>
    <row r="65" spans="1:8" x14ac:dyDescent="0.25">
      <c r="B65" s="254" t="s">
        <v>266</v>
      </c>
      <c r="C65" s="254"/>
      <c r="D65" s="254"/>
      <c r="E65" s="224"/>
      <c r="F65" s="179">
        <v>-6.58</v>
      </c>
      <c r="G65" s="161">
        <v>-7.000000000000739E-2</v>
      </c>
      <c r="H65" s="162"/>
    </row>
    <row r="66" spans="1:8" x14ac:dyDescent="0.25">
      <c r="B66" s="254"/>
      <c r="C66" s="254"/>
      <c r="D66" s="254"/>
      <c r="E66" s="224"/>
      <c r="F66" s="160"/>
      <c r="G66" s="161"/>
      <c r="H66" s="162"/>
    </row>
    <row r="67" spans="1:8" x14ac:dyDescent="0.25">
      <c r="B67" s="265" t="s">
        <v>267</v>
      </c>
      <c r="C67" s="266"/>
      <c r="D67" s="266"/>
      <c r="E67" s="267"/>
      <c r="F67" s="262">
        <v>9583.93</v>
      </c>
      <c r="G67" s="263">
        <v>100</v>
      </c>
      <c r="H67" s="172"/>
    </row>
    <row r="68" spans="1:8" x14ac:dyDescent="0.25">
      <c r="A68" s="223" t="s">
        <v>48</v>
      </c>
      <c r="B68" s="11" t="s">
        <v>49</v>
      </c>
      <c r="D68" s="4"/>
      <c r="E68" s="4"/>
      <c r="F68" s="146"/>
      <c r="G68" s="4"/>
      <c r="H68" s="4"/>
    </row>
    <row r="69" spans="1:8" x14ac:dyDescent="0.25">
      <c r="A69" s="158"/>
      <c r="B69" s="79" t="s">
        <v>88</v>
      </c>
      <c r="D69" s="4"/>
      <c r="E69" s="4"/>
      <c r="F69" s="146"/>
      <c r="G69" s="4"/>
      <c r="H69" s="4"/>
    </row>
    <row r="70" spans="1:8" x14ac:dyDescent="0.25">
      <c r="A70" s="158"/>
      <c r="B70" s="79" t="s">
        <v>89</v>
      </c>
      <c r="D70" s="4"/>
      <c r="E70" s="4"/>
      <c r="F70" s="146"/>
      <c r="G70" s="4"/>
      <c r="H70" s="4"/>
    </row>
    <row r="71" spans="1:8" x14ac:dyDescent="0.25">
      <c r="A71" s="9"/>
      <c r="B71" s="9"/>
      <c r="C71" s="9"/>
      <c r="D71" s="9"/>
      <c r="E71" s="186"/>
      <c r="F71" s="186"/>
      <c r="G71" s="186"/>
      <c r="H71" s="186"/>
    </row>
    <row r="72" spans="1:8" x14ac:dyDescent="0.25">
      <c r="B72" s="222" t="s">
        <v>136</v>
      </c>
    </row>
    <row r="73" spans="1:8" x14ac:dyDescent="0.25">
      <c r="B73" s="222" t="s">
        <v>344</v>
      </c>
    </row>
    <row r="74" spans="1:8" x14ac:dyDescent="0.25">
      <c r="B74" s="229" t="s">
        <v>388</v>
      </c>
      <c r="C74" s="230" t="s">
        <v>387</v>
      </c>
      <c r="D74" s="14"/>
    </row>
  </sheetData>
  <mergeCells count="8">
    <mergeCell ref="G13:H13"/>
    <mergeCell ref="B1:H1"/>
    <mergeCell ref="B2:H2"/>
    <mergeCell ref="E4:F4"/>
    <mergeCell ref="G4:H4"/>
    <mergeCell ref="B10:D10"/>
    <mergeCell ref="E12:F12"/>
    <mergeCell ref="G12:H12"/>
  </mergeCells>
  <hyperlinks>
    <hyperlink ref="C74" r:id="rId1" xr:uid="{B5E30AE1-BE68-49B3-A582-37FB47BEBBF3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Shriram Aggressive Hybrid Fund</vt:lpstr>
      <vt:lpstr>Shriram Flexi Cap Fund</vt:lpstr>
      <vt:lpstr>Shriram ELSS Tax Saver Fund</vt:lpstr>
      <vt:lpstr>Shriram Balanced Advantage Fund</vt:lpstr>
      <vt:lpstr>Shriram Multi Asset Allocation</vt:lpstr>
      <vt:lpstr>Shriram Multi Sector Rotation</vt:lpstr>
      <vt:lpstr>Shriram Overnight Fund</vt:lpstr>
      <vt:lpstr>Shriram Nifty1D Rate Liquid ETF</vt:lpstr>
      <vt:lpstr>Shriram Liquid Fund</vt:lpstr>
      <vt:lpstr>Shriram Money Market Fund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tanmoy</dc:creator>
  <cp:lastModifiedBy>Lokesh Ramchandani</cp:lastModifiedBy>
  <cp:lastPrinted>2025-06-06T10:23:34Z</cp:lastPrinted>
  <dcterms:created xsi:type="dcterms:W3CDTF">2017-12-05T09:16:08Z</dcterms:created>
  <dcterms:modified xsi:type="dcterms:W3CDTF">2026-07-06T07:22:55Z</dcterms:modified>
</cp:coreProperties>
</file>