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Shriram AMC\2026\June-2026\Portfolio_Jun'26\"/>
    </mc:Choice>
  </mc:AlternateContent>
  <xr:revisionPtr revIDLastSave="0" documentId="13_ncr:1_{345A8038-AFFF-4F90-801D-0004B03D0B6F}" xr6:coauthVersionLast="47" xr6:coauthVersionMax="47" xr10:uidLastSave="{00000000-0000-0000-0000-000000000000}"/>
  <bookViews>
    <workbookView xWindow="-108" yWindow="-108" windowWidth="23256" windowHeight="13896" tabRatio="730" xr2:uid="{A7B792B4-185F-43EC-96C4-13792A5ADB9A}"/>
  </bookViews>
  <sheets>
    <sheet name="Shriram Overnight Fund" sheetId="5" r:id="rId1"/>
    <sheet name="Shriram Nifty1D Rate Liquid ETF" sheetId="7" r:id="rId2"/>
    <sheet name="Shriram Liquid Fund" sheetId="8" r:id="rId3"/>
    <sheet name="Shriram Money Market Fund" sheetId="9" r:id="rId4"/>
  </sheets>
  <definedNames>
    <definedName name="_xlnm._FilterDatabase" localSheetId="2" hidden="1">'Shriram Liquid Fund'!$A$28:$M$62</definedName>
    <definedName name="_xlnm._FilterDatabase" localSheetId="3" hidden="1">'Shriram Money Market Fund'!$A$28:$M$67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3" i="7" l="1"/>
  <c r="E89" i="8"/>
  <c r="E94" i="9"/>
  <c r="E108" i="5"/>
</calcChain>
</file>

<file path=xl/sharedStrings.xml><?xml version="1.0" encoding="utf-8"?>
<sst xmlns="http://schemas.openxmlformats.org/spreadsheetml/2006/main" count="442" uniqueCount="174">
  <si>
    <t>Notes :</t>
  </si>
  <si>
    <t>NAVs per unit (Rs.)</t>
  </si>
  <si>
    <t>Plan Name</t>
  </si>
  <si>
    <t>Record Date</t>
  </si>
  <si>
    <t>Nav as on Record Date</t>
  </si>
  <si>
    <t>Individuals and HUF</t>
  </si>
  <si>
    <t>This product is suitable for investors who are seeking*:</t>
  </si>
  <si>
    <t>*Investors should consult their financial advisers if in doubt
about whether the product is suitable for them.</t>
  </si>
  <si>
    <t>Scheme Riskometer</t>
  </si>
  <si>
    <t>Shriram Overnight Fund</t>
  </si>
  <si>
    <r>
      <t>•</t>
    </r>
    <r>
      <rPr>
        <sz val="11"/>
        <color indexed="8"/>
        <rFont val="Calibri"/>
        <family val="2"/>
      </rPr>
      <t>     Returns commensurate with low risk and convenience of liquidity over short term</t>
    </r>
  </si>
  <si>
    <r>
      <t>•</t>
    </r>
    <r>
      <rPr>
        <sz val="7"/>
        <color indexed="8"/>
        <rFont val="Calibri"/>
        <family val="2"/>
      </rPr>
      <t>     </t>
    </r>
    <r>
      <rPr>
        <sz val="11"/>
        <color indexed="8"/>
        <rFont val="Calibri"/>
        <family val="2"/>
      </rPr>
      <t>  Investment in debt and money market instruments with overnight maturity.</t>
    </r>
  </si>
  <si>
    <r>
      <t>•</t>
    </r>
    <r>
      <rPr>
        <sz val="7"/>
        <color indexed="8"/>
        <rFont val="Calibri"/>
        <family val="2"/>
      </rPr>
      <t xml:space="preserve">        </t>
    </r>
    <r>
      <rPr>
        <sz val="11"/>
        <color indexed="8"/>
        <rFont val="Calibri"/>
        <family val="2"/>
      </rPr>
      <t>Low Risk</t>
    </r>
  </si>
  <si>
    <t>Benchmark riskometer is at low risk</t>
  </si>
  <si>
    <t>Shriram Overnight Fund - Direct Growth</t>
  </si>
  <si>
    <t>Shriram Overnight Fund - Direct Daily IDCW</t>
  </si>
  <si>
    <t>Shriram Overnight Fund - Regular Growth</t>
  </si>
  <si>
    <t>Shriram Overnight Fund - Regular Daily IDCW</t>
  </si>
  <si>
    <t>Shriram Overnight Fund - Regular Monthly IDCW</t>
  </si>
  <si>
    <t>Others</t>
  </si>
  <si>
    <t>Credit Risk</t>
  </si>
  <si>
    <t>Relatively Low (Class A)</t>
  </si>
  <si>
    <t>Moderate (Class B)</t>
  </si>
  <si>
    <t>Relatively High (Class C)</t>
  </si>
  <si>
    <t>Interest Rate Risk</t>
  </si>
  <si>
    <t>Relatively Low (Class I)</t>
  </si>
  <si>
    <t>A-I</t>
  </si>
  <si>
    <t>Moderate (Class II)</t>
  </si>
  <si>
    <t>Relatively High (Class III)</t>
  </si>
  <si>
    <t>Potential Risk Class (Maximum risk the Scheme can take)</t>
  </si>
  <si>
    <t>A-I - A Scheme with Relatively Low Interest Rate Risk and Relatively Low Credit Risk.</t>
  </si>
  <si>
    <t>1) NAV History</t>
  </si>
  <si>
    <t>Scheme Name :</t>
  </si>
  <si>
    <t>Description (if any)</t>
  </si>
  <si>
    <t>Annualised Portfolio YTM* :</t>
  </si>
  <si>
    <t>As on (Date)</t>
  </si>
  <si>
    <t>* in case of semi annual YTM,  it will be annualised </t>
  </si>
  <si>
    <t>Macaulay Duration (in year)</t>
  </si>
  <si>
    <t>Shriram Overnight Fund - Direct Monthly IDCW</t>
  </si>
  <si>
    <t>|</t>
  </si>
  <si>
    <t>Top Ten Holdings</t>
  </si>
  <si>
    <t>Benchmark Riskometer</t>
  </si>
  <si>
    <t xml:space="preserve">Investors understand that their principal will be at low risk   </t>
  </si>
  <si>
    <t>Shriram Nifty 1D Rate Liquid ETF</t>
  </si>
  <si>
    <r>
      <t>•</t>
    </r>
    <r>
      <rPr>
        <sz val="11"/>
        <color indexed="8"/>
        <rFont val="Calibri"/>
        <family val="2"/>
      </rPr>
      <t>     A stable, liquid alternative to traditional savings accounts</t>
    </r>
  </si>
  <si>
    <r>
      <t>•</t>
    </r>
    <r>
      <rPr>
        <sz val="7"/>
        <color indexed="8"/>
        <rFont val="Calibri"/>
        <family val="2"/>
      </rPr>
      <t>     </t>
    </r>
    <r>
      <rPr>
        <sz val="11"/>
        <color indexed="8"/>
        <rFont val="Calibri"/>
        <family val="2"/>
      </rPr>
      <t>  Safety and liquidity for short-term funds</t>
    </r>
  </si>
  <si>
    <t>Shriram Nifty 1D Rate Liquid ETF - Growth</t>
  </si>
  <si>
    <t>There are no plans unders the scheme. The scheme offers only Growth option.</t>
  </si>
  <si>
    <t>Tracking Error</t>
  </si>
  <si>
    <t>(An open ended debt scheme investing in overnight securities. A relatively low interest rate risk and relatively Low Credit Risk)</t>
  </si>
  <si>
    <t>(An open ended Exchange Traded Fund replicating/ tracking Nifty 1D Rate Index. A relatively low interest rate risk and relatively low credit risk)</t>
  </si>
  <si>
    <t>Shriram Liquid Fund</t>
  </si>
  <si>
    <r>
      <t>•</t>
    </r>
    <r>
      <rPr>
        <sz val="7"/>
        <color indexed="8"/>
        <rFont val="Calibri"/>
        <family val="2"/>
      </rPr>
      <t>     </t>
    </r>
    <r>
      <rPr>
        <sz val="11"/>
        <color indexed="8"/>
        <rFont val="Calibri"/>
        <family val="2"/>
      </rPr>
      <t>  Safety and liquidity for shortterm funds</t>
    </r>
  </si>
  <si>
    <t>Benchmark riskometer is at low to moderate risk</t>
  </si>
  <si>
    <t xml:space="preserve">Relatively Low </t>
  </si>
  <si>
    <t>Moderate</t>
  </si>
  <si>
    <t xml:space="preserve">Relatively High </t>
  </si>
  <si>
    <t>(Class A)</t>
  </si>
  <si>
    <t xml:space="preserve"> (Class B)</t>
  </si>
  <si>
    <t>(Class C)</t>
  </si>
  <si>
    <t>B-I</t>
  </si>
  <si>
    <t>B-I - A Scheme with Relatively Low Interest Rate Risk and Relatively Moderate Credit Risk.</t>
  </si>
  <si>
    <t>#  Unlisted Security</t>
  </si>
  <si>
    <t>** Non Traded Security</t>
  </si>
  <si>
    <t>Shriram Liquid Fund - Direct Growth</t>
  </si>
  <si>
    <t>Shriram Liquid Fund - Regular Growth</t>
  </si>
  <si>
    <t>Residual Maturity (Average Maturity) (in Days)</t>
  </si>
  <si>
    <t>Modified duration (in year)</t>
  </si>
  <si>
    <t>(An open ended liquid scheme. A relatively low interest rate risk and moderate credit risk)</t>
  </si>
  <si>
    <t xml:space="preserve"> As per AMFI Tier I Benchmark
 i.e CRISIL Liquid Overnight Index</t>
  </si>
  <si>
    <t xml:space="preserve"> As per AMFI Tier I Benchmark
 i.e NIFTY 1D Rate Index</t>
  </si>
  <si>
    <t xml:space="preserve"> As per AMFI Tier I Benchmark
 i.e  Nifty Liquid Index A-I</t>
  </si>
  <si>
    <t>NSE Symbol: LIQUIDSHRI</t>
  </si>
  <si>
    <t>BSE Code: 544208</t>
  </si>
  <si>
    <t>Investors understand that their principal will be at low to moderate risk</t>
  </si>
  <si>
    <t>Portfolio Information</t>
  </si>
  <si>
    <t>SHRIRAM NIFTY 1D RATE LIQUID ETF</t>
  </si>
  <si>
    <t>Debt Index Replication Factor (DIRF)</t>
  </si>
  <si>
    <t>Name of  Instrument</t>
  </si>
  <si>
    <t>ISIN</t>
  </si>
  <si>
    <t>Industry/Rating</t>
  </si>
  <si>
    <t>Quantity</t>
  </si>
  <si>
    <t>Market/Fair Value  (INR Lacs)</t>
  </si>
  <si>
    <t>%  to Net Assets</t>
  </si>
  <si>
    <t xml:space="preserve">% Yield </t>
  </si>
  <si>
    <t>Money Market Instruments</t>
  </si>
  <si>
    <t>Treasury Bill</t>
  </si>
  <si>
    <t>SOVEREIGN</t>
  </si>
  <si>
    <t>Sub Total</t>
  </si>
  <si>
    <t>TOTAL</t>
  </si>
  <si>
    <t>Net Receivables / (Payables)</t>
  </si>
  <si>
    <t>GRAND TOTAL</t>
  </si>
  <si>
    <t>Certificate of Deposit</t>
  </si>
  <si>
    <t>CRISIL A1+</t>
  </si>
  <si>
    <t>Commercial Paper</t>
  </si>
  <si>
    <t>INF0RQ622028</t>
  </si>
  <si>
    <t>Mutual Fund Units</t>
  </si>
  <si>
    <t>CARE A1+</t>
  </si>
  <si>
    <t>ICRA A1+</t>
  </si>
  <si>
    <t>Bank of Baroda ** #</t>
  </si>
  <si>
    <t>Treps</t>
  </si>
  <si>
    <t>https://www.shriramamc.in/scheme-performance</t>
  </si>
  <si>
    <t>Clearing Corporation of India Ltd.</t>
  </si>
  <si>
    <t>Shriram Money Market Fund</t>
  </si>
  <si>
    <t>(An open-ended debt scheme investing in money market instruments. A relatively low-interest rate risk and moderate credit risk)</t>
  </si>
  <si>
    <r>
      <t>•</t>
    </r>
    <r>
      <rPr>
        <sz val="11"/>
        <color indexed="8"/>
        <rFont val="Calibri"/>
        <family val="2"/>
      </rPr>
      <t>    Regular Income over short term</t>
    </r>
  </si>
  <si>
    <r>
      <t>•</t>
    </r>
    <r>
      <rPr>
        <sz val="7"/>
        <color indexed="8"/>
        <rFont val="Calibri"/>
        <family val="2"/>
      </rPr>
      <t>    </t>
    </r>
    <r>
      <rPr>
        <sz val="11"/>
        <color indexed="8"/>
        <rFont val="Calibri"/>
        <family val="2"/>
      </rPr>
      <t> To generate income by investing in money market instrument</t>
    </r>
  </si>
  <si>
    <t xml:space="preserve"> As per AMFI Tier I Benchmark
 i.e  Nifty Money Market Index A-I</t>
  </si>
  <si>
    <t>Shriram Money Market Fund - Direct Growth</t>
  </si>
  <si>
    <t>Shriram Money Market Fund - Regular Growth</t>
  </si>
  <si>
    <t>364 DAYS TBILL RED 10-12-2026</t>
  </si>
  <si>
    <t>IN002025Z377</t>
  </si>
  <si>
    <t>SHRIRAM OVERNIGHT FUND</t>
  </si>
  <si>
    <t>Reverse Repo</t>
  </si>
  <si>
    <t>SHRIRAM LIQUID FUND</t>
  </si>
  <si>
    <t>SHRIRAM MONEY MARKET FUND</t>
  </si>
  <si>
    <t>Kotak Securities Ltd. **</t>
  </si>
  <si>
    <t>INE028E14VB2</t>
  </si>
  <si>
    <t>360 One Prime Ltd. **</t>
  </si>
  <si>
    <t>INE248U14TE0</t>
  </si>
  <si>
    <t>Face Value per unit: Rs. 1000/-</t>
  </si>
  <si>
    <t>2) Dividend History: The scheme does not offer an Income Distribution cum Capital Withdrawal (IDCW) option.</t>
  </si>
  <si>
    <t>3) Total below investment grade or default provided for and its percentage to NAV : Nil</t>
  </si>
  <si>
    <t>4) Total investments in Foreign Securities / Overseas ETFs / ADRs / GDRs : Nil</t>
  </si>
  <si>
    <t>5) Repo in Corporate Debt : Nil</t>
  </si>
  <si>
    <t>6) Total outstanding exposure in Derivative Instruments : Nil</t>
  </si>
  <si>
    <t>9) Please refer to the following link for Scheme Performance:</t>
  </si>
  <si>
    <t>8) Risk-o-Meter of the Scheme Portfolio and its Benchmark Portfolio, based on the latest monthly portfolio disclosures.</t>
  </si>
  <si>
    <t>182 DAYS TBILL RED 18-09-2026</t>
  </si>
  <si>
    <t>IN002025Y503</t>
  </si>
  <si>
    <t>Axis Bank Ltd. ** #</t>
  </si>
  <si>
    <t>INE040A16JL4</t>
  </si>
  <si>
    <t>INE028A16MK5</t>
  </si>
  <si>
    <t>INE238AD6CJ4</t>
  </si>
  <si>
    <t>ICICI Securities Ltd. **</t>
  </si>
  <si>
    <t>INE763G14J15</t>
  </si>
  <si>
    <t>7) Average Portfolio Maturity: 1 Day</t>
  </si>
  <si>
    <t>Face Value</t>
  </si>
  <si>
    <t>Dividend Per Unit (Rs) for</t>
  </si>
  <si>
    <t>Maturity Date</t>
  </si>
  <si>
    <t>Punjab National Bank ** #</t>
  </si>
  <si>
    <t>INE160A16VE0</t>
  </si>
  <si>
    <t>INE261F14PT0</t>
  </si>
  <si>
    <t>91 DAYS TBILL RED 10-09-2026</t>
  </si>
  <si>
    <t>IN002026X107</t>
  </si>
  <si>
    <t>June 15, 2026</t>
  </si>
  <si>
    <t>INTREP010726</t>
  </si>
  <si>
    <t>INR010760550</t>
  </si>
  <si>
    <t>INR010760548</t>
  </si>
  <si>
    <t>HDFC Bank Ltd. #</t>
  </si>
  <si>
    <t>Canara Bank ** #</t>
  </si>
  <si>
    <t>INE476A16I18</t>
  </si>
  <si>
    <t>Union Bank of India ** #</t>
  </si>
  <si>
    <t>INE692A16MN2</t>
  </si>
  <si>
    <t>National Bank for Agriculture &amp; Rural Development</t>
  </si>
  <si>
    <t>Small Industries Development Bank of India **</t>
  </si>
  <si>
    <t>INE556F14MM5</t>
  </si>
  <si>
    <t>INE028E14XD4</t>
  </si>
  <si>
    <t>HDFC Securities Ltd. **</t>
  </si>
  <si>
    <t>INE700G14UQ1</t>
  </si>
  <si>
    <t>SBI CDMDF--A2</t>
  </si>
  <si>
    <t>Bank of Baroda #</t>
  </si>
  <si>
    <t>INE028A16LF7</t>
  </si>
  <si>
    <t>INE040A16IO0</t>
  </si>
  <si>
    <t>National Bank for Agriculture &amp; Rural Development ** #</t>
  </si>
  <si>
    <t>INE261F16AQ3</t>
  </si>
  <si>
    <t>INR010760545</t>
  </si>
  <si>
    <t>June 30, 2026</t>
  </si>
  <si>
    <t>7) Average Portfolio Maturity: 133.4 Days</t>
  </si>
  <si>
    <t>7) Average Portfolio Maturity: 72.6 Days</t>
  </si>
  <si>
    <t>Portfolio Statement as on June 30, 2026</t>
  </si>
  <si>
    <t>2) Dividend History – Dividends declared during the fortnight ended June 30, 2026</t>
  </si>
  <si>
    <t>Face Value per unit: Rs. 1000/-   ( Face value of each unit changed from Rs. 10/- to Rs. 1,000/- with effect from 30-May-2026)</t>
  </si>
  <si>
    <t>IDCW - Income Distribution cum Capital Withdrawal option  (Daily IDCW Option offer Reinvestment facilities)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</si>
</sst>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3" formatCode="_(* #,##0.00_);_(* \(#,##0.00\);_(* &quot;-&quot;??_);_(@_)"/>
    <numFmt numFmtId="164" formatCode="_ * #,##0.00_ ;_ * \-#,##0.00_ ;_ * &quot;-&quot;??_ ;_ @_ "/>
    <numFmt numFmtId="165" formatCode="#,##0.00_);\(##,##0\)"/>
    <numFmt numFmtId="166" formatCode="[$-409]mmmm\ d\,\ yyyy;@"/>
    <numFmt numFmtId="167" formatCode="0.0000"/>
    <numFmt numFmtId="168" formatCode="0.000"/>
    <numFmt numFmtId="169" formatCode="#,##0.00_);\(##,##0.00\)"/>
    <numFmt numFmtId="170" formatCode="dd\.mm\.yyyy"/>
    <numFmt numFmtId="171" formatCode="##,###,##0"/>
    <numFmt numFmtId="172" formatCode="0.00000000"/>
    <numFmt numFmtId="173" formatCode="0.0"/>
    <numFmt numFmtId="174" formatCode="0.000000"/>
    <numFmt numFmtId="175" formatCode="0.000000000"/>
    <numFmt numFmtId="176" formatCode="[$-409]d/mmm/yy;@"/>
  </numFmts>
  <fonts count="38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7"/>
      <color indexed="8"/>
      <name val="Tahoma"/>
      <family val="2"/>
    </font>
    <font>
      <b/>
      <sz val="10"/>
      <name val="Tahoma"/>
      <family val="2"/>
    </font>
    <font>
      <sz val="10"/>
      <name val="Arial Unicode MS"/>
      <family val="2"/>
    </font>
    <font>
      <sz val="7"/>
      <color indexed="8"/>
      <name val="Calibri"/>
      <family val="2"/>
    </font>
    <font>
      <i/>
      <sz val="9"/>
      <name val="Arial Unicode MS"/>
      <family val="2"/>
    </font>
    <font>
      <sz val="10"/>
      <color indexed="8"/>
      <name val="Calibri"/>
      <family val="2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3"/>
      <name val="Tahoma"/>
      <family val="2"/>
    </font>
    <font>
      <sz val="7"/>
      <color rgb="FF000000"/>
      <name val="Tahoma"/>
      <family val="2"/>
    </font>
    <font>
      <sz val="11"/>
      <name val="Calibri"/>
      <family val="2"/>
      <scheme val="minor"/>
    </font>
    <font>
      <sz val="10"/>
      <color rgb="FF000000"/>
      <name val="Tahoma"/>
      <family val="2"/>
    </font>
    <font>
      <sz val="7"/>
      <color rgb="FFFF0000"/>
      <name val="Tahoma"/>
      <family val="2"/>
    </font>
    <font>
      <i/>
      <sz val="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3"/>
      <name val="Tahoma"/>
      <family val="2"/>
    </font>
    <font>
      <i/>
      <sz val="9"/>
      <color theme="1"/>
      <name val="Calibri"/>
      <family val="2"/>
      <scheme val="minor"/>
    </font>
    <font>
      <sz val="10"/>
      <color theme="1"/>
      <name val="Tahoma"/>
      <family val="2"/>
    </font>
    <font>
      <sz val="10"/>
      <color rgb="FF0000CC"/>
      <name val="Wingdings"/>
      <charset val="2"/>
    </font>
    <font>
      <i/>
      <sz val="8"/>
      <color rgb="FF000000"/>
      <name val="Tahoma"/>
      <family val="2"/>
    </font>
    <font>
      <b/>
      <sz val="12"/>
      <color theme="1"/>
      <name val="Calibri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.5"/>
      <color theme="1"/>
      <name val="Calibri"/>
      <family val="2"/>
    </font>
    <font>
      <b/>
      <sz val="9"/>
      <color theme="1"/>
      <name val="Arial"/>
      <family val="2"/>
    </font>
    <font>
      <sz val="11"/>
      <color rgb="FF00B0F0"/>
      <name val="Calibri"/>
      <family val="2"/>
      <scheme val="minor"/>
    </font>
    <font>
      <sz val="11"/>
      <color theme="0" tint="-0.14999847407452621"/>
      <name val="Calibri"/>
      <family val="2"/>
      <scheme val="minor"/>
    </font>
    <font>
      <sz val="9"/>
      <name val="Calibri"/>
      <family val="2"/>
      <scheme val="minor"/>
    </font>
    <font>
      <sz val="9"/>
      <color theme="1"/>
      <name val="Arial"/>
      <family val="2"/>
    </font>
    <font>
      <sz val="11"/>
      <color theme="0" tint="-4.9989318521683403E-2"/>
      <name val="Calibri"/>
      <family val="2"/>
      <scheme val="minor"/>
    </font>
    <font>
      <sz val="1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9"/>
      <color theme="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D9D9D9"/>
        <bgColor rgb="FF000000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9" tint="0.39997558519241921"/>
        <bgColor indexed="64"/>
      </patternFill>
    </fill>
  </fills>
  <borders count="17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9" fillId="0" borderId="0" applyNumberFormat="0" applyFill="0" applyBorder="0" applyAlignment="0" applyProtection="0"/>
    <xf numFmtId="0" fontId="8" fillId="0" borderId="0"/>
    <xf numFmtId="9" fontId="8" fillId="0" borderId="0" applyFont="0" applyFill="0" applyBorder="0" applyAlignment="0" applyProtection="0"/>
  </cellStyleXfs>
  <cellXfs count="196">
    <xf numFmtId="0" fontId="0" fillId="0" borderId="0" xfId="0"/>
    <xf numFmtId="4" fontId="0" fillId="0" borderId="0" xfId="0" applyNumberFormat="1"/>
    <xf numFmtId="0" fontId="11" fillId="0" borderId="0" xfId="0" applyFont="1"/>
    <xf numFmtId="0" fontId="12" fillId="0" borderId="0" xfId="0" applyFont="1" applyAlignment="1">
      <alignment wrapText="1"/>
    </xf>
    <xf numFmtId="0" fontId="13" fillId="0" borderId="0" xfId="0" applyFont="1"/>
    <xf numFmtId="0" fontId="0" fillId="0" borderId="0" xfId="0" applyAlignment="1">
      <alignment vertical="center"/>
    </xf>
    <xf numFmtId="0" fontId="13" fillId="0" borderId="0" xfId="0" applyFont="1" applyAlignment="1">
      <alignment vertical="center"/>
    </xf>
    <xf numFmtId="4" fontId="13" fillId="0" borderId="0" xfId="0" applyNumberFormat="1" applyFont="1"/>
    <xf numFmtId="0" fontId="14" fillId="0" borderId="0" xfId="0" applyFont="1"/>
    <xf numFmtId="0" fontId="10" fillId="0" borderId="0" xfId="0" applyFont="1" applyAlignment="1">
      <alignment horizontal="center"/>
    </xf>
    <xf numFmtId="0" fontId="0" fillId="0" borderId="1" xfId="0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10" fillId="0" borderId="4" xfId="0" applyFont="1" applyBorder="1" applyAlignment="1">
      <alignment horizontal="center"/>
    </xf>
    <xf numFmtId="0" fontId="0" fillId="0" borderId="5" xfId="0" applyBorder="1"/>
    <xf numFmtId="0" fontId="15" fillId="0" borderId="0" xfId="0" applyFont="1" applyAlignment="1">
      <alignment wrapText="1"/>
    </xf>
    <xf numFmtId="0" fontId="0" fillId="0" borderId="6" xfId="0" applyBorder="1" applyAlignment="1">
      <alignment vertical="center"/>
    </xf>
    <xf numFmtId="0" fontId="0" fillId="0" borderId="0" xfId="0" applyAlignment="1">
      <alignment vertical="top"/>
    </xf>
    <xf numFmtId="0" fontId="16" fillId="0" borderId="0" xfId="0" applyFont="1" applyAlignment="1">
      <alignment horizontal="left"/>
    </xf>
    <xf numFmtId="0" fontId="10" fillId="0" borderId="7" xfId="0" applyFont="1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7" xfId="0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3" xfId="0" applyBorder="1"/>
    <xf numFmtId="0" fontId="17" fillId="0" borderId="2" xfId="0" applyFont="1" applyBorder="1" applyAlignment="1">
      <alignment vertical="center"/>
    </xf>
    <xf numFmtId="0" fontId="10" fillId="3" borderId="8" xfId="0" applyFont="1" applyFill="1" applyBorder="1" applyAlignment="1">
      <alignment vertical="center"/>
    </xf>
    <xf numFmtId="0" fontId="0" fillId="3" borderId="9" xfId="0" applyFill="1" applyBorder="1" applyAlignment="1">
      <alignment vertical="center"/>
    </xf>
    <xf numFmtId="0" fontId="18" fillId="3" borderId="9" xfId="0" applyFont="1" applyFill="1" applyBorder="1" applyAlignment="1">
      <alignment horizontal="right" vertical="center"/>
    </xf>
    <xf numFmtId="0" fontId="1" fillId="0" borderId="1" xfId="0" applyFont="1" applyBorder="1" applyAlignment="1">
      <alignment vertical="center" wrapText="1"/>
    </xf>
    <xf numFmtId="166" fontId="3" fillId="2" borderId="7" xfId="0" applyNumberFormat="1" applyFont="1" applyFill="1" applyBorder="1" applyAlignment="1">
      <alignment horizontal="center" vertical="center"/>
    </xf>
    <xf numFmtId="0" fontId="19" fillId="0" borderId="0" xfId="0" applyFont="1" applyAlignment="1">
      <alignment horizontal="left" vertical="center"/>
    </xf>
    <xf numFmtId="0" fontId="11" fillId="0" borderId="0" xfId="0" applyFont="1" applyAlignment="1">
      <alignment vertical="center"/>
    </xf>
    <xf numFmtId="4" fontId="0" fillId="0" borderId="0" xfId="0" applyNumberFormat="1" applyAlignment="1">
      <alignment vertical="center"/>
    </xf>
    <xf numFmtId="0" fontId="10" fillId="0" borderId="4" xfId="0" applyFont="1" applyBorder="1" applyAlignment="1">
      <alignment horizontal="center" vertical="center"/>
    </xf>
    <xf numFmtId="0" fontId="0" fillId="0" borderId="5" xfId="0" applyBorder="1" applyAlignment="1">
      <alignment vertical="center"/>
    </xf>
    <xf numFmtId="0" fontId="20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  <xf numFmtId="0" fontId="16" fillId="0" borderId="0" xfId="0" applyFont="1" applyAlignment="1">
      <alignment horizontal="left" vertical="center"/>
    </xf>
    <xf numFmtId="4" fontId="13" fillId="0" borderId="0" xfId="0" applyNumberFormat="1" applyFont="1" applyAlignment="1">
      <alignment vertical="center"/>
    </xf>
    <xf numFmtId="0" fontId="21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3" fillId="2" borderId="7" xfId="0" applyFont="1" applyFill="1" applyBorder="1" applyAlignment="1">
      <alignment horizontal="left" vertical="center"/>
    </xf>
    <xf numFmtId="0" fontId="4" fillId="0" borderId="7" xfId="0" applyFont="1" applyBorder="1" applyAlignment="1">
      <alignment vertical="center"/>
    </xf>
    <xf numFmtId="0" fontId="14" fillId="0" borderId="0" xfId="0" applyFont="1" applyAlignment="1">
      <alignment vertical="center" wrapText="1"/>
    </xf>
    <xf numFmtId="0" fontId="22" fillId="0" borderId="0" xfId="0" applyFont="1" applyAlignment="1">
      <alignment horizontal="right" vertical="center"/>
    </xf>
    <xf numFmtId="0" fontId="23" fillId="0" borderId="0" xfId="0" applyFont="1" applyAlignment="1">
      <alignment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0" fontId="24" fillId="0" borderId="9" xfId="0" applyFont="1" applyBorder="1" applyAlignment="1">
      <alignment horizontal="center" vertical="center"/>
    </xf>
    <xf numFmtId="0" fontId="24" fillId="0" borderId="12" xfId="0" applyFont="1" applyBorder="1" applyAlignment="1">
      <alignment horizontal="center" vertical="center"/>
    </xf>
    <xf numFmtId="0" fontId="0" fillId="0" borderId="13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25" fillId="0" borderId="9" xfId="0" applyFont="1" applyBorder="1" applyAlignment="1">
      <alignment horizontal="center" vertical="center"/>
    </xf>
    <xf numFmtId="0" fontId="25" fillId="0" borderId="12" xfId="0" applyFont="1" applyBorder="1" applyAlignment="1">
      <alignment horizontal="center" vertical="center"/>
    </xf>
    <xf numFmtId="0" fontId="11" fillId="0" borderId="0" xfId="0" applyFont="1" applyAlignment="1">
      <alignment horizontal="left"/>
    </xf>
    <xf numFmtId="0" fontId="7" fillId="0" borderId="10" xfId="0" applyFont="1" applyBorder="1" applyAlignment="1">
      <alignment vertical="center" wrapText="1"/>
    </xf>
    <xf numFmtId="0" fontId="26" fillId="0" borderId="11" xfId="0" applyFont="1" applyBorder="1" applyAlignment="1">
      <alignment vertical="center" wrapText="1"/>
    </xf>
    <xf numFmtId="0" fontId="20" fillId="0" borderId="0" xfId="0" applyFont="1" applyAlignment="1">
      <alignment horizontal="left"/>
    </xf>
    <xf numFmtId="0" fontId="25" fillId="0" borderId="8" xfId="0" applyFont="1" applyBorder="1" applyAlignment="1">
      <alignment horizontal="left" vertical="center"/>
    </xf>
    <xf numFmtId="0" fontId="24" fillId="0" borderId="8" xfId="0" applyFont="1" applyBorder="1" applyAlignment="1">
      <alignment horizontal="left" vertical="center"/>
    </xf>
    <xf numFmtId="0" fontId="27" fillId="0" borderId="0" xfId="0" applyFont="1"/>
    <xf numFmtId="0" fontId="27" fillId="0" borderId="0" xfId="0" applyFont="1" applyAlignment="1">
      <alignment wrapText="1"/>
    </xf>
    <xf numFmtId="0" fontId="27" fillId="0" borderId="0" xfId="0" applyFont="1" applyAlignment="1">
      <alignment horizontal="left"/>
    </xf>
    <xf numFmtId="0" fontId="27" fillId="0" borderId="0" xfId="0" applyFont="1" applyAlignment="1">
      <alignment horizontal="center"/>
    </xf>
    <xf numFmtId="0" fontId="27" fillId="0" borderId="0" xfId="0" applyFont="1" applyAlignment="1">
      <alignment horizontal="center" wrapText="1"/>
    </xf>
    <xf numFmtId="0" fontId="0" fillId="0" borderId="0" xfId="0" applyAlignment="1">
      <alignment wrapText="1"/>
    </xf>
    <xf numFmtId="172" fontId="0" fillId="0" borderId="0" xfId="0" applyNumberFormat="1"/>
    <xf numFmtId="0" fontId="13" fillId="0" borderId="7" xfId="2" applyFont="1" applyBorder="1" applyAlignment="1">
      <alignment horizontal="left" vertical="center"/>
    </xf>
    <xf numFmtId="0" fontId="28" fillId="0" borderId="8" xfId="0" applyFont="1" applyBorder="1" applyAlignment="1">
      <alignment horizontal="left" vertical="center"/>
    </xf>
    <xf numFmtId="43" fontId="15" fillId="0" borderId="0" xfId="0" applyNumberFormat="1" applyFont="1" applyAlignment="1">
      <alignment wrapText="1"/>
    </xf>
    <xf numFmtId="0" fontId="1" fillId="0" borderId="2" xfId="0" applyFont="1" applyBorder="1" applyAlignment="1">
      <alignment vertical="center" wrapText="1"/>
    </xf>
    <xf numFmtId="0" fontId="29" fillId="0" borderId="0" xfId="0" applyFont="1" applyAlignment="1">
      <alignment horizontal="left" vertical="center"/>
    </xf>
    <xf numFmtId="171" fontId="29" fillId="0" borderId="0" xfId="0" applyNumberFormat="1" applyFont="1" applyAlignment="1">
      <alignment vertical="center"/>
    </xf>
    <xf numFmtId="43" fontId="29" fillId="0" borderId="0" xfId="0" applyNumberFormat="1" applyFont="1" applyAlignment="1">
      <alignment vertical="center"/>
    </xf>
    <xf numFmtId="43" fontId="29" fillId="0" borderId="0" xfId="0" applyNumberFormat="1" applyFont="1" applyAlignment="1">
      <alignment horizontal="right" vertical="center"/>
    </xf>
    <xf numFmtId="43" fontId="29" fillId="0" borderId="0" xfId="3" applyNumberFormat="1" applyFont="1" applyBorder="1" applyAlignment="1">
      <alignment vertical="center"/>
    </xf>
    <xf numFmtId="0" fontId="0" fillId="4" borderId="0" xfId="0" applyFill="1" applyAlignment="1">
      <alignment vertical="center" wrapText="1"/>
    </xf>
    <xf numFmtId="0" fontId="13" fillId="4" borderId="7" xfId="0" applyFont="1" applyFill="1" applyBorder="1" applyAlignment="1">
      <alignment horizontal="left" vertical="center" wrapText="1"/>
    </xf>
    <xf numFmtId="0" fontId="13" fillId="0" borderId="7" xfId="0" applyFont="1" applyBorder="1" applyAlignment="1">
      <alignment horizontal="center" vertical="center" wrapText="1"/>
    </xf>
    <xf numFmtId="10" fontId="13" fillId="0" borderId="7" xfId="3" applyNumberFormat="1" applyFont="1" applyFill="1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170" fontId="13" fillId="0" borderId="7" xfId="0" applyNumberFormat="1" applyFont="1" applyBorder="1" applyAlignment="1">
      <alignment horizontal="center" vertical="center" wrapText="1"/>
    </xf>
    <xf numFmtId="0" fontId="13" fillId="0" borderId="7" xfId="0" applyFont="1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43" fontId="13" fillId="0" borderId="0" xfId="0" applyNumberFormat="1" applyFont="1"/>
    <xf numFmtId="43" fontId="12" fillId="0" borderId="0" xfId="0" applyNumberFormat="1" applyFont="1" applyAlignment="1">
      <alignment wrapText="1"/>
    </xf>
    <xf numFmtId="0" fontId="30" fillId="0" borderId="0" xfId="0" applyFont="1" applyAlignment="1">
      <alignment vertical="center" wrapText="1"/>
    </xf>
    <xf numFmtId="10" fontId="13" fillId="0" borderId="7" xfId="0" applyNumberFormat="1" applyFont="1" applyBorder="1" applyAlignment="1">
      <alignment horizontal="center" vertical="center" wrapText="1"/>
    </xf>
    <xf numFmtId="10" fontId="13" fillId="0" borderId="7" xfId="0" applyNumberFormat="1" applyFont="1" applyBorder="1" applyAlignment="1">
      <alignment horizontal="center" vertical="center"/>
    </xf>
    <xf numFmtId="164" fontId="31" fillId="0" borderId="0" xfId="0" applyNumberFormat="1" applyFont="1" applyAlignment="1">
      <alignment vertical="center"/>
    </xf>
    <xf numFmtId="168" fontId="13" fillId="0" borderId="7" xfId="0" applyNumberFormat="1" applyFont="1" applyBorder="1" applyAlignment="1">
      <alignment horizontal="center" vertical="center" wrapText="1"/>
    </xf>
    <xf numFmtId="168" fontId="13" fillId="0" borderId="7" xfId="0" applyNumberFormat="1" applyFont="1" applyBorder="1" applyAlignment="1">
      <alignment horizontal="center" vertical="center"/>
    </xf>
    <xf numFmtId="0" fontId="32" fillId="0" borderId="7" xfId="0" applyFont="1" applyBorder="1" applyAlignment="1">
      <alignment horizontal="center" vertical="center"/>
    </xf>
    <xf numFmtId="1" fontId="13" fillId="0" borderId="7" xfId="0" applyNumberFormat="1" applyFont="1" applyBorder="1" applyAlignment="1">
      <alignment horizontal="center" vertical="center"/>
    </xf>
    <xf numFmtId="173" fontId="13" fillId="0" borderId="7" xfId="0" applyNumberFormat="1" applyFont="1" applyBorder="1" applyAlignment="1">
      <alignment horizontal="center" vertical="center" wrapText="1"/>
    </xf>
    <xf numFmtId="173" fontId="13" fillId="5" borderId="7" xfId="0" applyNumberFormat="1" applyFont="1" applyFill="1" applyBorder="1" applyAlignment="1">
      <alignment horizontal="center" vertical="center" wrapText="1"/>
    </xf>
    <xf numFmtId="167" fontId="0" fillId="0" borderId="7" xfId="0" applyNumberFormat="1" applyBorder="1" applyAlignment="1">
      <alignment horizontal="center" vertical="center"/>
    </xf>
    <xf numFmtId="167" fontId="0" fillId="0" borderId="0" xfId="0" applyNumberFormat="1" applyAlignment="1">
      <alignment vertical="center"/>
    </xf>
    <xf numFmtId="172" fontId="0" fillId="0" borderId="0" xfId="0" applyNumberFormat="1" applyAlignment="1">
      <alignment vertical="center"/>
    </xf>
    <xf numFmtId="0" fontId="33" fillId="0" borderId="0" xfId="0" applyFont="1" applyAlignment="1">
      <alignment vertical="center"/>
    </xf>
    <xf numFmtId="0" fontId="33" fillId="0" borderId="0" xfId="0" applyFont="1"/>
    <xf numFmtId="0" fontId="29" fillId="0" borderId="0" xfId="0" applyFont="1" applyAlignment="1">
      <alignment vertical="center"/>
    </xf>
    <xf numFmtId="171" fontId="33" fillId="0" borderId="0" xfId="0" applyNumberFormat="1" applyFont="1"/>
    <xf numFmtId="0" fontId="33" fillId="0" borderId="15" xfId="0" applyFont="1" applyBorder="1" applyAlignment="1">
      <alignment horizontal="left" vertical="center"/>
    </xf>
    <xf numFmtId="171" fontId="33" fillId="0" borderId="15" xfId="0" applyNumberFormat="1" applyFont="1" applyBorder="1" applyAlignment="1">
      <alignment vertical="center"/>
    </xf>
    <xf numFmtId="0" fontId="29" fillId="6" borderId="15" xfId="0" applyFont="1" applyFill="1" applyBorder="1" applyAlignment="1">
      <alignment horizontal="left" vertical="center"/>
    </xf>
    <xf numFmtId="0" fontId="33" fillId="6" borderId="15" xfId="0" applyFont="1" applyFill="1" applyBorder="1" applyAlignment="1">
      <alignment horizontal="left" vertical="center"/>
    </xf>
    <xf numFmtId="171" fontId="33" fillId="6" borderId="15" xfId="0" applyNumberFormat="1" applyFont="1" applyFill="1" applyBorder="1" applyAlignment="1">
      <alignment vertical="center"/>
    </xf>
    <xf numFmtId="0" fontId="29" fillId="7" borderId="15" xfId="0" applyFont="1" applyFill="1" applyBorder="1" applyAlignment="1">
      <alignment horizontal="left" vertical="center"/>
    </xf>
    <xf numFmtId="0" fontId="33" fillId="7" borderId="15" xfId="0" applyFont="1" applyFill="1" applyBorder="1" applyAlignment="1">
      <alignment horizontal="left" vertical="center"/>
    </xf>
    <xf numFmtId="171" fontId="33" fillId="7" borderId="15" xfId="0" applyNumberFormat="1" applyFont="1" applyFill="1" applyBorder="1" applyAlignment="1">
      <alignment vertical="center"/>
    </xf>
    <xf numFmtId="0" fontId="29" fillId="0" borderId="15" xfId="0" applyFont="1" applyBorder="1" applyAlignment="1">
      <alignment horizontal="left" vertical="center"/>
    </xf>
    <xf numFmtId="171" fontId="29" fillId="0" borderId="15" xfId="0" applyNumberFormat="1" applyFont="1" applyBorder="1" applyAlignment="1">
      <alignment vertical="center"/>
    </xf>
    <xf numFmtId="4" fontId="13" fillId="0" borderId="0" xfId="1" applyNumberFormat="1" applyFont="1" applyAlignment="1">
      <alignment vertical="center"/>
    </xf>
    <xf numFmtId="164" fontId="34" fillId="0" borderId="0" xfId="0" applyNumberFormat="1" applyFont="1" applyAlignment="1">
      <alignment vertical="center"/>
    </xf>
    <xf numFmtId="10" fontId="33" fillId="0" borderId="0" xfId="3" applyNumberFormat="1" applyFont="1" applyAlignment="1">
      <alignment vertical="center"/>
    </xf>
    <xf numFmtId="43" fontId="33" fillId="0" borderId="15" xfId="0" applyNumberFormat="1" applyFont="1" applyBorder="1" applyAlignment="1">
      <alignment vertical="center"/>
    </xf>
    <xf numFmtId="43" fontId="33" fillId="0" borderId="15" xfId="0" applyNumberFormat="1" applyFont="1" applyBorder="1" applyAlignment="1">
      <alignment horizontal="right" vertical="center"/>
    </xf>
    <xf numFmtId="43" fontId="33" fillId="0" borderId="15" xfId="3" applyNumberFormat="1" applyFont="1" applyBorder="1" applyAlignment="1">
      <alignment vertical="center"/>
    </xf>
    <xf numFmtId="43" fontId="33" fillId="6" borderId="15" xfId="0" applyNumberFormat="1" applyFont="1" applyFill="1" applyBorder="1" applyAlignment="1">
      <alignment vertical="center"/>
    </xf>
    <xf numFmtId="43" fontId="33" fillId="6" borderId="15" xfId="0" applyNumberFormat="1" applyFont="1" applyFill="1" applyBorder="1" applyAlignment="1">
      <alignment horizontal="right" vertical="center"/>
    </xf>
    <xf numFmtId="43" fontId="33" fillId="6" borderId="15" xfId="3" applyNumberFormat="1" applyFont="1" applyFill="1" applyBorder="1" applyAlignment="1">
      <alignment vertical="center"/>
    </xf>
    <xf numFmtId="43" fontId="33" fillId="7" borderId="15" xfId="0" applyNumberFormat="1" applyFont="1" applyFill="1" applyBorder="1" applyAlignment="1">
      <alignment vertical="center"/>
    </xf>
    <xf numFmtId="43" fontId="33" fillId="7" borderId="15" xfId="0" applyNumberFormat="1" applyFont="1" applyFill="1" applyBorder="1" applyAlignment="1">
      <alignment horizontal="right" vertical="center"/>
    </xf>
    <xf numFmtId="43" fontId="33" fillId="7" borderId="15" xfId="3" applyNumberFormat="1" applyFont="1" applyFill="1" applyBorder="1" applyAlignment="1">
      <alignment vertical="center"/>
    </xf>
    <xf numFmtId="43" fontId="29" fillId="0" borderId="15" xfId="3" applyNumberFormat="1" applyFont="1" applyBorder="1" applyAlignment="1">
      <alignment vertical="center"/>
    </xf>
    <xf numFmtId="43" fontId="29" fillId="0" borderId="14" xfId="3" applyNumberFormat="1" applyFont="1" applyBorder="1" applyAlignment="1">
      <alignment vertical="center"/>
    </xf>
    <xf numFmtId="0" fontId="13" fillId="4" borderId="7" xfId="0" applyFont="1" applyFill="1" applyBorder="1" applyAlignment="1">
      <alignment horizontal="left" vertical="center"/>
    </xf>
    <xf numFmtId="0" fontId="35" fillId="0" borderId="7" xfId="0" applyFont="1" applyBorder="1" applyAlignment="1">
      <alignment horizontal="center" vertical="center"/>
    </xf>
    <xf numFmtId="0" fontId="36" fillId="0" borderId="7" xfId="0" applyFont="1" applyBorder="1" applyAlignment="1">
      <alignment horizontal="center" vertical="center" wrapText="1"/>
    </xf>
    <xf numFmtId="166" fontId="3" fillId="8" borderId="7" xfId="0" applyNumberFormat="1" applyFont="1" applyFill="1" applyBorder="1" applyAlignment="1">
      <alignment horizontal="center" vertical="center"/>
    </xf>
    <xf numFmtId="0" fontId="35" fillId="0" borderId="0" xfId="0" applyFont="1" applyAlignment="1">
      <alignment vertical="center"/>
    </xf>
    <xf numFmtId="0" fontId="27" fillId="0" borderId="0" xfId="0" applyFont="1" applyAlignment="1">
      <alignment horizontal="left" vertical="center"/>
    </xf>
    <xf numFmtId="169" fontId="33" fillId="0" borderId="15" xfId="0" applyNumberFormat="1" applyFont="1" applyBorder="1" applyAlignment="1">
      <alignment vertical="center"/>
    </xf>
    <xf numFmtId="174" fontId="0" fillId="0" borderId="0" xfId="0" applyNumberFormat="1" applyAlignment="1">
      <alignment vertical="center"/>
    </xf>
    <xf numFmtId="175" fontId="0" fillId="0" borderId="0" xfId="0" applyNumberFormat="1" applyAlignment="1">
      <alignment vertical="center"/>
    </xf>
    <xf numFmtId="43" fontId="0" fillId="0" borderId="0" xfId="0" applyNumberFormat="1"/>
    <xf numFmtId="0" fontId="37" fillId="9" borderId="16" xfId="0" applyFont="1" applyFill="1" applyBorder="1" applyAlignment="1">
      <alignment horizontal="center" vertical="center"/>
    </xf>
    <xf numFmtId="165" fontId="37" fillId="9" borderId="16" xfId="0" applyNumberFormat="1" applyFont="1" applyFill="1" applyBorder="1" applyAlignment="1">
      <alignment horizontal="center" vertical="center"/>
    </xf>
    <xf numFmtId="169" fontId="37" fillId="9" borderId="16" xfId="0" applyNumberFormat="1" applyFont="1" applyFill="1" applyBorder="1" applyAlignment="1">
      <alignment horizontal="center" vertical="center" wrapText="1"/>
    </xf>
    <xf numFmtId="43" fontId="37" fillId="9" borderId="16" xfId="0" applyNumberFormat="1" applyFont="1" applyFill="1" applyBorder="1" applyAlignment="1">
      <alignment horizontal="center" vertical="center" wrapText="1"/>
    </xf>
    <xf numFmtId="43" fontId="29" fillId="0" borderId="7" xfId="0" applyNumberFormat="1" applyFont="1" applyBorder="1" applyAlignment="1">
      <alignment vertical="center"/>
    </xf>
    <xf numFmtId="43" fontId="29" fillId="0" borderId="7" xfId="0" applyNumberFormat="1" applyFont="1" applyBorder="1" applyAlignment="1">
      <alignment horizontal="right" vertical="center"/>
    </xf>
    <xf numFmtId="0" fontId="29" fillId="0" borderId="8" xfId="0" applyFont="1" applyBorder="1" applyAlignment="1">
      <alignment horizontal="left" vertical="center"/>
    </xf>
    <xf numFmtId="0" fontId="29" fillId="0" borderId="9" xfId="0" applyFont="1" applyBorder="1" applyAlignment="1">
      <alignment horizontal="left" vertical="center"/>
    </xf>
    <xf numFmtId="171" fontId="29" fillId="0" borderId="12" xfId="0" applyNumberFormat="1" applyFont="1" applyBorder="1" applyAlignment="1">
      <alignment vertical="center"/>
    </xf>
    <xf numFmtId="0" fontId="14" fillId="0" borderId="0" xfId="0" applyFont="1" applyAlignment="1">
      <alignment horizontal="center" vertical="center"/>
    </xf>
    <xf numFmtId="0" fontId="0" fillId="0" borderId="8" xfId="0" applyBorder="1"/>
    <xf numFmtId="0" fontId="36" fillId="0" borderId="5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15" fontId="27" fillId="0" borderId="7" xfId="0" applyNumberFormat="1" applyFont="1" applyBorder="1" applyAlignment="1">
      <alignment horizontal="center" vertical="center"/>
    </xf>
    <xf numFmtId="172" fontId="27" fillId="0" borderId="7" xfId="0" applyNumberFormat="1" applyFont="1" applyBorder="1" applyAlignment="1">
      <alignment horizontal="center" vertical="center" wrapText="1"/>
    </xf>
    <xf numFmtId="0" fontId="6" fillId="0" borderId="0" xfId="0" applyFont="1" applyAlignment="1">
      <alignment vertical="center"/>
    </xf>
    <xf numFmtId="0" fontId="0" fillId="0" borderId="0" xfId="0" applyAlignment="1">
      <alignment horizontal="center"/>
    </xf>
    <xf numFmtId="0" fontId="13" fillId="0" borderId="0" xfId="0" applyFont="1" applyAlignment="1">
      <alignment horizontal="center"/>
    </xf>
    <xf numFmtId="4" fontId="13" fillId="0" borderId="0" xfId="0" applyNumberFormat="1" applyFont="1" applyAlignment="1">
      <alignment horizontal="center"/>
    </xf>
    <xf numFmtId="0" fontId="14" fillId="0" borderId="0" xfId="0" applyFont="1" applyAlignment="1">
      <alignment horizontal="center"/>
    </xf>
    <xf numFmtId="14" fontId="33" fillId="0" borderId="15" xfId="3" applyNumberFormat="1" applyFont="1" applyBorder="1" applyAlignment="1">
      <alignment vertical="center"/>
    </xf>
    <xf numFmtId="14" fontId="33" fillId="6" borderId="15" xfId="3" applyNumberFormat="1" applyFont="1" applyFill="1" applyBorder="1" applyAlignment="1">
      <alignment vertical="center"/>
    </xf>
    <xf numFmtId="14" fontId="29" fillId="0" borderId="15" xfId="3" applyNumberFormat="1" applyFont="1" applyBorder="1" applyAlignment="1">
      <alignment vertical="center"/>
    </xf>
    <xf numFmtId="14" fontId="29" fillId="0" borderId="14" xfId="3" applyNumberFormat="1" applyFont="1" applyBorder="1" applyAlignment="1">
      <alignment vertical="center"/>
    </xf>
    <xf numFmtId="14" fontId="33" fillId="7" borderId="15" xfId="3" applyNumberFormat="1" applyFont="1" applyFill="1" applyBorder="1" applyAlignment="1">
      <alignment vertical="center"/>
    </xf>
    <xf numFmtId="0" fontId="36" fillId="0" borderId="11" xfId="0" applyFont="1" applyBorder="1" applyAlignment="1">
      <alignment horizontal="center" vertical="center" wrapText="1"/>
    </xf>
    <xf numFmtId="0" fontId="36" fillId="0" borderId="5" xfId="0" applyFont="1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8" fillId="3" borderId="8" xfId="0" applyFont="1" applyFill="1" applyBorder="1" applyAlignment="1">
      <alignment horizontal="center" vertical="center"/>
    </xf>
    <xf numFmtId="0" fontId="18" fillId="3" borderId="12" xfId="0" applyFont="1" applyFill="1" applyBorder="1" applyAlignment="1">
      <alignment horizontal="center" vertical="center"/>
    </xf>
    <xf numFmtId="0" fontId="26" fillId="0" borderId="2" xfId="0" applyFont="1" applyBorder="1" applyAlignment="1">
      <alignment horizontal="center" vertical="center"/>
    </xf>
    <xf numFmtId="0" fontId="26" fillId="0" borderId="1" xfId="0" applyFont="1" applyBorder="1" applyAlignment="1">
      <alignment horizontal="center" vertical="center"/>
    </xf>
    <xf numFmtId="0" fontId="36" fillId="0" borderId="13" xfId="0" applyFont="1" applyBorder="1" applyAlignment="1">
      <alignment horizontal="center" vertical="center" wrapText="1"/>
    </xf>
    <xf numFmtId="0" fontId="36" fillId="0" borderId="14" xfId="0" applyFont="1" applyBorder="1" applyAlignment="1">
      <alignment horizontal="center" vertical="center" wrapText="1"/>
    </xf>
    <xf numFmtId="0" fontId="36" fillId="0" borderId="8" xfId="0" applyFont="1" applyBorder="1" applyAlignment="1">
      <alignment horizontal="center" vertical="center" wrapText="1"/>
    </xf>
    <xf numFmtId="0" fontId="36" fillId="0" borderId="12" xfId="0" applyFont="1" applyBorder="1" applyAlignment="1">
      <alignment horizontal="center" vertical="center" wrapText="1"/>
    </xf>
    <xf numFmtId="0" fontId="2" fillId="10" borderId="0" xfId="0" applyFont="1" applyFill="1" applyAlignment="1">
      <alignment horizontal="center" vertical="center"/>
    </xf>
    <xf numFmtId="0" fontId="0" fillId="0" borderId="2" xfId="0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4" borderId="0" xfId="0" applyFill="1" applyAlignment="1">
      <alignment horizontal="left" vertical="center" wrapText="1"/>
    </xf>
    <xf numFmtId="0" fontId="26" fillId="0" borderId="3" xfId="0" applyFont="1" applyBorder="1" applyAlignment="1">
      <alignment horizontal="center" vertical="center" wrapText="1"/>
    </xf>
    <xf numFmtId="0" fontId="26" fillId="0" borderId="5" xfId="0" applyFont="1" applyBorder="1" applyAlignment="1">
      <alignment horizontal="center" vertical="center" wrapText="1"/>
    </xf>
    <xf numFmtId="0" fontId="24" fillId="0" borderId="8" xfId="0" applyFont="1" applyBorder="1" applyAlignment="1">
      <alignment horizontal="center" vertical="center"/>
    </xf>
    <xf numFmtId="0" fontId="24" fillId="0" borderId="9" xfId="0" applyFont="1" applyBorder="1" applyAlignment="1">
      <alignment horizontal="center" vertical="center"/>
    </xf>
    <xf numFmtId="0" fontId="24" fillId="0" borderId="12" xfId="0" applyFont="1" applyBorder="1" applyAlignment="1">
      <alignment horizontal="center" vertical="center"/>
    </xf>
    <xf numFmtId="0" fontId="25" fillId="0" borderId="8" xfId="0" applyFont="1" applyBorder="1" applyAlignment="1">
      <alignment horizontal="center" vertical="center"/>
    </xf>
    <xf numFmtId="0" fontId="25" fillId="0" borderId="9" xfId="0" applyFont="1" applyBorder="1" applyAlignment="1">
      <alignment horizontal="center" vertical="center"/>
    </xf>
    <xf numFmtId="0" fontId="25" fillId="0" borderId="12" xfId="0" applyFont="1" applyBorder="1" applyAlignment="1">
      <alignment horizontal="center" vertical="center"/>
    </xf>
    <xf numFmtId="0" fontId="36" fillId="0" borderId="7" xfId="0" applyFont="1" applyBorder="1" applyAlignment="1">
      <alignment horizontal="left" vertical="center" wrapText="1"/>
    </xf>
    <xf numFmtId="0" fontId="2" fillId="10" borderId="0" xfId="0" applyFont="1" applyFill="1" applyAlignment="1">
      <alignment horizontal="center"/>
    </xf>
    <xf numFmtId="0" fontId="26" fillId="0" borderId="2" xfId="0" applyFont="1" applyBorder="1" applyAlignment="1">
      <alignment horizontal="center" vertical="top"/>
    </xf>
    <xf numFmtId="0" fontId="26" fillId="0" borderId="1" xfId="0" applyFont="1" applyBorder="1" applyAlignment="1">
      <alignment horizontal="center" vertical="top"/>
    </xf>
    <xf numFmtId="0" fontId="26" fillId="0" borderId="3" xfId="0" applyFont="1" applyBorder="1" applyAlignment="1">
      <alignment horizontal="center" wrapText="1"/>
    </xf>
    <xf numFmtId="0" fontId="26" fillId="0" borderId="5" xfId="0" applyFont="1" applyBorder="1" applyAlignment="1">
      <alignment horizontal="center" wrapText="1"/>
    </xf>
    <xf numFmtId="176" fontId="33" fillId="0" borderId="15" xfId="0" applyNumberFormat="1" applyFont="1" applyBorder="1" applyAlignment="1">
      <alignment horizontal="right" vertical="center"/>
    </xf>
  </cellXfs>
  <cellStyles count="4">
    <cellStyle name="Hyperlink" xfId="1" builtinId="8"/>
    <cellStyle name="Normal" xfId="0" builtinId="0"/>
    <cellStyle name="Normal 2" xfId="2" xr:uid="{71ECAA07-1DF4-4E06-B881-49EC324FDCE2}"/>
    <cellStyle name="Percent" xfId="3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770890</xdr:colOff>
      <xdr:row>15</xdr:row>
      <xdr:rowOff>115569</xdr:rowOff>
    </xdr:from>
    <xdr:to>
      <xdr:col>1</xdr:col>
      <xdr:colOff>957369</xdr:colOff>
      <xdr:row>15</xdr:row>
      <xdr:rowOff>115570</xdr:rowOff>
    </xdr:to>
    <xdr:cxnSp macro="">
      <xdr:nvCxnSpPr>
        <xdr:cNvPr id="6" name="Straight Arrow Connector 5">
          <a:extLst>
            <a:ext uri="{FF2B5EF4-FFF2-40B4-BE49-F238E27FC236}">
              <a16:creationId xmlns:a16="http://schemas.microsoft.com/office/drawing/2014/main" id="{D1A5E21A-636F-B221-BCFA-812B8FEF1313}"/>
            </a:ext>
          </a:extLst>
        </xdr:cNvPr>
        <xdr:cNvCxnSpPr/>
      </xdr:nvCxnSpPr>
      <xdr:spPr>
        <a:xfrm>
          <a:off x="1447800" y="4752974"/>
          <a:ext cx="216000" cy="1"/>
        </a:xfrm>
        <a:prstGeom prst="straightConnector1">
          <a:avLst/>
        </a:prstGeom>
        <a:ln>
          <a:solidFill>
            <a:sysClr val="windowText" lastClr="00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1154271</xdr:colOff>
      <xdr:row>16</xdr:row>
      <xdr:rowOff>7780</xdr:rowOff>
    </xdr:from>
    <xdr:to>
      <xdr:col>1</xdr:col>
      <xdr:colOff>1155859</xdr:colOff>
      <xdr:row>16</xdr:row>
      <xdr:rowOff>167557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AA6B77CF-EFDD-3102-8522-741012ED53E2}"/>
            </a:ext>
          </a:extLst>
        </xdr:cNvPr>
        <xdr:cNvCxnSpPr/>
      </xdr:nvCxnSpPr>
      <xdr:spPr>
        <a:xfrm rot="5400000">
          <a:off x="1766325" y="4948801"/>
          <a:ext cx="144000" cy="1588"/>
        </a:xfrm>
        <a:prstGeom prst="straightConnector1">
          <a:avLst/>
        </a:prstGeom>
        <a:ln>
          <a:solidFill>
            <a:sysClr val="windowText" lastClr="00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6</xdr:col>
      <xdr:colOff>114300</xdr:colOff>
      <xdr:row>5</xdr:row>
      <xdr:rowOff>0</xdr:rowOff>
    </xdr:from>
    <xdr:to>
      <xdr:col>7</xdr:col>
      <xdr:colOff>990600</xdr:colOff>
      <xdr:row>10</xdr:row>
      <xdr:rowOff>276225</xdr:rowOff>
    </xdr:to>
    <xdr:pic>
      <xdr:nvPicPr>
        <xdr:cNvPr id="93222" name="Picture 7">
          <a:extLst>
            <a:ext uri="{FF2B5EF4-FFF2-40B4-BE49-F238E27FC236}">
              <a16:creationId xmlns:a16="http://schemas.microsoft.com/office/drawing/2014/main" id="{9E3B2064-1881-8EAB-21A6-7A7DD4D6F6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48850" y="1152525"/>
          <a:ext cx="2847975" cy="1304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323850</xdr:colOff>
      <xdr:row>4</xdr:row>
      <xdr:rowOff>171450</xdr:rowOff>
    </xdr:from>
    <xdr:to>
      <xdr:col>5</xdr:col>
      <xdr:colOff>1647825</xdr:colOff>
      <xdr:row>10</xdr:row>
      <xdr:rowOff>257175</xdr:rowOff>
    </xdr:to>
    <xdr:pic>
      <xdr:nvPicPr>
        <xdr:cNvPr id="93223" name="Picture 8">
          <a:extLst>
            <a:ext uri="{FF2B5EF4-FFF2-40B4-BE49-F238E27FC236}">
              <a16:creationId xmlns:a16="http://schemas.microsoft.com/office/drawing/2014/main" id="{85C37346-DD4F-2ABA-340A-64C0677109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91300" y="1123950"/>
          <a:ext cx="2847975" cy="1314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774700</xdr:colOff>
      <xdr:row>15</xdr:row>
      <xdr:rowOff>104774</xdr:rowOff>
    </xdr:from>
    <xdr:to>
      <xdr:col>2</xdr:col>
      <xdr:colOff>964104</xdr:colOff>
      <xdr:row>15</xdr:row>
      <xdr:rowOff>104775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70F3254D-9E44-6646-60F9-1159C3B80849}"/>
            </a:ext>
          </a:extLst>
        </xdr:cNvPr>
        <xdr:cNvCxnSpPr/>
      </xdr:nvCxnSpPr>
      <xdr:spPr>
        <a:xfrm>
          <a:off x="3848100" y="4086224"/>
          <a:ext cx="216000" cy="1"/>
        </a:xfrm>
        <a:prstGeom prst="straightConnector1">
          <a:avLst/>
        </a:prstGeom>
        <a:ln>
          <a:solidFill>
            <a:sysClr val="windowText" lastClr="00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1149191</xdr:colOff>
      <xdr:row>16</xdr:row>
      <xdr:rowOff>7780</xdr:rowOff>
    </xdr:from>
    <xdr:to>
      <xdr:col>2</xdr:col>
      <xdr:colOff>1150779</xdr:colOff>
      <xdr:row>16</xdr:row>
      <xdr:rowOff>167646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2CED92CA-5C0C-AE96-EC83-CACAFF0908AE}"/>
            </a:ext>
          </a:extLst>
        </xdr:cNvPr>
        <xdr:cNvCxnSpPr/>
      </xdr:nvCxnSpPr>
      <xdr:spPr>
        <a:xfrm rot="5400000">
          <a:off x="4166625" y="4272526"/>
          <a:ext cx="144000" cy="1588"/>
        </a:xfrm>
        <a:prstGeom prst="straightConnector1">
          <a:avLst/>
        </a:prstGeom>
        <a:ln>
          <a:solidFill>
            <a:sysClr val="windowText" lastClr="00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6</xdr:col>
      <xdr:colOff>95250</xdr:colOff>
      <xdr:row>5</xdr:row>
      <xdr:rowOff>161925</xdr:rowOff>
    </xdr:from>
    <xdr:to>
      <xdr:col>7</xdr:col>
      <xdr:colOff>914400</xdr:colOff>
      <xdr:row>10</xdr:row>
      <xdr:rowOff>504825</xdr:rowOff>
    </xdr:to>
    <xdr:pic>
      <xdr:nvPicPr>
        <xdr:cNvPr id="94246" name="Picture 5">
          <a:extLst>
            <a:ext uri="{FF2B5EF4-FFF2-40B4-BE49-F238E27FC236}">
              <a16:creationId xmlns:a16="http://schemas.microsoft.com/office/drawing/2014/main" id="{16B2DE7A-3645-9E8B-17F9-4AAB94A40B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53675" y="1304925"/>
          <a:ext cx="2847975" cy="1304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209550</xdr:colOff>
      <xdr:row>5</xdr:row>
      <xdr:rowOff>152400</xdr:rowOff>
    </xdr:from>
    <xdr:to>
      <xdr:col>5</xdr:col>
      <xdr:colOff>1485900</xdr:colOff>
      <xdr:row>10</xdr:row>
      <xdr:rowOff>495300</xdr:rowOff>
    </xdr:to>
    <xdr:pic>
      <xdr:nvPicPr>
        <xdr:cNvPr id="94247" name="Picture 6">
          <a:extLst>
            <a:ext uri="{FF2B5EF4-FFF2-40B4-BE49-F238E27FC236}">
              <a16:creationId xmlns:a16="http://schemas.microsoft.com/office/drawing/2014/main" id="{65E8C41F-75BD-CB6E-9B16-19E882AC61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38975" y="1295400"/>
          <a:ext cx="2847975" cy="1304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774700</xdr:colOff>
      <xdr:row>15</xdr:row>
      <xdr:rowOff>104774</xdr:rowOff>
    </xdr:from>
    <xdr:to>
      <xdr:col>2</xdr:col>
      <xdr:colOff>999704</xdr:colOff>
      <xdr:row>15</xdr:row>
      <xdr:rowOff>104775</xdr:rowOff>
    </xdr:to>
    <xdr:cxnSp macro="">
      <xdr:nvCxnSpPr>
        <xdr:cNvPr id="2" name="Straight Arrow Connector 1">
          <a:extLst>
            <a:ext uri="{FF2B5EF4-FFF2-40B4-BE49-F238E27FC236}">
              <a16:creationId xmlns:a16="http://schemas.microsoft.com/office/drawing/2014/main" id="{A07AD1BE-2E2B-1725-552B-F7B213F8E9EA}"/>
            </a:ext>
          </a:extLst>
        </xdr:cNvPr>
        <xdr:cNvCxnSpPr/>
      </xdr:nvCxnSpPr>
      <xdr:spPr>
        <a:xfrm>
          <a:off x="3848100" y="4171949"/>
          <a:ext cx="216000" cy="1"/>
        </a:xfrm>
        <a:prstGeom prst="straightConnector1">
          <a:avLst/>
        </a:prstGeom>
        <a:ln>
          <a:solidFill>
            <a:sysClr val="windowText" lastClr="00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1159351</xdr:colOff>
      <xdr:row>16</xdr:row>
      <xdr:rowOff>7780</xdr:rowOff>
    </xdr:from>
    <xdr:to>
      <xdr:col>2</xdr:col>
      <xdr:colOff>1160939</xdr:colOff>
      <xdr:row>16</xdr:row>
      <xdr:rowOff>167646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0DD364FE-BA8F-CABC-E966-8FD45C07B778}"/>
            </a:ext>
          </a:extLst>
        </xdr:cNvPr>
        <xdr:cNvCxnSpPr/>
      </xdr:nvCxnSpPr>
      <xdr:spPr>
        <a:xfrm rot="5400000">
          <a:off x="4166625" y="4358251"/>
          <a:ext cx="144000" cy="1588"/>
        </a:xfrm>
        <a:prstGeom prst="straightConnector1">
          <a:avLst/>
        </a:prstGeom>
        <a:ln>
          <a:solidFill>
            <a:sysClr val="windowText" lastClr="00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6</xdr:col>
      <xdr:colOff>104775</xdr:colOff>
      <xdr:row>4</xdr:row>
      <xdr:rowOff>161925</xdr:rowOff>
    </xdr:from>
    <xdr:to>
      <xdr:col>8</xdr:col>
      <xdr:colOff>228600</xdr:colOff>
      <xdr:row>10</xdr:row>
      <xdr:rowOff>266700</xdr:rowOff>
    </xdr:to>
    <xdr:pic>
      <xdr:nvPicPr>
        <xdr:cNvPr id="95270" name="Picture 1">
          <a:extLst>
            <a:ext uri="{FF2B5EF4-FFF2-40B4-BE49-F238E27FC236}">
              <a16:creationId xmlns:a16="http://schemas.microsoft.com/office/drawing/2014/main" id="{EFE7FB3C-8557-75E9-0F99-703FE8B70C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39400" y="1047750"/>
          <a:ext cx="3133725" cy="143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200025</xdr:colOff>
      <xdr:row>4</xdr:row>
      <xdr:rowOff>152400</xdr:rowOff>
    </xdr:from>
    <xdr:to>
      <xdr:col>5</xdr:col>
      <xdr:colOff>1466850</xdr:colOff>
      <xdr:row>10</xdr:row>
      <xdr:rowOff>257175</xdr:rowOff>
    </xdr:to>
    <xdr:pic>
      <xdr:nvPicPr>
        <xdr:cNvPr id="95271" name="Picture 6">
          <a:extLst>
            <a:ext uri="{FF2B5EF4-FFF2-40B4-BE49-F238E27FC236}">
              <a16:creationId xmlns:a16="http://schemas.microsoft.com/office/drawing/2014/main" id="{191B43AC-FD26-E045-6857-01D252526E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038225"/>
          <a:ext cx="3124200" cy="143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777240</xdr:colOff>
      <xdr:row>15</xdr:row>
      <xdr:rowOff>104774</xdr:rowOff>
    </xdr:from>
    <xdr:to>
      <xdr:col>2</xdr:col>
      <xdr:colOff>1035664</xdr:colOff>
      <xdr:row>15</xdr:row>
      <xdr:rowOff>104775</xdr:rowOff>
    </xdr:to>
    <xdr:cxnSp macro="">
      <xdr:nvCxnSpPr>
        <xdr:cNvPr id="2" name="Straight Arrow Connector 1">
          <a:extLst>
            <a:ext uri="{FF2B5EF4-FFF2-40B4-BE49-F238E27FC236}">
              <a16:creationId xmlns:a16="http://schemas.microsoft.com/office/drawing/2014/main" id="{34070562-7945-0F56-468D-E7479C1B4071}"/>
            </a:ext>
          </a:extLst>
        </xdr:cNvPr>
        <xdr:cNvCxnSpPr/>
      </xdr:nvCxnSpPr>
      <xdr:spPr>
        <a:xfrm>
          <a:off x="4474845" y="3486149"/>
          <a:ext cx="221101" cy="1"/>
        </a:xfrm>
        <a:prstGeom prst="straightConnector1">
          <a:avLst/>
        </a:prstGeom>
        <a:ln>
          <a:solidFill>
            <a:sysClr val="windowText" lastClr="00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1149826</xdr:colOff>
      <xdr:row>16</xdr:row>
      <xdr:rowOff>7780</xdr:rowOff>
    </xdr:from>
    <xdr:to>
      <xdr:col>2</xdr:col>
      <xdr:colOff>1151414</xdr:colOff>
      <xdr:row>16</xdr:row>
      <xdr:rowOff>167646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7B072E2A-C6DD-2266-120A-2AD338662895}"/>
            </a:ext>
          </a:extLst>
        </xdr:cNvPr>
        <xdr:cNvCxnSpPr/>
      </xdr:nvCxnSpPr>
      <xdr:spPr>
        <a:xfrm rot="5400000">
          <a:off x="4774396" y="3659675"/>
          <a:ext cx="161628" cy="1588"/>
        </a:xfrm>
        <a:prstGeom prst="straightConnector1">
          <a:avLst/>
        </a:prstGeom>
        <a:ln>
          <a:solidFill>
            <a:sysClr val="windowText" lastClr="00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6</xdr:col>
      <xdr:colOff>104775</xdr:colOff>
      <xdr:row>4</xdr:row>
      <xdr:rowOff>161925</xdr:rowOff>
    </xdr:from>
    <xdr:to>
      <xdr:col>7</xdr:col>
      <xdr:colOff>962025</xdr:colOff>
      <xdr:row>10</xdr:row>
      <xdr:rowOff>266700</xdr:rowOff>
    </xdr:to>
    <xdr:pic>
      <xdr:nvPicPr>
        <xdr:cNvPr id="96294" name="Picture 1">
          <a:extLst>
            <a:ext uri="{FF2B5EF4-FFF2-40B4-BE49-F238E27FC236}">
              <a16:creationId xmlns:a16="http://schemas.microsoft.com/office/drawing/2014/main" id="{615FA00E-92A0-965A-57E8-1FEB9121D4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525125" y="1047750"/>
          <a:ext cx="3124200" cy="143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200025</xdr:colOff>
      <xdr:row>4</xdr:row>
      <xdr:rowOff>152400</xdr:rowOff>
    </xdr:from>
    <xdr:to>
      <xdr:col>5</xdr:col>
      <xdr:colOff>1466850</xdr:colOff>
      <xdr:row>10</xdr:row>
      <xdr:rowOff>257175</xdr:rowOff>
    </xdr:to>
    <xdr:pic>
      <xdr:nvPicPr>
        <xdr:cNvPr id="96295" name="Picture 6">
          <a:extLst>
            <a:ext uri="{FF2B5EF4-FFF2-40B4-BE49-F238E27FC236}">
              <a16:creationId xmlns:a16="http://schemas.microsoft.com/office/drawing/2014/main" id="{C7F7120A-9407-B175-19D4-2F42862C04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91325" y="1038225"/>
          <a:ext cx="3124200" cy="143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shriramamc.in/scheme-performance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www.shriramamc.in/scheme-performance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www.shriramamc.in/scheme-performance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s://www.shriramamc.in/scheme-performanc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64C63E-ED36-4268-8BC8-0D37EAF40AB1}">
  <sheetPr codeName="Sheet1"/>
  <dimension ref="A1:L117"/>
  <sheetViews>
    <sheetView showGridLines="0" tabSelected="1" workbookViewId="0">
      <selection activeCell="B1" sqref="B1:H1"/>
    </sheetView>
  </sheetViews>
  <sheetFormatPr defaultColWidth="17.5546875" defaultRowHeight="14.4"/>
  <cols>
    <col min="1" max="1" width="3.5546875" style="5" customWidth="1"/>
    <col min="2" max="2" width="47.88671875" style="5" customWidth="1"/>
    <col min="3" max="3" width="22.5546875" style="5" customWidth="1"/>
    <col min="4" max="4" width="20" style="5" customWidth="1"/>
    <col min="5" max="5" width="22.88671875" style="5" customWidth="1"/>
    <col min="6" max="6" width="29.109375" style="5" customWidth="1"/>
    <col min="7" max="7" width="29.5546875" style="5" customWidth="1"/>
    <col min="8" max="8" width="15" style="5" customWidth="1"/>
    <col min="9" max="9" width="12.109375" style="5" bestFit="1" customWidth="1"/>
    <col min="10" max="16384" width="17.5546875" style="5"/>
  </cols>
  <sheetData>
    <row r="1" spans="2:8" ht="21">
      <c r="B1" s="177" t="s">
        <v>9</v>
      </c>
      <c r="C1" s="177"/>
      <c r="D1" s="177"/>
      <c r="E1" s="177"/>
      <c r="F1" s="177"/>
      <c r="G1" s="177"/>
      <c r="H1" s="177"/>
    </row>
    <row r="2" spans="2:8" ht="17.25" customHeight="1">
      <c r="B2" s="168" t="s">
        <v>49</v>
      </c>
      <c r="C2" s="168"/>
      <c r="D2" s="168"/>
      <c r="E2" s="168"/>
      <c r="F2" s="168"/>
      <c r="G2" s="168"/>
      <c r="H2" s="168"/>
    </row>
    <row r="3" spans="2:8">
      <c r="B3" s="31"/>
      <c r="C3" s="32"/>
      <c r="F3" s="33"/>
      <c r="G3" s="33"/>
      <c r="H3" s="33"/>
    </row>
    <row r="4" spans="2:8" ht="21">
      <c r="B4" s="26"/>
      <c r="C4" s="27"/>
      <c r="D4" s="28"/>
      <c r="E4" s="169" t="s">
        <v>8</v>
      </c>
      <c r="F4" s="170"/>
      <c r="G4" s="169" t="s">
        <v>41</v>
      </c>
      <c r="H4" s="170"/>
    </row>
    <row r="5" spans="2:8" ht="15.6">
      <c r="B5" s="25" t="s">
        <v>6</v>
      </c>
      <c r="E5" s="11"/>
      <c r="F5" s="10"/>
      <c r="G5" s="48"/>
      <c r="H5" s="49"/>
    </row>
    <row r="6" spans="2:8" ht="15" customHeight="1">
      <c r="B6" s="11" t="s">
        <v>10</v>
      </c>
      <c r="E6" s="11"/>
      <c r="F6" s="10"/>
      <c r="G6" s="72"/>
      <c r="H6" s="29"/>
    </row>
    <row r="7" spans="2:8">
      <c r="B7" s="11" t="s">
        <v>11</v>
      </c>
      <c r="C7" s="16"/>
      <c r="E7" s="11"/>
      <c r="F7" s="10"/>
      <c r="G7" s="11"/>
      <c r="H7" s="10"/>
    </row>
    <row r="8" spans="2:8">
      <c r="B8" s="11" t="s">
        <v>12</v>
      </c>
      <c r="E8" s="11"/>
      <c r="F8" s="10"/>
      <c r="G8" s="11"/>
      <c r="H8" s="10"/>
    </row>
    <row r="9" spans="2:8" ht="6.75" customHeight="1">
      <c r="B9" s="11"/>
      <c r="E9" s="11"/>
      <c r="F9" s="10"/>
      <c r="G9" s="11"/>
      <c r="H9" s="10"/>
    </row>
    <row r="10" spans="2:8" ht="29.25" customHeight="1">
      <c r="B10" s="178" t="s">
        <v>7</v>
      </c>
      <c r="C10" s="179"/>
      <c r="D10" s="179"/>
      <c r="E10" s="11"/>
      <c r="F10" s="10"/>
      <c r="G10" s="11"/>
      <c r="H10" s="10"/>
    </row>
    <row r="11" spans="2:8" ht="27" customHeight="1">
      <c r="B11" s="11"/>
      <c r="E11" s="11"/>
      <c r="F11" s="10"/>
      <c r="G11" s="11"/>
      <c r="H11" s="10"/>
    </row>
    <row r="12" spans="2:8">
      <c r="B12" s="11"/>
      <c r="E12" s="171" t="s">
        <v>42</v>
      </c>
      <c r="F12" s="172"/>
      <c r="G12" s="171" t="s">
        <v>13</v>
      </c>
      <c r="H12" s="172"/>
    </row>
    <row r="13" spans="2:8" ht="27" customHeight="1">
      <c r="B13" s="12"/>
      <c r="C13" s="34"/>
      <c r="D13" s="34"/>
      <c r="E13" s="12"/>
      <c r="F13" s="35"/>
      <c r="G13" s="181" t="s">
        <v>69</v>
      </c>
      <c r="H13" s="182"/>
    </row>
    <row r="14" spans="2:8" ht="7.5" customHeight="1">
      <c r="B14" s="36"/>
      <c r="C14" s="37"/>
      <c r="D14" s="37"/>
      <c r="G14" s="38"/>
    </row>
    <row r="15" spans="2:8">
      <c r="B15" s="186" t="s">
        <v>29</v>
      </c>
      <c r="C15" s="187"/>
      <c r="D15" s="187"/>
      <c r="E15" s="188"/>
    </row>
    <row r="16" spans="2:8" ht="15" customHeight="1">
      <c r="B16" s="19" t="s">
        <v>20</v>
      </c>
      <c r="C16" s="166" t="s">
        <v>21</v>
      </c>
      <c r="D16" s="166" t="s">
        <v>22</v>
      </c>
      <c r="E16" s="166" t="s">
        <v>23</v>
      </c>
    </row>
    <row r="17" spans="1:9">
      <c r="B17" s="19" t="s">
        <v>24</v>
      </c>
      <c r="C17" s="167"/>
      <c r="D17" s="167"/>
      <c r="E17" s="167"/>
    </row>
    <row r="18" spans="1:9">
      <c r="B18" s="20" t="s">
        <v>25</v>
      </c>
      <c r="C18" s="22" t="s">
        <v>26</v>
      </c>
      <c r="D18" s="21"/>
      <c r="E18" s="21"/>
    </row>
    <row r="19" spans="1:9">
      <c r="B19" s="20" t="s">
        <v>27</v>
      </c>
      <c r="C19" s="21"/>
      <c r="D19" s="21"/>
      <c r="E19" s="21"/>
    </row>
    <row r="20" spans="1:9">
      <c r="B20" s="20" t="s">
        <v>28</v>
      </c>
      <c r="C20" s="21"/>
      <c r="D20" s="21"/>
      <c r="E20" s="21"/>
    </row>
    <row r="21" spans="1:9" ht="15.6">
      <c r="B21" s="183" t="s">
        <v>30</v>
      </c>
      <c r="C21" s="184"/>
      <c r="D21" s="184"/>
      <c r="E21" s="185"/>
    </row>
    <row r="22" spans="1:9">
      <c r="B22" s="36"/>
      <c r="C22" s="37"/>
      <c r="D22" s="37"/>
      <c r="G22" s="38"/>
    </row>
    <row r="23" spans="1:9" customFormat="1">
      <c r="A23" s="102"/>
      <c r="B23" s="103" t="s">
        <v>112</v>
      </c>
      <c r="C23" s="101"/>
      <c r="D23" s="101"/>
      <c r="E23" s="101"/>
      <c r="F23" s="101"/>
      <c r="G23" s="101"/>
      <c r="H23" s="117"/>
      <c r="I23" s="102"/>
    </row>
    <row r="24" spans="1:9" customFormat="1" ht="3" customHeight="1">
      <c r="A24" s="102"/>
      <c r="B24" s="103"/>
      <c r="C24" s="103"/>
      <c r="D24" s="103"/>
      <c r="E24" s="103"/>
      <c r="F24" s="103"/>
      <c r="G24" s="103"/>
      <c r="H24" s="102"/>
      <c r="I24" s="102"/>
    </row>
    <row r="25" spans="1:9" customFormat="1" ht="2.25" customHeight="1">
      <c r="A25" s="102"/>
      <c r="B25" s="103"/>
      <c r="C25" s="103"/>
      <c r="D25" s="103"/>
      <c r="E25" s="103"/>
      <c r="F25" s="103"/>
      <c r="G25" s="103"/>
      <c r="H25" s="102"/>
      <c r="I25" s="102"/>
    </row>
    <row r="26" spans="1:9" customFormat="1">
      <c r="A26" s="102"/>
      <c r="B26" s="103" t="s">
        <v>170</v>
      </c>
      <c r="C26" s="102"/>
      <c r="D26" s="102"/>
      <c r="E26" s="104"/>
      <c r="F26" s="102"/>
      <c r="G26" s="102"/>
      <c r="H26" s="102"/>
      <c r="I26" s="102"/>
    </row>
    <row r="27" spans="1:9" customFormat="1" ht="19.5" customHeight="1" thickBot="1">
      <c r="A27" s="102"/>
      <c r="B27" s="139" t="s">
        <v>78</v>
      </c>
      <c r="C27" s="139" t="s">
        <v>79</v>
      </c>
      <c r="D27" s="139" t="s">
        <v>80</v>
      </c>
      <c r="E27" s="140" t="s">
        <v>81</v>
      </c>
      <c r="F27" s="141" t="s">
        <v>82</v>
      </c>
      <c r="G27" s="142" t="s">
        <v>83</v>
      </c>
      <c r="H27" s="142" t="s">
        <v>84</v>
      </c>
      <c r="I27" s="142" t="s">
        <v>139</v>
      </c>
    </row>
    <row r="28" spans="1:9" customFormat="1">
      <c r="A28" s="102"/>
      <c r="B28" s="105"/>
      <c r="C28" s="105"/>
      <c r="D28" s="105"/>
      <c r="E28" s="106"/>
      <c r="F28" s="118"/>
      <c r="G28" s="119"/>
      <c r="H28" s="120"/>
      <c r="I28" s="159"/>
    </row>
    <row r="29" spans="1:9" customFormat="1">
      <c r="A29" s="102"/>
      <c r="B29" s="105"/>
      <c r="C29" s="105"/>
      <c r="D29" s="105"/>
      <c r="E29" s="106"/>
      <c r="F29" s="118"/>
      <c r="G29" s="119"/>
      <c r="H29" s="120"/>
      <c r="I29" s="159"/>
    </row>
    <row r="30" spans="1:9" customFormat="1">
      <c r="A30" s="102"/>
      <c r="B30" s="107" t="s">
        <v>100</v>
      </c>
      <c r="C30" s="108"/>
      <c r="D30" s="108"/>
      <c r="E30" s="109"/>
      <c r="F30" s="121"/>
      <c r="G30" s="122"/>
      <c r="H30" s="123"/>
      <c r="I30" s="160"/>
    </row>
    <row r="31" spans="1:9" customFormat="1">
      <c r="A31" s="46" t="s">
        <v>39</v>
      </c>
      <c r="B31" s="105" t="s">
        <v>102</v>
      </c>
      <c r="C31" s="105" t="s">
        <v>146</v>
      </c>
      <c r="D31" s="105"/>
      <c r="E31" s="106"/>
      <c r="F31" s="118">
        <v>81.599999999999994</v>
      </c>
      <c r="G31" s="119">
        <v>1.98</v>
      </c>
      <c r="H31" s="120">
        <v>5.3455000000000004</v>
      </c>
      <c r="I31" s="195">
        <v>46204</v>
      </c>
    </row>
    <row r="32" spans="1:9" customFormat="1">
      <c r="B32" s="113" t="s">
        <v>88</v>
      </c>
      <c r="C32" s="113"/>
      <c r="D32" s="113"/>
      <c r="E32" s="114"/>
      <c r="F32" s="143">
        <v>81.599999999999994</v>
      </c>
      <c r="G32" s="144">
        <v>1.98</v>
      </c>
      <c r="H32" s="127"/>
      <c r="I32" s="161"/>
    </row>
    <row r="33" spans="1:9" customFormat="1">
      <c r="A33" s="102"/>
      <c r="B33" s="105"/>
      <c r="C33" s="105"/>
      <c r="D33" s="105"/>
      <c r="E33" s="106"/>
      <c r="F33" s="118"/>
      <c r="G33" s="119"/>
      <c r="H33" s="120"/>
      <c r="I33" s="159"/>
    </row>
    <row r="34" spans="1:9" customFormat="1">
      <c r="A34" s="102"/>
      <c r="B34" s="145" t="s">
        <v>89</v>
      </c>
      <c r="C34" s="146"/>
      <c r="D34" s="146"/>
      <c r="E34" s="147"/>
      <c r="F34" s="143">
        <v>81.599999999999994</v>
      </c>
      <c r="G34" s="144">
        <v>1.98</v>
      </c>
      <c r="H34" s="127"/>
      <c r="I34" s="161"/>
    </row>
    <row r="35" spans="1:9" customFormat="1">
      <c r="A35" s="102"/>
      <c r="B35" s="105"/>
      <c r="C35" s="105"/>
      <c r="D35" s="105"/>
      <c r="E35" s="106"/>
      <c r="F35" s="118"/>
      <c r="G35" s="119"/>
      <c r="H35" s="120"/>
      <c r="I35" s="159"/>
    </row>
    <row r="36" spans="1:9" customFormat="1">
      <c r="A36" s="102"/>
      <c r="B36" s="107" t="s">
        <v>113</v>
      </c>
      <c r="C36" s="108"/>
      <c r="D36" s="108"/>
      <c r="E36" s="109"/>
      <c r="F36" s="121"/>
      <c r="G36" s="122"/>
      <c r="H36" s="123"/>
      <c r="I36" s="160"/>
    </row>
    <row r="37" spans="1:9" customFormat="1">
      <c r="A37" s="46" t="s">
        <v>39</v>
      </c>
      <c r="B37" s="105" t="s">
        <v>102</v>
      </c>
      <c r="C37" s="105" t="s">
        <v>147</v>
      </c>
      <c r="D37" s="105"/>
      <c r="E37" s="106"/>
      <c r="F37" s="118">
        <v>3113.23</v>
      </c>
      <c r="G37" s="119">
        <v>75.67</v>
      </c>
      <c r="H37" s="120">
        <v>5.5</v>
      </c>
      <c r="I37" s="195">
        <v>46204</v>
      </c>
    </row>
    <row r="38" spans="1:9" customFormat="1">
      <c r="A38" s="46" t="s">
        <v>39</v>
      </c>
      <c r="B38" s="105" t="s">
        <v>102</v>
      </c>
      <c r="C38" s="105" t="s">
        <v>148</v>
      </c>
      <c r="D38" s="105"/>
      <c r="E38" s="106"/>
      <c r="F38" s="118">
        <v>928.1</v>
      </c>
      <c r="G38" s="119">
        <v>22.56</v>
      </c>
      <c r="H38" s="120">
        <v>5.48</v>
      </c>
      <c r="I38" s="195">
        <v>46204</v>
      </c>
    </row>
    <row r="39" spans="1:9" customFormat="1">
      <c r="A39" s="102"/>
      <c r="B39" s="113" t="s">
        <v>88</v>
      </c>
      <c r="C39" s="113"/>
      <c r="D39" s="113"/>
      <c r="E39" s="114"/>
      <c r="F39" s="143">
        <v>4041.33</v>
      </c>
      <c r="G39" s="144">
        <v>98.23</v>
      </c>
      <c r="H39" s="127"/>
      <c r="I39" s="161"/>
    </row>
    <row r="40" spans="1:9" customFormat="1">
      <c r="A40" s="102"/>
      <c r="B40" s="105"/>
      <c r="C40" s="105"/>
      <c r="D40" s="105"/>
      <c r="E40" s="106"/>
      <c r="F40" s="118"/>
      <c r="G40" s="119"/>
      <c r="H40" s="120"/>
      <c r="I40" s="159"/>
    </row>
    <row r="41" spans="1:9" customFormat="1">
      <c r="A41" s="102"/>
      <c r="B41" s="145" t="s">
        <v>89</v>
      </c>
      <c r="C41" s="146"/>
      <c r="D41" s="146"/>
      <c r="E41" s="147"/>
      <c r="F41" s="143">
        <v>4041.33</v>
      </c>
      <c r="G41" s="144">
        <v>98.23</v>
      </c>
      <c r="H41" s="127"/>
      <c r="I41" s="161"/>
    </row>
    <row r="42" spans="1:9" customFormat="1">
      <c r="A42" s="102"/>
      <c r="B42" s="105"/>
      <c r="C42" s="105"/>
      <c r="D42" s="105"/>
      <c r="E42" s="106"/>
      <c r="F42" s="118"/>
      <c r="G42" s="119"/>
      <c r="H42" s="120"/>
      <c r="I42" s="159"/>
    </row>
    <row r="43" spans="1:9" customFormat="1">
      <c r="A43" s="102"/>
      <c r="B43" s="105" t="s">
        <v>90</v>
      </c>
      <c r="C43" s="105"/>
      <c r="D43" s="105"/>
      <c r="E43" s="106"/>
      <c r="F43" s="135">
        <v>-8.59</v>
      </c>
      <c r="G43" s="119">
        <v>-0.21000000000000796</v>
      </c>
      <c r="H43" s="120"/>
      <c r="I43" s="159"/>
    </row>
    <row r="44" spans="1:9" customFormat="1">
      <c r="A44" s="102"/>
      <c r="B44" s="105"/>
      <c r="C44" s="105"/>
      <c r="D44" s="105"/>
      <c r="E44" s="106"/>
      <c r="F44" s="118"/>
      <c r="G44" s="119"/>
      <c r="H44" s="120"/>
      <c r="I44" s="159"/>
    </row>
    <row r="45" spans="1:9" customFormat="1">
      <c r="A45" s="102"/>
      <c r="B45" s="145" t="s">
        <v>91</v>
      </c>
      <c r="C45" s="146"/>
      <c r="D45" s="146"/>
      <c r="E45" s="147"/>
      <c r="F45" s="143">
        <v>4114.34</v>
      </c>
      <c r="G45" s="144">
        <v>100</v>
      </c>
      <c r="H45" s="128"/>
      <c r="I45" s="162"/>
    </row>
    <row r="46" spans="1:9">
      <c r="A46" s="46" t="s">
        <v>39</v>
      </c>
      <c r="B46" s="5" t="s">
        <v>40</v>
      </c>
    </row>
    <row r="47" spans="1:9" s="6" customFormat="1">
      <c r="C47" s="5"/>
      <c r="E47" s="39"/>
      <c r="F47" s="39"/>
      <c r="G47" s="39"/>
      <c r="H47" s="39"/>
    </row>
    <row r="48" spans="1:9">
      <c r="B48" s="40" t="s">
        <v>0</v>
      </c>
      <c r="C48" s="41"/>
      <c r="D48" s="41"/>
      <c r="E48" s="41"/>
      <c r="F48" s="39"/>
      <c r="G48" s="39"/>
      <c r="H48" s="39"/>
      <c r="I48" s="39"/>
    </row>
    <row r="49" spans="2:12">
      <c r="B49" s="42" t="s">
        <v>31</v>
      </c>
      <c r="C49" s="42"/>
      <c r="D49" s="148"/>
      <c r="E49" s="42"/>
      <c r="F49" s="39"/>
      <c r="G49" s="39"/>
      <c r="H49" s="39"/>
      <c r="I49" s="39"/>
    </row>
    <row r="50" spans="2:12">
      <c r="B50" s="43" t="s">
        <v>1</v>
      </c>
      <c r="C50" s="30">
        <v>46203</v>
      </c>
      <c r="D50" s="30">
        <v>46188</v>
      </c>
      <c r="F50" s="39"/>
      <c r="G50" s="39"/>
      <c r="H50" s="39"/>
      <c r="I50" s="39"/>
    </row>
    <row r="51" spans="2:12">
      <c r="B51" s="44" t="s">
        <v>14</v>
      </c>
      <c r="C51" s="98">
        <v>1259.8054</v>
      </c>
      <c r="D51" s="98">
        <v>1256.9999</v>
      </c>
      <c r="F51" s="39"/>
      <c r="G51" s="39"/>
      <c r="H51" s="39"/>
      <c r="I51" s="39"/>
    </row>
    <row r="52" spans="2:12">
      <c r="B52" s="44" t="s">
        <v>15</v>
      </c>
      <c r="C52" s="98">
        <v>1000.0266</v>
      </c>
      <c r="D52" s="98">
        <v>1000.014</v>
      </c>
      <c r="F52" s="39"/>
      <c r="G52" s="39"/>
      <c r="H52" s="39"/>
      <c r="I52" s="39"/>
    </row>
    <row r="53" spans="2:12">
      <c r="B53" s="44" t="s">
        <v>38</v>
      </c>
      <c r="C53" s="98">
        <v>1002.234</v>
      </c>
      <c r="D53" s="98">
        <v>1000.0082</v>
      </c>
      <c r="F53" s="39"/>
      <c r="G53" s="39"/>
      <c r="H53" s="39"/>
      <c r="I53" s="39"/>
    </row>
    <row r="54" spans="2:12">
      <c r="B54" s="44" t="s">
        <v>16</v>
      </c>
      <c r="C54" s="98">
        <v>1255.8349000000001</v>
      </c>
      <c r="D54" s="98">
        <v>1253.0689</v>
      </c>
      <c r="F54" s="39"/>
      <c r="G54" s="39"/>
      <c r="H54" s="39"/>
      <c r="I54" s="39"/>
    </row>
    <row r="55" spans="2:12">
      <c r="B55" s="44" t="s">
        <v>17</v>
      </c>
      <c r="C55" s="98">
        <v>1000.0101</v>
      </c>
      <c r="D55" s="98">
        <v>1000.0101</v>
      </c>
      <c r="F55" s="39"/>
      <c r="G55" s="39"/>
      <c r="H55" s="39"/>
      <c r="I55" s="39"/>
    </row>
    <row r="56" spans="2:12">
      <c r="B56" s="44" t="s">
        <v>18</v>
      </c>
      <c r="C56" s="98">
        <v>1002.2526</v>
      </c>
      <c r="D56" s="98">
        <v>1000.0441</v>
      </c>
      <c r="F56" s="39"/>
      <c r="G56" s="39"/>
      <c r="H56" s="39"/>
      <c r="I56" s="39"/>
    </row>
    <row r="57" spans="2:12">
      <c r="B57" s="5" t="s">
        <v>172</v>
      </c>
      <c r="E57" s="23"/>
    </row>
    <row r="58" spans="2:12" ht="6" customHeight="1">
      <c r="E58" s="23"/>
    </row>
    <row r="59" spans="2:12">
      <c r="B59" s="5" t="s">
        <v>171</v>
      </c>
      <c r="C59" s="42"/>
      <c r="D59" s="45"/>
      <c r="E59" s="45"/>
      <c r="F59" s="42"/>
    </row>
    <row r="60" spans="2:12">
      <c r="B60" s="189" t="s">
        <v>2</v>
      </c>
      <c r="C60" s="164" t="s">
        <v>3</v>
      </c>
      <c r="D60" s="164" t="s">
        <v>137</v>
      </c>
      <c r="E60" s="173" t="s">
        <v>4</v>
      </c>
      <c r="F60" s="175" t="s">
        <v>138</v>
      </c>
      <c r="G60" s="176"/>
    </row>
    <row r="61" spans="2:12">
      <c r="B61" s="189"/>
      <c r="C61" s="165"/>
      <c r="D61" s="165"/>
      <c r="E61" s="174"/>
      <c r="F61" s="131" t="s">
        <v>5</v>
      </c>
      <c r="G61" s="150" t="s">
        <v>19</v>
      </c>
      <c r="I61"/>
      <c r="J61"/>
      <c r="K61" s="99"/>
      <c r="L61" s="100"/>
    </row>
    <row r="62" spans="2:12">
      <c r="B62" s="149" t="s">
        <v>17</v>
      </c>
      <c r="C62" s="152">
        <v>46189</v>
      </c>
      <c r="D62" s="98">
        <v>1000</v>
      </c>
      <c r="E62" s="98">
        <v>1000.0101</v>
      </c>
      <c r="F62" s="153">
        <v>0.140152</v>
      </c>
      <c r="G62" s="153">
        <v>0.140152</v>
      </c>
      <c r="I62"/>
      <c r="J62"/>
      <c r="K62" s="99"/>
      <c r="L62" s="100"/>
    </row>
    <row r="63" spans="2:12">
      <c r="B63" s="149" t="s">
        <v>17</v>
      </c>
      <c r="C63" s="152">
        <v>46190</v>
      </c>
      <c r="D63" s="98">
        <v>1000</v>
      </c>
      <c r="E63" s="98">
        <v>1000.0101</v>
      </c>
      <c r="F63" s="153">
        <v>0.13830799999999999</v>
      </c>
      <c r="G63" s="153">
        <v>0.13830799999999999</v>
      </c>
      <c r="I63"/>
      <c r="J63"/>
      <c r="K63" s="99"/>
      <c r="L63" s="100"/>
    </row>
    <row r="64" spans="2:12">
      <c r="B64" s="149" t="s">
        <v>17</v>
      </c>
      <c r="C64" s="152">
        <v>46191</v>
      </c>
      <c r="D64" s="98">
        <v>1000</v>
      </c>
      <c r="E64" s="98">
        <v>1000.0101</v>
      </c>
      <c r="F64" s="153">
        <v>0.13378200000000001</v>
      </c>
      <c r="G64" s="153">
        <v>0.13378200000000001</v>
      </c>
      <c r="I64"/>
      <c r="J64"/>
      <c r="K64" s="99"/>
      <c r="L64" s="100"/>
    </row>
    <row r="65" spans="2:12">
      <c r="B65" s="149" t="s">
        <v>17</v>
      </c>
      <c r="C65" s="152">
        <v>46192</v>
      </c>
      <c r="D65" s="98">
        <v>1000</v>
      </c>
      <c r="E65" s="98">
        <v>1000.0101</v>
      </c>
      <c r="F65" s="153">
        <v>0.144064</v>
      </c>
      <c r="G65" s="153">
        <v>0.144064</v>
      </c>
      <c r="I65"/>
      <c r="J65"/>
      <c r="K65" s="99"/>
      <c r="L65" s="100"/>
    </row>
    <row r="66" spans="2:12">
      <c r="B66" s="149" t="s">
        <v>17</v>
      </c>
      <c r="C66" s="152">
        <v>46193</v>
      </c>
      <c r="D66" s="98">
        <v>1000</v>
      </c>
      <c r="E66" s="98">
        <v>1000.0101</v>
      </c>
      <c r="F66" s="153">
        <v>0.14693999999999999</v>
      </c>
      <c r="G66" s="153">
        <v>0.14693999999999999</v>
      </c>
      <c r="I66"/>
      <c r="J66"/>
      <c r="K66" s="99"/>
      <c r="L66" s="100"/>
    </row>
    <row r="67" spans="2:12">
      <c r="B67" s="149" t="s">
        <v>17</v>
      </c>
      <c r="C67" s="152">
        <v>46194</v>
      </c>
      <c r="D67" s="98">
        <v>1000</v>
      </c>
      <c r="E67" s="98">
        <v>1000.0101</v>
      </c>
      <c r="F67" s="153">
        <v>0.13898099999999999</v>
      </c>
      <c r="G67" s="153">
        <v>0.13898099999999999</v>
      </c>
      <c r="I67"/>
      <c r="J67"/>
      <c r="K67" s="99"/>
      <c r="L67" s="100"/>
    </row>
    <row r="68" spans="2:12">
      <c r="B68" s="149" t="s">
        <v>17</v>
      </c>
      <c r="C68" s="152">
        <v>46195</v>
      </c>
      <c r="D68" s="98">
        <v>1000</v>
      </c>
      <c r="E68" s="98">
        <v>1000.0101</v>
      </c>
      <c r="F68" s="153">
        <v>0.21864</v>
      </c>
      <c r="G68" s="153">
        <v>0.21864</v>
      </c>
      <c r="I68"/>
      <c r="J68"/>
      <c r="K68" s="99"/>
      <c r="L68" s="100"/>
    </row>
    <row r="69" spans="2:12">
      <c r="B69" s="149" t="s">
        <v>17</v>
      </c>
      <c r="C69" s="152">
        <v>46196</v>
      </c>
      <c r="D69" s="98">
        <v>1000</v>
      </c>
      <c r="E69" s="98">
        <v>1000.0101</v>
      </c>
      <c r="F69" s="153">
        <v>0.14011199999999999</v>
      </c>
      <c r="G69" s="153">
        <v>0.14011199999999999</v>
      </c>
      <c r="I69"/>
      <c r="J69"/>
      <c r="K69" s="99"/>
      <c r="L69" s="100"/>
    </row>
    <row r="70" spans="2:12">
      <c r="B70" s="149" t="s">
        <v>17</v>
      </c>
      <c r="C70" s="152">
        <v>46197</v>
      </c>
      <c r="D70" s="98">
        <v>1000</v>
      </c>
      <c r="E70" s="98">
        <v>1000.0101</v>
      </c>
      <c r="F70" s="153">
        <v>0.13666200000000001</v>
      </c>
      <c r="G70" s="153">
        <v>0.13666200000000001</v>
      </c>
      <c r="I70"/>
      <c r="J70"/>
      <c r="K70" s="99"/>
      <c r="L70" s="100"/>
    </row>
    <row r="71" spans="2:12">
      <c r="B71" s="149" t="s">
        <v>17</v>
      </c>
      <c r="C71" s="152">
        <v>46198</v>
      </c>
      <c r="D71" s="98">
        <v>1000</v>
      </c>
      <c r="E71" s="98">
        <v>1000.0101</v>
      </c>
      <c r="F71" s="153">
        <v>0.13439200000000001</v>
      </c>
      <c r="G71" s="153">
        <v>0.13439200000000001</v>
      </c>
      <c r="I71"/>
      <c r="J71"/>
      <c r="K71" s="99"/>
      <c r="L71" s="100"/>
    </row>
    <row r="72" spans="2:12">
      <c r="B72" s="149" t="s">
        <v>17</v>
      </c>
      <c r="C72" s="152">
        <v>46199</v>
      </c>
      <c r="D72" s="98">
        <v>1000</v>
      </c>
      <c r="E72" s="98">
        <v>1000.0101</v>
      </c>
      <c r="F72" s="153">
        <v>0.146485</v>
      </c>
      <c r="G72" s="153">
        <v>0.146485</v>
      </c>
      <c r="I72"/>
      <c r="J72"/>
      <c r="K72" s="99"/>
      <c r="L72" s="100"/>
    </row>
    <row r="73" spans="2:12">
      <c r="B73" s="149" t="s">
        <v>17</v>
      </c>
      <c r="C73" s="152">
        <v>46200</v>
      </c>
      <c r="D73" s="98">
        <v>1000</v>
      </c>
      <c r="E73" s="98">
        <v>1000.0101</v>
      </c>
      <c r="F73" s="153">
        <v>0.13692599999999999</v>
      </c>
      <c r="G73" s="153">
        <v>0.13692599999999999</v>
      </c>
      <c r="I73"/>
      <c r="J73"/>
      <c r="K73" s="99"/>
      <c r="L73" s="100"/>
    </row>
    <row r="74" spans="2:12">
      <c r="B74" s="149" t="s">
        <v>17</v>
      </c>
      <c r="C74" s="152">
        <v>46201</v>
      </c>
      <c r="D74" s="98">
        <v>1000</v>
      </c>
      <c r="E74" s="98">
        <v>1000.0101</v>
      </c>
      <c r="F74" s="153">
        <v>0.13819300000000001</v>
      </c>
      <c r="G74" s="153">
        <v>0.13819300000000001</v>
      </c>
      <c r="I74"/>
      <c r="J74"/>
      <c r="K74" s="99"/>
      <c r="L74" s="100"/>
    </row>
    <row r="75" spans="2:12">
      <c r="B75" s="149" t="s">
        <v>17</v>
      </c>
      <c r="C75" s="152">
        <v>46202</v>
      </c>
      <c r="D75" s="98">
        <v>1000</v>
      </c>
      <c r="E75" s="98">
        <v>1000.0101</v>
      </c>
      <c r="F75" s="153">
        <v>0.137959</v>
      </c>
      <c r="G75" s="153">
        <v>0.137959</v>
      </c>
      <c r="I75"/>
      <c r="J75"/>
      <c r="K75" s="99"/>
      <c r="L75" s="100"/>
    </row>
    <row r="76" spans="2:12">
      <c r="B76" s="149" t="s">
        <v>17</v>
      </c>
      <c r="C76" s="152">
        <v>46203</v>
      </c>
      <c r="D76" s="98">
        <v>1000</v>
      </c>
      <c r="E76" s="98">
        <v>1000.0101</v>
      </c>
      <c r="F76" s="153">
        <v>0.13922499999999999</v>
      </c>
      <c r="G76" s="153">
        <v>0.13922499999999999</v>
      </c>
      <c r="I76"/>
      <c r="J76"/>
      <c r="K76" s="99"/>
      <c r="L76" s="100"/>
    </row>
    <row r="77" spans="2:12">
      <c r="B77" s="149" t="s">
        <v>15</v>
      </c>
      <c r="C77" s="152">
        <v>46189</v>
      </c>
      <c r="D77" s="98">
        <v>1000</v>
      </c>
      <c r="E77" s="98">
        <v>1000.014</v>
      </c>
      <c r="F77" s="153">
        <v>0.141957</v>
      </c>
      <c r="G77" s="153">
        <v>0.141957</v>
      </c>
      <c r="I77"/>
      <c r="J77"/>
      <c r="K77" s="99"/>
      <c r="L77" s="100"/>
    </row>
    <row r="78" spans="2:12">
      <c r="B78" s="149" t="s">
        <v>15</v>
      </c>
      <c r="C78" s="152">
        <v>46190</v>
      </c>
      <c r="D78" s="98">
        <v>1000</v>
      </c>
      <c r="E78" s="98">
        <v>1000.014</v>
      </c>
      <c r="F78" s="153">
        <v>0.141795</v>
      </c>
      <c r="G78" s="153">
        <v>0.141795</v>
      </c>
      <c r="I78"/>
      <c r="J78"/>
      <c r="K78" s="99"/>
      <c r="L78" s="100"/>
    </row>
    <row r="79" spans="2:12">
      <c r="B79" s="149" t="s">
        <v>15</v>
      </c>
      <c r="C79" s="152">
        <v>46191</v>
      </c>
      <c r="D79" s="98">
        <v>1000</v>
      </c>
      <c r="E79" s="98">
        <v>1000.014</v>
      </c>
      <c r="F79" s="153">
        <v>0.13891600000000001</v>
      </c>
      <c r="G79" s="153">
        <v>0.13891600000000001</v>
      </c>
      <c r="I79"/>
      <c r="J79"/>
      <c r="K79" s="99"/>
      <c r="L79" s="100"/>
    </row>
    <row r="80" spans="2:12">
      <c r="B80" s="149" t="s">
        <v>15</v>
      </c>
      <c r="C80" s="152">
        <v>46192</v>
      </c>
      <c r="D80" s="98">
        <v>1000</v>
      </c>
      <c r="E80" s="98">
        <v>1000.014</v>
      </c>
      <c r="F80" s="153">
        <v>0.14316599999999999</v>
      </c>
      <c r="G80" s="153">
        <v>0.14316599999999999</v>
      </c>
      <c r="I80"/>
      <c r="J80"/>
      <c r="K80" s="99"/>
      <c r="L80" s="100"/>
    </row>
    <row r="81" spans="2:12">
      <c r="B81" s="149" t="s">
        <v>15</v>
      </c>
      <c r="C81" s="152">
        <v>46193</v>
      </c>
      <c r="D81" s="98">
        <v>1000</v>
      </c>
      <c r="E81" s="98">
        <v>1000.014</v>
      </c>
      <c r="F81" s="153">
        <v>0.146589</v>
      </c>
      <c r="G81" s="153">
        <v>0.146589</v>
      </c>
      <c r="I81"/>
      <c r="J81"/>
      <c r="K81" s="99"/>
      <c r="L81" s="100"/>
    </row>
    <row r="82" spans="2:12">
      <c r="B82" s="149" t="s">
        <v>15</v>
      </c>
      <c r="C82" s="152">
        <v>46194</v>
      </c>
      <c r="D82" s="98">
        <v>1000</v>
      </c>
      <c r="E82" s="98">
        <v>1000.014</v>
      </c>
      <c r="F82" s="153">
        <v>0.146397</v>
      </c>
      <c r="G82" s="153">
        <v>0.146397</v>
      </c>
      <c r="I82"/>
      <c r="J82"/>
      <c r="K82" s="99"/>
      <c r="L82" s="100"/>
    </row>
    <row r="83" spans="2:12">
      <c r="B83" s="149" t="s">
        <v>15</v>
      </c>
      <c r="C83" s="152">
        <v>46195</v>
      </c>
      <c r="D83" s="98">
        <v>1000</v>
      </c>
      <c r="E83" s="98">
        <v>1000.014</v>
      </c>
      <c r="F83" s="153">
        <v>0.223277</v>
      </c>
      <c r="G83" s="153">
        <v>0.223277</v>
      </c>
      <c r="I83"/>
      <c r="J83"/>
      <c r="K83" s="99"/>
      <c r="L83" s="100"/>
    </row>
    <row r="84" spans="2:12">
      <c r="B84" s="149" t="s">
        <v>15</v>
      </c>
      <c r="C84" s="152">
        <v>46196</v>
      </c>
      <c r="D84" s="98">
        <v>1000</v>
      </c>
      <c r="E84" s="98">
        <v>1000.014</v>
      </c>
      <c r="F84" s="153">
        <v>0.14152500000000001</v>
      </c>
      <c r="G84" s="153">
        <v>0.14152500000000001</v>
      </c>
      <c r="I84"/>
      <c r="J84"/>
      <c r="K84" s="99"/>
      <c r="L84" s="100"/>
    </row>
    <row r="85" spans="2:12">
      <c r="B85" s="149" t="s">
        <v>15</v>
      </c>
      <c r="C85" s="152">
        <v>46197</v>
      </c>
      <c r="D85" s="98">
        <v>1000</v>
      </c>
      <c r="E85" s="98">
        <v>1000.0142</v>
      </c>
      <c r="F85" s="153">
        <v>0.140102</v>
      </c>
      <c r="G85" s="153">
        <v>0.140102</v>
      </c>
      <c r="I85"/>
      <c r="J85"/>
      <c r="K85" s="99"/>
      <c r="L85" s="100"/>
    </row>
    <row r="86" spans="2:12">
      <c r="B86" s="149" t="s">
        <v>15</v>
      </c>
      <c r="C86" s="152">
        <v>46198</v>
      </c>
      <c r="D86" s="98">
        <v>1000</v>
      </c>
      <c r="E86" s="98">
        <v>1000.0266</v>
      </c>
      <c r="F86" s="153">
        <v>0.12881799999999999</v>
      </c>
      <c r="G86" s="153">
        <v>0.12881799999999999</v>
      </c>
      <c r="I86"/>
      <c r="J86"/>
      <c r="K86" s="99"/>
      <c r="L86" s="100"/>
    </row>
    <row r="87" spans="2:12">
      <c r="B87" s="149" t="s">
        <v>15</v>
      </c>
      <c r="C87" s="152">
        <v>46199</v>
      </c>
      <c r="D87" s="98">
        <v>1000</v>
      </c>
      <c r="E87" s="98">
        <v>1000.0266</v>
      </c>
      <c r="F87" s="153">
        <v>0.14480499999999999</v>
      </c>
      <c r="G87" s="153">
        <v>0.14480499999999999</v>
      </c>
      <c r="I87"/>
      <c r="J87"/>
      <c r="K87" s="99"/>
      <c r="L87" s="100"/>
    </row>
    <row r="88" spans="2:12">
      <c r="B88" s="149" t="s">
        <v>15</v>
      </c>
      <c r="C88" s="152">
        <v>46200</v>
      </c>
      <c r="D88" s="98">
        <v>1000</v>
      </c>
      <c r="E88" s="98">
        <v>1000.0266</v>
      </c>
      <c r="F88" s="153">
        <v>0.14477799999999999</v>
      </c>
      <c r="G88" s="153">
        <v>0.14477799999999999</v>
      </c>
      <c r="I88"/>
      <c r="J88"/>
      <c r="K88" s="99"/>
      <c r="L88" s="100"/>
    </row>
    <row r="89" spans="2:12">
      <c r="B89" s="149" t="s">
        <v>15</v>
      </c>
      <c r="C89" s="152">
        <v>46201</v>
      </c>
      <c r="D89" s="98">
        <v>1000</v>
      </c>
      <c r="E89" s="98">
        <v>1000.0266</v>
      </c>
      <c r="F89" s="153">
        <v>0.14475199999999999</v>
      </c>
      <c r="G89" s="153">
        <v>0.14475199999999999</v>
      </c>
      <c r="I89"/>
      <c r="J89"/>
      <c r="K89" s="99"/>
      <c r="L89" s="100"/>
    </row>
    <row r="90" spans="2:12">
      <c r="B90" s="149" t="s">
        <v>15</v>
      </c>
      <c r="C90" s="152">
        <v>46202</v>
      </c>
      <c r="D90" s="98">
        <v>1000</v>
      </c>
      <c r="E90" s="98">
        <v>1000.0266</v>
      </c>
      <c r="F90" s="153">
        <v>0.14317099999999999</v>
      </c>
      <c r="G90" s="153">
        <v>0.14317099999999999</v>
      </c>
      <c r="I90"/>
      <c r="J90"/>
      <c r="K90" s="99"/>
      <c r="L90" s="100"/>
    </row>
    <row r="91" spans="2:12">
      <c r="B91" s="149" t="s">
        <v>15</v>
      </c>
      <c r="C91" s="152">
        <v>46203</v>
      </c>
      <c r="D91" s="98">
        <v>1000</v>
      </c>
      <c r="E91" s="98">
        <v>1000.0266</v>
      </c>
      <c r="F91" s="153">
        <v>0.144675</v>
      </c>
      <c r="G91" s="153">
        <v>0.144675</v>
      </c>
      <c r="I91"/>
      <c r="J91"/>
      <c r="K91" s="99"/>
      <c r="L91" s="100"/>
    </row>
    <row r="92" spans="2:12">
      <c r="B92" s="154" t="s">
        <v>173</v>
      </c>
      <c r="D92" s="23"/>
      <c r="E92" s="23"/>
      <c r="I92"/>
      <c r="J92"/>
      <c r="K92" s="99"/>
      <c r="L92" s="100"/>
    </row>
    <row r="93" spans="2:12">
      <c r="D93" s="23"/>
      <c r="E93" s="23"/>
      <c r="I93"/>
    </row>
    <row r="94" spans="2:12">
      <c r="B94" s="4" t="s">
        <v>122</v>
      </c>
      <c r="D94" s="23"/>
      <c r="E94" s="23"/>
    </row>
    <row r="95" spans="2:12">
      <c r="B95" s="4" t="s">
        <v>123</v>
      </c>
      <c r="D95" s="23"/>
      <c r="F95" s="100"/>
      <c r="G95" s="136"/>
    </row>
    <row r="96" spans="2:12">
      <c r="B96" s="4" t="s">
        <v>124</v>
      </c>
      <c r="C96" s="42"/>
      <c r="D96" s="42"/>
      <c r="E96" s="42"/>
      <c r="F96" s="100"/>
      <c r="G96" s="100"/>
    </row>
    <row r="97" spans="2:7">
      <c r="B97" s="4" t="s">
        <v>125</v>
      </c>
      <c r="C97" s="42"/>
      <c r="D97" s="42"/>
      <c r="E97" s="42"/>
      <c r="F97" s="100"/>
      <c r="G97" s="100"/>
    </row>
    <row r="98" spans="2:7">
      <c r="B98" s="4" t="s">
        <v>136</v>
      </c>
      <c r="C98" s="42"/>
      <c r="D98" s="42"/>
      <c r="E98" s="42"/>
      <c r="F98" s="100"/>
      <c r="G98" s="100"/>
    </row>
    <row r="99" spans="2:7">
      <c r="B99" s="4" t="s">
        <v>127</v>
      </c>
      <c r="C99" s="33"/>
      <c r="D99" s="33"/>
      <c r="E99" s="33"/>
      <c r="F99" s="33"/>
    </row>
    <row r="100" spans="2:7">
      <c r="B100" s="133" t="s">
        <v>126</v>
      </c>
      <c r="C100" s="115" t="s">
        <v>101</v>
      </c>
    </row>
    <row r="101" spans="2:7">
      <c r="B101" s="4"/>
    </row>
    <row r="102" spans="2:7">
      <c r="B102" s="84" t="s">
        <v>67</v>
      </c>
      <c r="C102" s="92">
        <v>2.5999999999999999E-3</v>
      </c>
    </row>
    <row r="103" spans="2:7">
      <c r="B103"/>
      <c r="C103" s="4"/>
    </row>
    <row r="104" spans="2:7">
      <c r="B104" s="85"/>
      <c r="C104" s="82" t="s">
        <v>75</v>
      </c>
      <c r="F104" s="136"/>
    </row>
    <row r="105" spans="2:7">
      <c r="B105" s="85" t="s">
        <v>32</v>
      </c>
      <c r="C105" s="82" t="s">
        <v>9</v>
      </c>
      <c r="F105" s="136"/>
    </row>
    <row r="106" spans="2:7">
      <c r="B106" s="85" t="s">
        <v>33</v>
      </c>
      <c r="C106" s="80"/>
    </row>
    <row r="107" spans="2:7">
      <c r="B107" s="85"/>
      <c r="C107" s="80"/>
    </row>
    <row r="108" spans="2:7">
      <c r="B108" s="85" t="s">
        <v>34</v>
      </c>
      <c r="C108" s="89">
        <v>5.4899999999999997E-2</v>
      </c>
      <c r="E108" s="116">
        <f>SUMPRODUCT(H27:H45,G27:G45)/100</f>
        <v>5.5039788999999999</v>
      </c>
    </row>
    <row r="109" spans="2:7">
      <c r="B109" s="85"/>
      <c r="C109" s="80"/>
      <c r="F109" s="137"/>
    </row>
    <row r="110" spans="2:7">
      <c r="B110" s="85" t="s">
        <v>37</v>
      </c>
      <c r="C110" s="92">
        <v>2.7000000000000001E-3</v>
      </c>
      <c r="F110" s="137"/>
    </row>
    <row r="111" spans="2:7">
      <c r="B111" s="85" t="s">
        <v>66</v>
      </c>
      <c r="C111" s="97">
        <v>1</v>
      </c>
    </row>
    <row r="112" spans="2:7" ht="15" customHeight="1">
      <c r="B112" s="85"/>
      <c r="C112" s="80"/>
    </row>
    <row r="113" spans="2:6">
      <c r="B113" s="85" t="s">
        <v>35</v>
      </c>
      <c r="C113" s="83">
        <v>46203</v>
      </c>
    </row>
    <row r="114" spans="2:6">
      <c r="B114" s="180" t="s">
        <v>36</v>
      </c>
      <c r="C114" s="180"/>
    </row>
    <row r="116" spans="2:6">
      <c r="F116" s="137"/>
    </row>
    <row r="117" spans="2:6">
      <c r="F117" s="137"/>
    </row>
  </sheetData>
  <mergeCells count="19">
    <mergeCell ref="B1:H1"/>
    <mergeCell ref="B10:D10"/>
    <mergeCell ref="G12:H12"/>
    <mergeCell ref="B114:C114"/>
    <mergeCell ref="G13:H13"/>
    <mergeCell ref="B21:E21"/>
    <mergeCell ref="E16:E17"/>
    <mergeCell ref="D16:D17"/>
    <mergeCell ref="B15:E15"/>
    <mergeCell ref="B60:B61"/>
    <mergeCell ref="C60:C61"/>
    <mergeCell ref="C16:C17"/>
    <mergeCell ref="B2:H2"/>
    <mergeCell ref="G4:H4"/>
    <mergeCell ref="E4:F4"/>
    <mergeCell ref="E12:F12"/>
    <mergeCell ref="D60:D61"/>
    <mergeCell ref="E60:E61"/>
    <mergeCell ref="F60:G60"/>
  </mergeCells>
  <hyperlinks>
    <hyperlink ref="C100" r:id="rId1" xr:uid="{E2FD2430-7BDC-4C85-B3B3-5AA090A8ADD4}"/>
  </hyperlinks>
  <pageMargins left="0.7" right="0.7" top="0.75" bottom="0.75" header="0.3" footer="0.3"/>
  <pageSetup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9B47BE-AAAB-4B40-9D12-077C6D52D61C}">
  <sheetPr codeName="Sheet2">
    <pageSetUpPr fitToPage="1"/>
  </sheetPr>
  <dimension ref="A1:M75"/>
  <sheetViews>
    <sheetView showGridLines="0" zoomScaleNormal="100" workbookViewId="0">
      <selection activeCell="B1" sqref="B1:H1"/>
    </sheetView>
  </sheetViews>
  <sheetFormatPr defaultColWidth="17.5546875" defaultRowHeight="14.4"/>
  <cols>
    <col min="1" max="1" width="2.5546875" customWidth="1"/>
    <col min="2" max="2" width="51.44140625" customWidth="1"/>
    <col min="3" max="3" width="28.5546875" customWidth="1"/>
    <col min="4" max="4" width="19.88671875" customWidth="1"/>
    <col min="5" max="5" width="23.5546875" customWidth="1"/>
    <col min="6" max="6" width="27.88671875" customWidth="1"/>
    <col min="7" max="7" width="30.44140625" customWidth="1"/>
    <col min="8" max="8" width="15.5546875" customWidth="1"/>
    <col min="9" max="9" width="12.109375" bestFit="1" customWidth="1"/>
    <col min="10" max="10" width="19" bestFit="1" customWidth="1"/>
    <col min="11" max="11" width="20.44140625" bestFit="1" customWidth="1"/>
    <col min="16" max="16" width="22.5546875" bestFit="1" customWidth="1"/>
  </cols>
  <sheetData>
    <row r="1" spans="2:9" ht="21">
      <c r="B1" s="190" t="s">
        <v>43</v>
      </c>
      <c r="C1" s="190"/>
      <c r="D1" s="190"/>
      <c r="E1" s="190"/>
      <c r="F1" s="190"/>
      <c r="G1" s="190"/>
      <c r="H1" s="190"/>
    </row>
    <row r="2" spans="2:9" s="5" customFormat="1" ht="17.25" customHeight="1">
      <c r="B2" s="168" t="s">
        <v>50</v>
      </c>
      <c r="C2" s="168"/>
      <c r="D2" s="168"/>
      <c r="E2" s="168"/>
      <c r="F2" s="168"/>
      <c r="G2" s="168"/>
      <c r="H2" s="168"/>
    </row>
    <row r="3" spans="2:9">
      <c r="B3" s="6" t="s">
        <v>72</v>
      </c>
      <c r="C3" s="2"/>
      <c r="D3" s="56"/>
      <c r="F3" s="1"/>
      <c r="G3" s="1"/>
      <c r="H3" s="1"/>
    </row>
    <row r="4" spans="2:9">
      <c r="B4" s="6" t="s">
        <v>73</v>
      </c>
      <c r="C4" s="2"/>
      <c r="D4" s="56"/>
      <c r="F4" s="1"/>
      <c r="G4" s="1"/>
      <c r="H4" s="1"/>
    </row>
    <row r="5" spans="2:9" s="5" customFormat="1" ht="21">
      <c r="B5" s="26"/>
      <c r="C5" s="27"/>
      <c r="D5" s="28"/>
      <c r="E5" s="169" t="s">
        <v>8</v>
      </c>
      <c r="F5" s="170"/>
      <c r="G5" s="169" t="s">
        <v>41</v>
      </c>
      <c r="H5" s="170"/>
    </row>
    <row r="6" spans="2:9" ht="15.6">
      <c r="B6" s="25" t="s">
        <v>6</v>
      </c>
      <c r="C6" s="5"/>
      <c r="D6" s="5"/>
      <c r="E6" s="11"/>
      <c r="F6" s="10"/>
      <c r="G6" s="57"/>
      <c r="H6" s="58"/>
      <c r="I6" s="5"/>
    </row>
    <row r="7" spans="2:9">
      <c r="B7" s="11" t="s">
        <v>44</v>
      </c>
      <c r="C7" s="5"/>
      <c r="D7" s="17"/>
      <c r="E7" s="11"/>
      <c r="F7" s="10"/>
      <c r="G7" s="72"/>
      <c r="H7" s="29"/>
      <c r="I7" s="5"/>
    </row>
    <row r="8" spans="2:9">
      <c r="B8" s="11" t="s">
        <v>45</v>
      </c>
      <c r="C8" s="5"/>
      <c r="D8" s="5"/>
      <c r="E8" s="11"/>
      <c r="F8" s="10"/>
      <c r="G8" s="11"/>
      <c r="H8" s="10"/>
      <c r="I8" s="5"/>
    </row>
    <row r="9" spans="2:9">
      <c r="B9" s="11"/>
      <c r="C9" s="5"/>
      <c r="D9" s="5"/>
      <c r="E9" s="11"/>
      <c r="F9" s="10"/>
      <c r="G9" s="11"/>
      <c r="H9" s="10"/>
      <c r="I9" s="5"/>
    </row>
    <row r="10" spans="2:9">
      <c r="B10" s="11"/>
      <c r="C10" s="5"/>
      <c r="D10" s="5"/>
      <c r="E10" s="11"/>
      <c r="F10" s="10"/>
      <c r="G10" s="11"/>
      <c r="H10" s="10"/>
      <c r="I10" s="5"/>
    </row>
    <row r="11" spans="2:9" ht="45.75" customHeight="1">
      <c r="B11" s="178" t="s">
        <v>7</v>
      </c>
      <c r="C11" s="179"/>
      <c r="D11" s="179"/>
      <c r="E11" s="11"/>
      <c r="F11" s="10"/>
      <c r="G11" s="11"/>
      <c r="H11" s="10"/>
      <c r="I11" s="5"/>
    </row>
    <row r="12" spans="2:9">
      <c r="B12" s="11"/>
      <c r="C12" s="5"/>
      <c r="D12" s="17"/>
      <c r="E12" s="171" t="s">
        <v>42</v>
      </c>
      <c r="F12" s="172"/>
      <c r="G12" s="191" t="s">
        <v>13</v>
      </c>
      <c r="H12" s="192"/>
      <c r="I12" s="5"/>
    </row>
    <row r="13" spans="2:9" ht="28.5" customHeight="1">
      <c r="B13" s="12"/>
      <c r="C13" s="13"/>
      <c r="D13" s="13"/>
      <c r="E13" s="24"/>
      <c r="F13" s="14"/>
      <c r="G13" s="181" t="s">
        <v>70</v>
      </c>
      <c r="H13" s="182"/>
      <c r="I13" s="5"/>
    </row>
    <row r="14" spans="2:9" ht="7.5" customHeight="1">
      <c r="B14" s="59"/>
      <c r="C14" s="9"/>
      <c r="D14" s="9"/>
      <c r="G14" s="18"/>
      <c r="I14" s="5"/>
    </row>
    <row r="15" spans="2:9">
      <c r="B15" s="59"/>
      <c r="C15" s="60" t="s">
        <v>29</v>
      </c>
      <c r="D15" s="54"/>
      <c r="E15" s="54"/>
      <c r="F15" s="55"/>
      <c r="I15" s="5"/>
    </row>
    <row r="16" spans="2:9" ht="15" customHeight="1">
      <c r="B16" s="59"/>
      <c r="C16" s="19" t="s">
        <v>20</v>
      </c>
      <c r="D16" s="52" t="s">
        <v>21</v>
      </c>
      <c r="E16" s="52" t="s">
        <v>22</v>
      </c>
      <c r="F16" s="52" t="s">
        <v>23</v>
      </c>
      <c r="I16" s="5"/>
    </row>
    <row r="17" spans="1:10">
      <c r="B17" s="59"/>
      <c r="C17" s="19" t="s">
        <v>24</v>
      </c>
      <c r="D17" s="53"/>
      <c r="E17" s="53"/>
      <c r="F17" s="53"/>
      <c r="I17" s="5"/>
    </row>
    <row r="18" spans="1:10">
      <c r="B18" s="59"/>
      <c r="C18" s="20" t="s">
        <v>25</v>
      </c>
      <c r="D18" s="22" t="s">
        <v>26</v>
      </c>
      <c r="E18" s="21"/>
      <c r="F18" s="21"/>
    </row>
    <row r="19" spans="1:10">
      <c r="B19" s="59"/>
      <c r="C19" s="20" t="s">
        <v>27</v>
      </c>
      <c r="D19" s="21"/>
      <c r="E19" s="21"/>
      <c r="F19" s="21"/>
    </row>
    <row r="20" spans="1:10">
      <c r="B20" s="59"/>
      <c r="C20" s="20" t="s">
        <v>28</v>
      </c>
      <c r="D20" s="21"/>
      <c r="E20" s="21"/>
      <c r="F20" s="21"/>
    </row>
    <row r="21" spans="1:10" ht="15.6">
      <c r="B21" s="59"/>
      <c r="C21" s="61" t="s">
        <v>30</v>
      </c>
      <c r="D21" s="50"/>
      <c r="E21" s="50"/>
      <c r="F21" s="51"/>
    </row>
    <row r="22" spans="1:10" ht="16.5" customHeight="1">
      <c r="B22" s="59"/>
      <c r="C22" s="9"/>
      <c r="D22" s="9"/>
      <c r="G22" s="18"/>
    </row>
    <row r="23" spans="1:10">
      <c r="A23" s="102"/>
      <c r="B23" s="103" t="s">
        <v>76</v>
      </c>
      <c r="C23" s="101"/>
      <c r="D23" s="101"/>
      <c r="E23" s="101"/>
      <c r="F23" s="101"/>
      <c r="G23" s="101"/>
      <c r="H23" s="117"/>
      <c r="I23" s="102"/>
    </row>
    <row r="24" spans="1:10" ht="3" customHeight="1">
      <c r="A24" s="102"/>
      <c r="B24" s="103"/>
      <c r="C24" s="103"/>
      <c r="D24" s="103"/>
      <c r="E24" s="103"/>
      <c r="F24" s="103"/>
      <c r="G24" s="103"/>
      <c r="H24" s="102"/>
      <c r="I24" s="102"/>
    </row>
    <row r="25" spans="1:10" ht="2.25" customHeight="1">
      <c r="A25" s="102"/>
      <c r="B25" s="103"/>
      <c r="C25" s="103"/>
      <c r="D25" s="103"/>
      <c r="E25" s="103"/>
      <c r="F25" s="103"/>
      <c r="G25" s="103"/>
      <c r="H25" s="102"/>
      <c r="I25" s="102"/>
    </row>
    <row r="26" spans="1:10" ht="13.5" customHeight="1">
      <c r="A26" s="102"/>
      <c r="B26" s="103" t="s">
        <v>170</v>
      </c>
      <c r="C26" s="102"/>
      <c r="D26" s="102"/>
      <c r="E26" s="104"/>
      <c r="F26" s="102"/>
      <c r="G26" s="102"/>
      <c r="H26" s="102"/>
      <c r="I26" s="102"/>
    </row>
    <row r="27" spans="1:10" ht="15" thickBot="1">
      <c r="A27" s="102"/>
      <c r="B27" s="139" t="s">
        <v>78</v>
      </c>
      <c r="C27" s="139" t="s">
        <v>79</v>
      </c>
      <c r="D27" s="139" t="s">
        <v>80</v>
      </c>
      <c r="E27" s="140" t="s">
        <v>81</v>
      </c>
      <c r="F27" s="141" t="s">
        <v>82</v>
      </c>
      <c r="G27" s="142" t="s">
        <v>83</v>
      </c>
      <c r="H27" s="142" t="s">
        <v>84</v>
      </c>
      <c r="I27" s="142" t="s">
        <v>139</v>
      </c>
    </row>
    <row r="28" spans="1:10">
      <c r="A28" s="102"/>
      <c r="B28" s="105"/>
      <c r="C28" s="105"/>
      <c r="D28" s="105"/>
      <c r="E28" s="106"/>
      <c r="F28" s="118"/>
      <c r="G28" s="119"/>
      <c r="H28" s="120"/>
      <c r="I28" s="159"/>
    </row>
    <row r="29" spans="1:10">
      <c r="A29" s="102"/>
      <c r="B29" s="105"/>
      <c r="C29" s="105"/>
      <c r="D29" s="105"/>
      <c r="E29" s="106"/>
      <c r="F29" s="118"/>
      <c r="G29" s="119"/>
      <c r="H29" s="120"/>
      <c r="I29" s="159"/>
    </row>
    <row r="30" spans="1:10">
      <c r="A30" s="102"/>
      <c r="B30" s="107" t="s">
        <v>100</v>
      </c>
      <c r="C30" s="108"/>
      <c r="D30" s="108"/>
      <c r="E30" s="109"/>
      <c r="F30" s="121"/>
      <c r="G30" s="122"/>
      <c r="H30" s="123"/>
      <c r="I30" s="160"/>
    </row>
    <row r="31" spans="1:10">
      <c r="A31" s="46" t="s">
        <v>39</v>
      </c>
      <c r="B31" s="105" t="s">
        <v>102</v>
      </c>
      <c r="C31" s="105" t="s">
        <v>146</v>
      </c>
      <c r="D31" s="105"/>
      <c r="E31" s="106"/>
      <c r="F31" s="118">
        <v>4007.38</v>
      </c>
      <c r="G31" s="119">
        <v>99.45</v>
      </c>
      <c r="H31" s="120">
        <v>5.3455000000000004</v>
      </c>
      <c r="I31" s="195">
        <v>46204</v>
      </c>
      <c r="J31" s="138"/>
    </row>
    <row r="32" spans="1:10">
      <c r="A32" s="102"/>
      <c r="B32" s="113" t="s">
        <v>88</v>
      </c>
      <c r="C32" s="113"/>
      <c r="D32" s="113"/>
      <c r="E32" s="114"/>
      <c r="F32" s="143">
        <v>4007.38</v>
      </c>
      <c r="G32" s="144">
        <v>99.45</v>
      </c>
      <c r="H32" s="127"/>
      <c r="I32" s="161"/>
    </row>
    <row r="33" spans="1:13">
      <c r="A33" s="102"/>
      <c r="B33" s="105"/>
      <c r="C33" s="105"/>
      <c r="D33" s="105"/>
      <c r="E33" s="106"/>
      <c r="F33" s="118"/>
      <c r="G33" s="119"/>
      <c r="H33" s="120"/>
      <c r="I33" s="159"/>
    </row>
    <row r="34" spans="1:13">
      <c r="A34" s="102"/>
      <c r="B34" s="145" t="s">
        <v>89</v>
      </c>
      <c r="C34" s="146"/>
      <c r="D34" s="146"/>
      <c r="E34" s="147"/>
      <c r="F34" s="143">
        <v>4007.38</v>
      </c>
      <c r="G34" s="144">
        <v>99.45</v>
      </c>
      <c r="H34" s="127"/>
      <c r="I34" s="161"/>
    </row>
    <row r="35" spans="1:13">
      <c r="A35" s="102"/>
      <c r="B35" s="105"/>
      <c r="C35" s="105"/>
      <c r="D35" s="105"/>
      <c r="E35" s="106"/>
      <c r="F35" s="118"/>
      <c r="G35" s="119"/>
      <c r="H35" s="120"/>
      <c r="I35" s="159"/>
    </row>
    <row r="36" spans="1:13">
      <c r="A36" s="102"/>
      <c r="B36" s="105" t="s">
        <v>90</v>
      </c>
      <c r="C36" s="105"/>
      <c r="D36" s="105"/>
      <c r="E36" s="106"/>
      <c r="F36" s="118">
        <v>22.06</v>
      </c>
      <c r="G36" s="119">
        <v>0.54999999999999716</v>
      </c>
      <c r="H36" s="120"/>
      <c r="I36" s="159"/>
    </row>
    <row r="37" spans="1:13">
      <c r="A37" s="102"/>
      <c r="B37" s="105"/>
      <c r="C37" s="105"/>
      <c r="D37" s="105"/>
      <c r="E37" s="106"/>
      <c r="F37" s="118"/>
      <c r="G37" s="119"/>
      <c r="H37" s="120"/>
      <c r="I37" s="159"/>
    </row>
    <row r="38" spans="1:13">
      <c r="A38" s="102"/>
      <c r="B38" s="145" t="s">
        <v>91</v>
      </c>
      <c r="C38" s="146"/>
      <c r="D38" s="146"/>
      <c r="E38" s="147"/>
      <c r="F38" s="143">
        <v>4029.44</v>
      </c>
      <c r="G38" s="144">
        <v>100</v>
      </c>
      <c r="H38" s="128"/>
      <c r="I38" s="162"/>
    </row>
    <row r="39" spans="1:13">
      <c r="A39" s="46" t="s">
        <v>39</v>
      </c>
      <c r="B39" s="5" t="s">
        <v>40</v>
      </c>
      <c r="D39" s="3"/>
      <c r="E39" s="3"/>
      <c r="F39" s="15"/>
      <c r="G39" s="3"/>
      <c r="H39" s="3"/>
    </row>
    <row r="40" spans="1:13">
      <c r="A40" s="8"/>
      <c r="D40" s="3"/>
      <c r="E40" s="3"/>
      <c r="F40" s="15"/>
      <c r="G40" s="3"/>
      <c r="H40" s="3"/>
    </row>
    <row r="41" spans="1:13">
      <c r="B41" t="s">
        <v>0</v>
      </c>
      <c r="C41" s="4"/>
      <c r="D41" s="4"/>
      <c r="E41" s="4"/>
      <c r="F41" s="7"/>
      <c r="G41" s="7"/>
      <c r="H41" s="86"/>
      <c r="I41" s="7"/>
      <c r="J41" s="7"/>
      <c r="K41" s="7"/>
      <c r="L41" s="7"/>
      <c r="M41" s="7"/>
    </row>
    <row r="42" spans="1:13">
      <c r="B42" s="62" t="s">
        <v>31</v>
      </c>
      <c r="C42" s="62"/>
      <c r="D42" s="62"/>
      <c r="E42" s="62"/>
      <c r="F42" s="62"/>
      <c r="G42" s="62"/>
      <c r="H42" s="7"/>
      <c r="I42" s="7"/>
      <c r="J42" s="7"/>
      <c r="K42" s="7"/>
      <c r="L42" s="7"/>
      <c r="M42" s="7"/>
    </row>
    <row r="43" spans="1:13">
      <c r="B43" s="43" t="s">
        <v>1</v>
      </c>
      <c r="C43" s="30">
        <v>46203</v>
      </c>
      <c r="D43" s="30">
        <v>46188</v>
      </c>
      <c r="E43" s="62"/>
      <c r="F43" s="62"/>
      <c r="G43" s="62"/>
      <c r="H43" s="7"/>
      <c r="I43" s="8"/>
      <c r="J43" s="7"/>
      <c r="K43" s="7"/>
      <c r="L43" s="7"/>
      <c r="M43" s="7"/>
    </row>
    <row r="44" spans="1:13">
      <c r="B44" s="44" t="s">
        <v>46</v>
      </c>
      <c r="C44" s="98">
        <v>1110.8683000000001</v>
      </c>
      <c r="D44" s="98">
        <v>1108.7080000000001</v>
      </c>
      <c r="E44" s="62"/>
      <c r="F44" s="62"/>
      <c r="G44" s="62"/>
      <c r="H44" s="7"/>
      <c r="I44" s="8"/>
      <c r="J44" s="7"/>
      <c r="K44" s="7"/>
      <c r="L44" s="7"/>
      <c r="M44" s="7"/>
    </row>
    <row r="45" spans="1:13">
      <c r="B45" t="s">
        <v>47</v>
      </c>
      <c r="C45" s="62"/>
      <c r="D45" s="63"/>
      <c r="E45" s="62"/>
      <c r="F45" s="62"/>
      <c r="G45" s="62"/>
      <c r="H45" s="7"/>
      <c r="I45" s="8"/>
    </row>
    <row r="46" spans="1:13">
      <c r="B46" s="62" t="s">
        <v>120</v>
      </c>
      <c r="C46" s="64"/>
      <c r="D46" s="65"/>
      <c r="E46" s="62"/>
      <c r="F46" s="62"/>
      <c r="G46" s="62"/>
      <c r="H46" s="7"/>
      <c r="I46" s="8"/>
    </row>
    <row r="47" spans="1:13">
      <c r="B47" s="64"/>
      <c r="C47" s="64"/>
      <c r="D47" s="65"/>
      <c r="E47" s="62"/>
      <c r="F47" s="62"/>
      <c r="G47" s="62"/>
      <c r="H47" s="7"/>
      <c r="I47" s="8"/>
    </row>
    <row r="48" spans="1:13">
      <c r="B48" s="134" t="s">
        <v>121</v>
      </c>
      <c r="D48" s="67"/>
      <c r="E48" s="67"/>
    </row>
    <row r="49" spans="2:6">
      <c r="B49" s="4" t="s">
        <v>122</v>
      </c>
      <c r="D49" s="67"/>
      <c r="F49" s="68"/>
    </row>
    <row r="50" spans="2:6">
      <c r="B50" s="4" t="s">
        <v>123</v>
      </c>
      <c r="C50" s="62"/>
      <c r="D50" s="62"/>
      <c r="E50" s="62"/>
      <c r="F50" s="68"/>
    </row>
    <row r="51" spans="2:6">
      <c r="B51" s="4" t="s">
        <v>124</v>
      </c>
      <c r="C51" s="62"/>
      <c r="D51" s="62"/>
      <c r="E51" s="62"/>
    </row>
    <row r="52" spans="2:6">
      <c r="B52" s="4" t="s">
        <v>125</v>
      </c>
      <c r="C52" s="62"/>
      <c r="D52" s="62"/>
      <c r="E52" s="62"/>
    </row>
    <row r="53" spans="2:6">
      <c r="B53" s="4" t="s">
        <v>136</v>
      </c>
      <c r="C53" s="7"/>
      <c r="D53" s="1"/>
      <c r="E53" s="1"/>
      <c r="F53" s="1"/>
    </row>
    <row r="54" spans="2:6">
      <c r="B54" s="4" t="s">
        <v>127</v>
      </c>
      <c r="C54" s="4"/>
    </row>
    <row r="55" spans="2:6">
      <c r="B55" s="6" t="s">
        <v>126</v>
      </c>
      <c r="C55" s="115" t="s">
        <v>101</v>
      </c>
    </row>
    <row r="56" spans="2:6">
      <c r="B56" s="4"/>
      <c r="C56" s="4"/>
    </row>
    <row r="57" spans="2:6">
      <c r="B57" s="79" t="s">
        <v>67</v>
      </c>
      <c r="C57" s="93">
        <v>2.5999999999999999E-3</v>
      </c>
    </row>
    <row r="58" spans="2:6" ht="27.75" customHeight="1">
      <c r="B58" s="4"/>
      <c r="C58" s="4"/>
    </row>
    <row r="59" spans="2:6">
      <c r="B59" s="79"/>
      <c r="C59" s="82" t="s">
        <v>75</v>
      </c>
    </row>
    <row r="60" spans="2:6">
      <c r="B60" s="79" t="s">
        <v>32</v>
      </c>
      <c r="C60" s="94" t="s">
        <v>76</v>
      </c>
    </row>
    <row r="61" spans="2:6">
      <c r="B61" s="79" t="s">
        <v>33</v>
      </c>
      <c r="C61" s="82"/>
    </row>
    <row r="62" spans="2:6">
      <c r="B62" s="79"/>
      <c r="C62" s="82"/>
    </row>
    <row r="63" spans="2:6">
      <c r="B63" s="79" t="s">
        <v>34</v>
      </c>
      <c r="C63" s="90">
        <v>5.3455000000000003E-2</v>
      </c>
      <c r="E63" s="116">
        <f>SUMPRODUCT(H27:H38,G27:G38)/100</f>
        <v>5.3160997500000011</v>
      </c>
      <c r="F63" s="91"/>
    </row>
    <row r="64" spans="2:6">
      <c r="B64" s="79"/>
      <c r="C64" s="82"/>
    </row>
    <row r="65" spans="2:3">
      <c r="B65" s="79" t="s">
        <v>37</v>
      </c>
      <c r="C65" s="93">
        <v>2.7000000000000001E-3</v>
      </c>
    </row>
    <row r="66" spans="2:3">
      <c r="B66" s="79" t="s">
        <v>66</v>
      </c>
      <c r="C66" s="95">
        <v>1</v>
      </c>
    </row>
    <row r="67" spans="2:3" ht="17.25" customHeight="1">
      <c r="B67" s="79"/>
      <c r="C67" s="82"/>
    </row>
    <row r="68" spans="2:3">
      <c r="B68" s="79" t="s">
        <v>35</v>
      </c>
      <c r="C68" s="83">
        <v>46203</v>
      </c>
    </row>
    <row r="69" spans="2:3" ht="15" customHeight="1">
      <c r="B69" s="78" t="s">
        <v>36</v>
      </c>
      <c r="C69" s="88"/>
    </row>
    <row r="70" spans="2:3" ht="15" customHeight="1">
      <c r="C70" s="4"/>
    </row>
    <row r="71" spans="2:3">
      <c r="B71" s="69" t="s">
        <v>48</v>
      </c>
      <c r="C71" s="81">
        <v>1E-4</v>
      </c>
    </row>
    <row r="72" spans="2:3">
      <c r="B72" s="69" t="s">
        <v>77</v>
      </c>
      <c r="C72" s="81">
        <v>0.99450000000000005</v>
      </c>
    </row>
    <row r="73" spans="2:3">
      <c r="C73" s="4"/>
    </row>
    <row r="74" spans="2:3">
      <c r="C74" s="4"/>
    </row>
    <row r="75" spans="2:3">
      <c r="C75" s="4"/>
    </row>
  </sheetData>
  <mergeCells count="8">
    <mergeCell ref="G13:H13"/>
    <mergeCell ref="E5:F5"/>
    <mergeCell ref="E12:F12"/>
    <mergeCell ref="B1:H1"/>
    <mergeCell ref="G5:H5"/>
    <mergeCell ref="B11:D11"/>
    <mergeCell ref="G12:H12"/>
    <mergeCell ref="B2:H2"/>
  </mergeCells>
  <hyperlinks>
    <hyperlink ref="C55" r:id="rId1" xr:uid="{0553B319-8EFB-4930-B605-86CBDF1E3831}"/>
  </hyperlinks>
  <pageMargins left="0.7" right="0.7" top="0.75" bottom="0.75" header="0.3" footer="0.3"/>
  <pageSetup scale="42" orientation="portrait" r:id="rId2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8EA1BE-8D6C-43F3-B6C9-1293777BD08D}">
  <sheetPr codeName="Sheet3"/>
  <dimension ref="A1:M95"/>
  <sheetViews>
    <sheetView showGridLines="0" zoomScaleNormal="100" workbookViewId="0">
      <selection activeCell="B1" sqref="B1:H1"/>
    </sheetView>
  </sheetViews>
  <sheetFormatPr defaultColWidth="17.5546875" defaultRowHeight="14.4"/>
  <cols>
    <col min="1" max="1" width="4.44140625" customWidth="1"/>
    <col min="2" max="2" width="51.44140625" customWidth="1"/>
    <col min="3" max="3" width="22.109375" customWidth="1"/>
    <col min="4" max="4" width="19.5546875" customWidth="1"/>
    <col min="5" max="5" width="27.88671875" customWidth="1"/>
    <col min="6" max="6" width="29.5546875" customWidth="1"/>
    <col min="7" max="7" width="34" customWidth="1"/>
    <col min="8" max="8" width="11.109375" customWidth="1"/>
    <col min="9" max="9" width="17.44140625" customWidth="1"/>
    <col min="10" max="10" width="19" bestFit="1" customWidth="1"/>
    <col min="11" max="11" width="20.44140625" bestFit="1" customWidth="1"/>
    <col min="16" max="16" width="22.5546875" bestFit="1" customWidth="1"/>
  </cols>
  <sheetData>
    <row r="1" spans="2:9" ht="21">
      <c r="B1" s="190" t="s">
        <v>51</v>
      </c>
      <c r="C1" s="190"/>
      <c r="D1" s="190"/>
      <c r="E1" s="190"/>
      <c r="F1" s="190"/>
      <c r="G1" s="190"/>
      <c r="H1" s="190"/>
    </row>
    <row r="2" spans="2:9" s="5" customFormat="1" ht="17.25" customHeight="1">
      <c r="B2" s="168" t="s">
        <v>68</v>
      </c>
      <c r="C2" s="168"/>
      <c r="D2" s="168"/>
      <c r="E2" s="168"/>
      <c r="F2" s="168"/>
      <c r="G2" s="168"/>
      <c r="H2" s="168"/>
    </row>
    <row r="3" spans="2:9" ht="9.75" customHeight="1">
      <c r="B3" s="2"/>
      <c r="C3" s="2"/>
      <c r="D3" s="56"/>
      <c r="F3" s="1"/>
      <c r="G3" s="1"/>
      <c r="H3" s="1"/>
    </row>
    <row r="4" spans="2:9" s="5" customFormat="1" ht="21">
      <c r="B4" s="26"/>
      <c r="C4" s="27"/>
      <c r="D4" s="28"/>
      <c r="E4" s="169" t="s">
        <v>8</v>
      </c>
      <c r="F4" s="170"/>
      <c r="G4" s="169" t="s">
        <v>41</v>
      </c>
      <c r="H4" s="170"/>
    </row>
    <row r="5" spans="2:9" ht="15.6">
      <c r="B5" s="25" t="s">
        <v>6</v>
      </c>
      <c r="C5" s="5"/>
      <c r="D5" s="5"/>
      <c r="E5" s="11"/>
      <c r="F5" s="10"/>
      <c r="G5" s="57"/>
      <c r="H5" s="58"/>
      <c r="I5" s="5"/>
    </row>
    <row r="6" spans="2:9">
      <c r="B6" s="11" t="s">
        <v>44</v>
      </c>
      <c r="C6" s="5"/>
      <c r="D6" s="17"/>
      <c r="E6" s="11"/>
      <c r="F6" s="10"/>
      <c r="G6" s="72"/>
      <c r="H6" s="29"/>
      <c r="I6" s="5"/>
    </row>
    <row r="7" spans="2:9">
      <c r="B7" s="11" t="s">
        <v>52</v>
      </c>
      <c r="C7" s="5"/>
      <c r="D7" s="5"/>
      <c r="E7" s="11"/>
      <c r="F7" s="10"/>
      <c r="G7" s="11"/>
      <c r="H7" s="10"/>
      <c r="I7" s="5"/>
    </row>
    <row r="8" spans="2:9">
      <c r="B8" s="11"/>
      <c r="C8" s="5"/>
      <c r="D8" s="5"/>
      <c r="E8" s="11"/>
      <c r="F8" s="10"/>
      <c r="G8" s="11"/>
      <c r="H8" s="10"/>
      <c r="I8" s="5"/>
    </row>
    <row r="9" spans="2:9">
      <c r="B9" s="11"/>
      <c r="C9" s="5"/>
      <c r="D9" s="5"/>
      <c r="E9" s="11"/>
      <c r="F9" s="10"/>
      <c r="G9" s="11"/>
      <c r="H9" s="10"/>
      <c r="I9" s="5"/>
    </row>
    <row r="10" spans="2:9" ht="29.25" customHeight="1">
      <c r="B10" s="178" t="s">
        <v>7</v>
      </c>
      <c r="C10" s="179"/>
      <c r="D10" s="179"/>
      <c r="E10" s="11"/>
      <c r="F10" s="10"/>
      <c r="G10" s="11"/>
      <c r="H10" s="10"/>
      <c r="I10" s="5"/>
    </row>
    <row r="11" spans="2:9" ht="26.25" customHeight="1">
      <c r="B11" s="11"/>
      <c r="C11" s="5"/>
      <c r="D11" s="5"/>
      <c r="E11" s="11"/>
      <c r="F11" s="10"/>
      <c r="G11" s="11"/>
      <c r="H11" s="10"/>
      <c r="I11" s="5"/>
    </row>
    <row r="12" spans="2:9">
      <c r="B12" s="11"/>
      <c r="C12" s="5"/>
      <c r="D12" s="17"/>
      <c r="E12" s="171" t="s">
        <v>74</v>
      </c>
      <c r="F12" s="172"/>
      <c r="G12" s="191" t="s">
        <v>53</v>
      </c>
      <c r="H12" s="192"/>
      <c r="I12" s="5"/>
    </row>
    <row r="13" spans="2:9" ht="27.75" customHeight="1">
      <c r="B13" s="12"/>
      <c r="C13" s="13"/>
      <c r="D13" s="13"/>
      <c r="E13" s="24"/>
      <c r="F13" s="14"/>
      <c r="G13" s="193" t="s">
        <v>71</v>
      </c>
      <c r="H13" s="194"/>
    </row>
    <row r="14" spans="2:9" ht="7.5" customHeight="1">
      <c r="B14" s="59"/>
      <c r="C14" s="9"/>
      <c r="D14" s="9"/>
      <c r="G14" s="18"/>
    </row>
    <row r="15" spans="2:9">
      <c r="B15" s="59"/>
      <c r="C15" s="60" t="s">
        <v>29</v>
      </c>
      <c r="D15" s="54"/>
      <c r="E15" s="54"/>
      <c r="F15" s="55"/>
    </row>
    <row r="16" spans="2:9" ht="15" customHeight="1">
      <c r="B16" s="59"/>
      <c r="C16" s="19" t="s">
        <v>20</v>
      </c>
      <c r="D16" s="52" t="s">
        <v>54</v>
      </c>
      <c r="E16" s="52" t="s">
        <v>55</v>
      </c>
      <c r="F16" s="52" t="s">
        <v>56</v>
      </c>
    </row>
    <row r="17" spans="1:9">
      <c r="B17" s="59"/>
      <c r="C17" s="19" t="s">
        <v>24</v>
      </c>
      <c r="D17" s="53" t="s">
        <v>57</v>
      </c>
      <c r="E17" s="53" t="s">
        <v>58</v>
      </c>
      <c r="F17" s="53" t="s">
        <v>59</v>
      </c>
    </row>
    <row r="18" spans="1:9">
      <c r="B18" s="59"/>
      <c r="C18" s="20" t="s">
        <v>25</v>
      </c>
      <c r="D18" s="21"/>
      <c r="E18" s="22" t="s">
        <v>60</v>
      </c>
      <c r="F18" s="21"/>
    </row>
    <row r="19" spans="1:9">
      <c r="B19" s="59"/>
      <c r="C19" s="20" t="s">
        <v>27</v>
      </c>
      <c r="D19" s="21"/>
      <c r="E19" s="21"/>
      <c r="F19" s="21"/>
    </row>
    <row r="20" spans="1:9">
      <c r="B20" s="59"/>
      <c r="C20" s="20" t="s">
        <v>28</v>
      </c>
      <c r="D20" s="21"/>
      <c r="E20" s="21"/>
      <c r="F20" s="21"/>
    </row>
    <row r="21" spans="1:9" ht="15.6">
      <c r="B21" s="59"/>
      <c r="C21" s="70" t="s">
        <v>61</v>
      </c>
      <c r="D21" s="50"/>
      <c r="E21" s="50"/>
      <c r="F21" s="51"/>
    </row>
    <row r="22" spans="1:9">
      <c r="B22" s="59"/>
      <c r="C22" s="9"/>
      <c r="D22" s="9"/>
      <c r="G22" s="18"/>
    </row>
    <row r="23" spans="1:9">
      <c r="A23" s="102"/>
      <c r="B23" s="103" t="s">
        <v>114</v>
      </c>
      <c r="C23" s="101"/>
      <c r="D23" s="101"/>
      <c r="E23" s="101"/>
      <c r="F23" s="101"/>
      <c r="G23" s="101"/>
      <c r="H23" s="117"/>
      <c r="I23" s="102"/>
    </row>
    <row r="24" spans="1:9" ht="3" customHeight="1">
      <c r="A24" s="102"/>
      <c r="B24" s="103"/>
      <c r="C24" s="103"/>
      <c r="D24" s="103"/>
      <c r="E24" s="103"/>
      <c r="F24" s="103"/>
      <c r="G24" s="103"/>
      <c r="H24" s="102"/>
      <c r="I24" s="102"/>
    </row>
    <row r="25" spans="1:9" ht="2.25" customHeight="1">
      <c r="A25" s="102"/>
      <c r="B25" s="103"/>
      <c r="C25" s="103"/>
      <c r="D25" s="103"/>
      <c r="E25" s="103"/>
      <c r="F25" s="103"/>
      <c r="G25" s="103"/>
      <c r="H25" s="102"/>
      <c r="I25" s="102"/>
    </row>
    <row r="26" spans="1:9">
      <c r="A26" s="102"/>
      <c r="B26" s="103" t="s">
        <v>170</v>
      </c>
      <c r="C26" s="102"/>
      <c r="D26" s="102"/>
      <c r="E26" s="104"/>
      <c r="F26" s="102"/>
      <c r="G26" s="102"/>
      <c r="H26" s="102"/>
      <c r="I26" s="102"/>
    </row>
    <row r="27" spans="1:9" ht="15" thickBot="1">
      <c r="A27" s="102"/>
      <c r="B27" s="139" t="s">
        <v>78</v>
      </c>
      <c r="C27" s="139" t="s">
        <v>79</v>
      </c>
      <c r="D27" s="139" t="s">
        <v>80</v>
      </c>
      <c r="E27" s="140" t="s">
        <v>81</v>
      </c>
      <c r="F27" s="141" t="s">
        <v>82</v>
      </c>
      <c r="G27" s="142" t="s">
        <v>83</v>
      </c>
      <c r="H27" s="142" t="s">
        <v>84</v>
      </c>
      <c r="I27" s="142" t="s">
        <v>139</v>
      </c>
    </row>
    <row r="28" spans="1:9">
      <c r="A28" s="102"/>
      <c r="B28" s="105"/>
      <c r="C28" s="105"/>
      <c r="D28" s="105"/>
      <c r="E28" s="106"/>
      <c r="F28" s="118"/>
      <c r="G28" s="119"/>
      <c r="H28" s="120"/>
      <c r="I28" s="159"/>
    </row>
    <row r="29" spans="1:9">
      <c r="A29" s="102"/>
      <c r="B29" s="107" t="s">
        <v>85</v>
      </c>
      <c r="C29" s="108"/>
      <c r="D29" s="108"/>
      <c r="E29" s="109"/>
      <c r="F29" s="121"/>
      <c r="G29" s="122"/>
      <c r="H29" s="123"/>
      <c r="I29" s="160"/>
    </row>
    <row r="30" spans="1:9">
      <c r="A30" s="102"/>
      <c r="B30" s="105"/>
      <c r="C30" s="105"/>
      <c r="D30" s="105"/>
      <c r="E30" s="106"/>
      <c r="F30" s="118"/>
      <c r="G30" s="119"/>
      <c r="H30" s="120"/>
      <c r="I30" s="159"/>
    </row>
    <row r="31" spans="1:9">
      <c r="A31" s="102"/>
      <c r="B31" s="110" t="s">
        <v>92</v>
      </c>
      <c r="C31" s="111"/>
      <c r="D31" s="111"/>
      <c r="E31" s="112"/>
      <c r="F31" s="124"/>
      <c r="G31" s="125"/>
      <c r="H31" s="126"/>
      <c r="I31" s="163"/>
    </row>
    <row r="32" spans="1:9">
      <c r="A32" s="46" t="s">
        <v>39</v>
      </c>
      <c r="B32" s="105" t="s">
        <v>149</v>
      </c>
      <c r="C32" s="105" t="s">
        <v>131</v>
      </c>
      <c r="D32" s="105" t="s">
        <v>97</v>
      </c>
      <c r="E32" s="106">
        <v>1500000</v>
      </c>
      <c r="F32" s="118">
        <v>1486.91</v>
      </c>
      <c r="G32" s="119">
        <v>8.77</v>
      </c>
      <c r="H32" s="120">
        <v>6.3000999999999996</v>
      </c>
      <c r="I32" s="195">
        <v>46255</v>
      </c>
    </row>
    <row r="33" spans="1:9">
      <c r="A33" s="46" t="s">
        <v>39</v>
      </c>
      <c r="B33" s="105" t="s">
        <v>99</v>
      </c>
      <c r="C33" s="105" t="s">
        <v>132</v>
      </c>
      <c r="D33" s="105" t="s">
        <v>98</v>
      </c>
      <c r="E33" s="106">
        <v>1500000</v>
      </c>
      <c r="F33" s="118">
        <v>1485.99</v>
      </c>
      <c r="G33" s="119">
        <v>8.77</v>
      </c>
      <c r="H33" s="120">
        <v>6.3750999999999998</v>
      </c>
      <c r="I33" s="195">
        <v>46258</v>
      </c>
    </row>
    <row r="34" spans="1:9" ht="14.25" customHeight="1">
      <c r="A34" s="46" t="s">
        <v>39</v>
      </c>
      <c r="B34" s="105" t="s">
        <v>130</v>
      </c>
      <c r="C34" s="105" t="s">
        <v>133</v>
      </c>
      <c r="D34" s="105" t="s">
        <v>93</v>
      </c>
      <c r="E34" s="106">
        <v>1500000</v>
      </c>
      <c r="F34" s="118">
        <v>1485.56</v>
      </c>
      <c r="G34" s="119">
        <v>8.77</v>
      </c>
      <c r="H34" s="120">
        <v>6.4503000000000004</v>
      </c>
      <c r="I34" s="195">
        <v>46259</v>
      </c>
    </row>
    <row r="35" spans="1:9">
      <c r="A35" s="46" t="s">
        <v>39</v>
      </c>
      <c r="B35" s="105" t="s">
        <v>140</v>
      </c>
      <c r="C35" s="105" t="s">
        <v>141</v>
      </c>
      <c r="D35" s="105" t="s">
        <v>93</v>
      </c>
      <c r="E35" s="106">
        <v>1500000</v>
      </c>
      <c r="F35" s="118">
        <v>1484.32</v>
      </c>
      <c r="G35" s="119">
        <v>8.76</v>
      </c>
      <c r="H35" s="120">
        <v>6.22</v>
      </c>
      <c r="I35" s="195">
        <v>46266</v>
      </c>
    </row>
    <row r="36" spans="1:9">
      <c r="A36" s="46" t="s">
        <v>39</v>
      </c>
      <c r="B36" s="105" t="s">
        <v>150</v>
      </c>
      <c r="C36" s="105" t="s">
        <v>151</v>
      </c>
      <c r="D36" s="105" t="s">
        <v>93</v>
      </c>
      <c r="E36" s="106">
        <v>1500000</v>
      </c>
      <c r="F36" s="118">
        <v>1480.84</v>
      </c>
      <c r="G36" s="119">
        <v>8.74</v>
      </c>
      <c r="H36" s="120">
        <v>6.2149999999999999</v>
      </c>
      <c r="I36" s="195">
        <v>46280</v>
      </c>
    </row>
    <row r="37" spans="1:9">
      <c r="A37" s="46" t="s">
        <v>39</v>
      </c>
      <c r="B37" s="105" t="s">
        <v>152</v>
      </c>
      <c r="C37" s="105" t="s">
        <v>153</v>
      </c>
      <c r="D37" s="105" t="s">
        <v>98</v>
      </c>
      <c r="E37" s="106">
        <v>1500000</v>
      </c>
      <c r="F37" s="118">
        <v>1479.09</v>
      </c>
      <c r="G37" s="119">
        <v>8.73</v>
      </c>
      <c r="H37" s="120">
        <v>6.2154999999999996</v>
      </c>
      <c r="I37" s="195">
        <v>46287</v>
      </c>
    </row>
    <row r="38" spans="1:9">
      <c r="B38" s="113" t="s">
        <v>88</v>
      </c>
      <c r="C38" s="113"/>
      <c r="D38" s="113"/>
      <c r="E38" s="114"/>
      <c r="F38" s="143">
        <v>8902.7099999999991</v>
      </c>
      <c r="G38" s="144">
        <v>52.54</v>
      </c>
      <c r="H38" s="127"/>
      <c r="I38" s="161"/>
    </row>
    <row r="39" spans="1:9">
      <c r="B39" s="105"/>
      <c r="C39" s="105"/>
      <c r="D39" s="105"/>
      <c r="E39" s="106"/>
      <c r="F39" s="118"/>
      <c r="G39" s="119"/>
      <c r="H39" s="120"/>
      <c r="I39" s="159"/>
    </row>
    <row r="40" spans="1:9">
      <c r="B40" s="110" t="s">
        <v>94</v>
      </c>
      <c r="C40" s="111"/>
      <c r="D40" s="111"/>
      <c r="E40" s="112"/>
      <c r="F40" s="124"/>
      <c r="G40" s="125"/>
      <c r="H40" s="126"/>
      <c r="I40" s="163"/>
    </row>
    <row r="41" spans="1:9">
      <c r="A41" s="46" t="s">
        <v>39</v>
      </c>
      <c r="B41" s="105" t="s">
        <v>154</v>
      </c>
      <c r="C41" s="105" t="s">
        <v>142</v>
      </c>
      <c r="D41" s="105" t="s">
        <v>93</v>
      </c>
      <c r="E41" s="106">
        <v>1500000</v>
      </c>
      <c r="F41" s="118">
        <v>1481.18</v>
      </c>
      <c r="G41" s="119">
        <v>8.74</v>
      </c>
      <c r="H41" s="120">
        <v>6.4398999999999997</v>
      </c>
      <c r="I41" s="195">
        <v>46276</v>
      </c>
    </row>
    <row r="42" spans="1:9">
      <c r="A42" s="46" t="s">
        <v>39</v>
      </c>
      <c r="B42" s="105" t="s">
        <v>155</v>
      </c>
      <c r="C42" s="105" t="s">
        <v>156</v>
      </c>
      <c r="D42" s="105" t="s">
        <v>93</v>
      </c>
      <c r="E42" s="106">
        <v>1500000</v>
      </c>
      <c r="F42" s="118">
        <v>1478.63</v>
      </c>
      <c r="G42" s="119">
        <v>8.7200000000000006</v>
      </c>
      <c r="H42" s="120">
        <v>6.4348999999999998</v>
      </c>
      <c r="I42" s="195">
        <v>46286</v>
      </c>
    </row>
    <row r="43" spans="1:9">
      <c r="A43" s="46" t="s">
        <v>39</v>
      </c>
      <c r="B43" s="105" t="s">
        <v>134</v>
      </c>
      <c r="C43" s="105" t="s">
        <v>135</v>
      </c>
      <c r="D43" s="105" t="s">
        <v>93</v>
      </c>
      <c r="E43" s="106">
        <v>1000000</v>
      </c>
      <c r="F43" s="118">
        <v>990.53</v>
      </c>
      <c r="G43" s="119">
        <v>5.84</v>
      </c>
      <c r="H43" s="120">
        <v>6.8398000000000003</v>
      </c>
      <c r="I43" s="195">
        <v>46255</v>
      </c>
    </row>
    <row r="44" spans="1:9">
      <c r="A44" s="46"/>
      <c r="B44" s="105" t="s">
        <v>116</v>
      </c>
      <c r="C44" s="105" t="s">
        <v>157</v>
      </c>
      <c r="D44" s="105" t="s">
        <v>93</v>
      </c>
      <c r="E44" s="106">
        <v>1000000</v>
      </c>
      <c r="F44" s="118">
        <v>985.55</v>
      </c>
      <c r="G44" s="119">
        <v>5.82</v>
      </c>
      <c r="H44" s="120">
        <v>6.8597999999999999</v>
      </c>
      <c r="I44" s="195">
        <v>46282</v>
      </c>
    </row>
    <row r="45" spans="1:9">
      <c r="B45" s="105" t="s">
        <v>158</v>
      </c>
      <c r="C45" s="105" t="s">
        <v>159</v>
      </c>
      <c r="D45" s="105" t="s">
        <v>93</v>
      </c>
      <c r="E45" s="106">
        <v>1000000</v>
      </c>
      <c r="F45" s="118">
        <v>984.76</v>
      </c>
      <c r="G45" s="119">
        <v>5.81</v>
      </c>
      <c r="H45" s="120">
        <v>6.8875000000000002</v>
      </c>
      <c r="I45" s="195">
        <v>46286</v>
      </c>
    </row>
    <row r="46" spans="1:9">
      <c r="A46" s="46"/>
      <c r="B46" s="113" t="s">
        <v>88</v>
      </c>
      <c r="C46" s="113"/>
      <c r="D46" s="113"/>
      <c r="E46" s="114"/>
      <c r="F46" s="143">
        <v>5920.65</v>
      </c>
      <c r="G46" s="144">
        <v>34.93</v>
      </c>
      <c r="H46" s="127"/>
      <c r="I46" s="161"/>
    </row>
    <row r="47" spans="1:9">
      <c r="B47" s="105"/>
      <c r="C47" s="105"/>
      <c r="D47" s="105"/>
      <c r="E47" s="106"/>
      <c r="F47" s="118"/>
      <c r="G47" s="119"/>
      <c r="H47" s="120"/>
      <c r="I47" s="159"/>
    </row>
    <row r="48" spans="1:9">
      <c r="A48" s="46"/>
      <c r="B48" s="110" t="s">
        <v>86</v>
      </c>
      <c r="C48" s="111"/>
      <c r="D48" s="111"/>
      <c r="E48" s="112"/>
      <c r="F48" s="124"/>
      <c r="G48" s="125"/>
      <c r="H48" s="126"/>
      <c r="I48" s="163"/>
    </row>
    <row r="49" spans="1:9">
      <c r="A49" s="46" t="s">
        <v>39</v>
      </c>
      <c r="B49" s="105" t="s">
        <v>143</v>
      </c>
      <c r="C49" s="105" t="s">
        <v>144</v>
      </c>
      <c r="D49" s="105" t="s">
        <v>87</v>
      </c>
      <c r="E49" s="106">
        <v>3000000</v>
      </c>
      <c r="F49" s="118">
        <v>2970.04</v>
      </c>
      <c r="G49" s="119">
        <v>17.53</v>
      </c>
      <c r="H49" s="120">
        <v>5.1859999999999999</v>
      </c>
      <c r="I49" s="195">
        <v>46275</v>
      </c>
    </row>
    <row r="50" spans="1:9">
      <c r="B50" s="113" t="s">
        <v>88</v>
      </c>
      <c r="C50" s="113"/>
      <c r="D50" s="113"/>
      <c r="E50" s="114"/>
      <c r="F50" s="143">
        <v>2970.04</v>
      </c>
      <c r="G50" s="144">
        <v>17.53</v>
      </c>
      <c r="H50" s="127"/>
      <c r="I50" s="161"/>
    </row>
    <row r="51" spans="1:9">
      <c r="A51" s="102"/>
      <c r="B51" s="105"/>
      <c r="C51" s="105"/>
      <c r="D51" s="105"/>
      <c r="E51" s="106"/>
      <c r="F51" s="118"/>
      <c r="G51" s="119"/>
      <c r="H51" s="120"/>
      <c r="I51" s="159"/>
    </row>
    <row r="52" spans="1:9">
      <c r="B52" s="145" t="s">
        <v>89</v>
      </c>
      <c r="C52" s="146"/>
      <c r="D52" s="146"/>
      <c r="E52" s="147"/>
      <c r="F52" s="143">
        <v>17793.400000000001</v>
      </c>
      <c r="G52" s="144">
        <v>105</v>
      </c>
      <c r="H52" s="127"/>
      <c r="I52" s="161"/>
    </row>
    <row r="53" spans="1:9">
      <c r="A53" s="102"/>
      <c r="B53" s="105"/>
      <c r="C53" s="105"/>
      <c r="D53" s="105"/>
      <c r="E53" s="106"/>
      <c r="F53" s="118"/>
      <c r="G53" s="119"/>
      <c r="H53" s="120"/>
      <c r="I53" s="159"/>
    </row>
    <row r="54" spans="1:9">
      <c r="A54" s="102"/>
      <c r="B54" s="105"/>
      <c r="C54" s="105"/>
      <c r="D54" s="105"/>
      <c r="E54" s="106"/>
      <c r="F54" s="118"/>
      <c r="G54" s="119"/>
      <c r="H54" s="120"/>
      <c r="I54" s="159"/>
    </row>
    <row r="55" spans="1:9">
      <c r="A55" s="102"/>
      <c r="B55" s="107" t="s">
        <v>96</v>
      </c>
      <c r="C55" s="108"/>
      <c r="D55" s="108"/>
      <c r="E55" s="109"/>
      <c r="F55" s="121"/>
      <c r="G55" s="122"/>
      <c r="H55" s="123"/>
      <c r="I55" s="160"/>
    </row>
    <row r="56" spans="1:9">
      <c r="B56" s="105" t="s">
        <v>160</v>
      </c>
      <c r="C56" s="105" t="s">
        <v>95</v>
      </c>
      <c r="D56" s="105"/>
      <c r="E56" s="106">
        <v>353.58800000000002</v>
      </c>
      <c r="F56" s="118">
        <v>41.98</v>
      </c>
      <c r="G56" s="119">
        <v>0.25</v>
      </c>
      <c r="H56" s="120"/>
      <c r="I56" s="159"/>
    </row>
    <row r="57" spans="1:9">
      <c r="A57" s="46"/>
      <c r="B57" s="105"/>
      <c r="C57" s="105"/>
      <c r="D57" s="105"/>
      <c r="E57" s="106"/>
      <c r="F57" s="118"/>
      <c r="G57" s="119"/>
      <c r="H57" s="120"/>
      <c r="I57" s="159"/>
    </row>
    <row r="58" spans="1:9">
      <c r="B58" s="145" t="s">
        <v>89</v>
      </c>
      <c r="C58" s="146"/>
      <c r="D58" s="146"/>
      <c r="E58" s="147"/>
      <c r="F58" s="143">
        <v>41.98</v>
      </c>
      <c r="G58" s="144">
        <v>0.25</v>
      </c>
      <c r="H58" s="127"/>
      <c r="I58" s="161"/>
    </row>
    <row r="59" spans="1:9">
      <c r="B59" s="105"/>
      <c r="C59" s="105"/>
      <c r="D59" s="105"/>
      <c r="E59" s="106"/>
      <c r="F59" s="118"/>
      <c r="G59" s="119"/>
      <c r="H59" s="120"/>
      <c r="I59" s="159"/>
    </row>
    <row r="60" spans="1:9">
      <c r="A60" s="46"/>
      <c r="B60" s="105" t="s">
        <v>90</v>
      </c>
      <c r="C60" s="105"/>
      <c r="D60" s="105"/>
      <c r="E60" s="106"/>
      <c r="F60" s="135">
        <v>-888.19</v>
      </c>
      <c r="G60" s="119">
        <v>-5.25</v>
      </c>
      <c r="H60" s="120"/>
      <c r="I60" s="159"/>
    </row>
    <row r="61" spans="1:9">
      <c r="A61" s="102"/>
      <c r="B61" s="105"/>
      <c r="C61" s="105"/>
      <c r="D61" s="105"/>
      <c r="E61" s="106"/>
      <c r="F61" s="118"/>
      <c r="G61" s="119"/>
      <c r="H61" s="120"/>
      <c r="I61" s="159"/>
    </row>
    <row r="62" spans="1:9">
      <c r="B62" s="145" t="s">
        <v>91</v>
      </c>
      <c r="C62" s="146"/>
      <c r="D62" s="146"/>
      <c r="E62" s="147"/>
      <c r="F62" s="143">
        <v>16947.189999999999</v>
      </c>
      <c r="G62" s="144">
        <v>100</v>
      </c>
      <c r="H62" s="128"/>
      <c r="I62" s="162"/>
    </row>
    <row r="63" spans="1:9">
      <c r="A63" s="46" t="s">
        <v>39</v>
      </c>
      <c r="B63" s="5" t="s">
        <v>40</v>
      </c>
      <c r="C63" s="73"/>
      <c r="D63" s="73"/>
      <c r="E63" s="74"/>
      <c r="F63" s="75"/>
      <c r="G63" s="76"/>
      <c r="H63" s="77"/>
    </row>
    <row r="64" spans="1:9">
      <c r="A64" s="8"/>
      <c r="B64" s="47" t="s">
        <v>62</v>
      </c>
      <c r="D64" s="3"/>
      <c r="E64" s="3"/>
      <c r="F64" s="71"/>
      <c r="G64" s="3"/>
      <c r="H64" s="3"/>
    </row>
    <row r="65" spans="1:13">
      <c r="A65" s="8"/>
      <c r="B65" s="47" t="s">
        <v>63</v>
      </c>
      <c r="D65" s="3"/>
      <c r="E65" s="3"/>
      <c r="F65" s="71"/>
      <c r="G65" s="3"/>
      <c r="H65" s="87"/>
    </row>
    <row r="66" spans="1:13" s="4" customFormat="1">
      <c r="E66" s="7"/>
      <c r="F66" s="7"/>
      <c r="G66" s="7"/>
      <c r="H66" s="7"/>
    </row>
    <row r="67" spans="1:13">
      <c r="B67" t="s">
        <v>0</v>
      </c>
      <c r="C67" s="4"/>
      <c r="D67" s="4"/>
      <c r="E67" s="4"/>
      <c r="F67" s="7"/>
      <c r="G67" s="7"/>
      <c r="H67" s="7"/>
      <c r="I67" s="7"/>
      <c r="J67" s="7"/>
      <c r="K67" s="7"/>
      <c r="L67" s="7"/>
      <c r="M67" s="7"/>
    </row>
    <row r="68" spans="1:13">
      <c r="B68" s="62" t="s">
        <v>31</v>
      </c>
      <c r="C68" s="62"/>
      <c r="D68" s="62"/>
      <c r="E68" s="62"/>
      <c r="F68" s="62"/>
      <c r="G68" s="62"/>
      <c r="H68" s="7"/>
      <c r="I68" s="7"/>
      <c r="J68" s="7"/>
      <c r="K68" s="7"/>
      <c r="L68" s="7"/>
      <c r="M68" s="7"/>
    </row>
    <row r="69" spans="1:13">
      <c r="B69" s="43" t="s">
        <v>1</v>
      </c>
      <c r="C69" s="132" t="s">
        <v>167</v>
      </c>
      <c r="D69" s="132" t="s">
        <v>145</v>
      </c>
      <c r="E69" s="62"/>
      <c r="F69" s="62"/>
      <c r="G69" s="62"/>
      <c r="H69" s="8"/>
      <c r="I69" s="8"/>
      <c r="J69" s="7"/>
      <c r="K69" s="7"/>
      <c r="L69" s="7"/>
      <c r="M69" s="7"/>
    </row>
    <row r="70" spans="1:13">
      <c r="B70" s="44" t="s">
        <v>64</v>
      </c>
      <c r="C70" s="98">
        <v>1107.7962</v>
      </c>
      <c r="D70" s="98">
        <v>1104.4097999999999</v>
      </c>
      <c r="F70" s="62"/>
      <c r="G70" s="62"/>
      <c r="H70" s="8"/>
      <c r="I70" s="8"/>
      <c r="J70" s="7"/>
      <c r="K70" s="7"/>
      <c r="L70" s="7"/>
      <c r="M70" s="7"/>
    </row>
    <row r="71" spans="1:13">
      <c r="B71" s="44" t="s">
        <v>65</v>
      </c>
      <c r="C71" s="98">
        <v>1105.2612999999999</v>
      </c>
      <c r="D71" s="98">
        <v>1101.9556</v>
      </c>
      <c r="F71" s="62"/>
      <c r="G71" s="62"/>
      <c r="H71" s="8"/>
      <c r="I71" s="8"/>
      <c r="J71" s="7"/>
      <c r="K71" s="7"/>
      <c r="L71" s="7"/>
      <c r="M71" s="7"/>
    </row>
    <row r="72" spans="1:13">
      <c r="B72" s="62" t="s">
        <v>120</v>
      </c>
      <c r="D72" s="1"/>
      <c r="E72" s="62"/>
      <c r="F72" s="62"/>
      <c r="G72" s="62"/>
      <c r="H72" s="8"/>
      <c r="I72" s="8"/>
    </row>
    <row r="73" spans="1:13">
      <c r="B73" s="64"/>
      <c r="C73" s="64"/>
      <c r="D73" s="65"/>
      <c r="E73" s="66"/>
      <c r="F73" s="62"/>
      <c r="G73" s="62"/>
      <c r="H73" s="8"/>
      <c r="I73" s="8"/>
    </row>
    <row r="74" spans="1:13">
      <c r="B74" s="134" t="s">
        <v>121</v>
      </c>
      <c r="D74" s="67"/>
      <c r="E74" s="67"/>
      <c r="F74" s="62"/>
      <c r="G74" s="62"/>
      <c r="H74" s="8"/>
      <c r="I74" s="8"/>
    </row>
    <row r="75" spans="1:13">
      <c r="B75" s="4" t="s">
        <v>122</v>
      </c>
      <c r="D75" s="67"/>
      <c r="F75" s="68"/>
    </row>
    <row r="76" spans="1:13">
      <c r="B76" s="4" t="s">
        <v>123</v>
      </c>
      <c r="C76" s="62"/>
      <c r="D76" s="62"/>
      <c r="E76" s="62"/>
      <c r="F76" s="68"/>
    </row>
    <row r="77" spans="1:13">
      <c r="B77" s="4" t="s">
        <v>124</v>
      </c>
      <c r="C77" s="62"/>
      <c r="D77" s="62"/>
      <c r="E77" s="62"/>
    </row>
    <row r="78" spans="1:13">
      <c r="B78" s="4" t="s">
        <v>125</v>
      </c>
      <c r="C78" s="62"/>
      <c r="D78" s="62"/>
      <c r="E78" s="62"/>
    </row>
    <row r="79" spans="1:13">
      <c r="B79" s="4" t="s">
        <v>169</v>
      </c>
      <c r="C79" s="62"/>
      <c r="D79" s="62"/>
      <c r="E79" s="62"/>
    </row>
    <row r="80" spans="1:13">
      <c r="B80" s="4" t="s">
        <v>127</v>
      </c>
      <c r="C80" s="62"/>
      <c r="D80" s="62"/>
      <c r="E80" s="62"/>
    </row>
    <row r="81" spans="2:5">
      <c r="B81" s="6" t="s">
        <v>126</v>
      </c>
      <c r="C81" s="115" t="s">
        <v>101</v>
      </c>
      <c r="D81" s="5"/>
      <c r="E81" s="62"/>
    </row>
    <row r="82" spans="2:5">
      <c r="B82" s="4"/>
      <c r="C82" s="4"/>
    </row>
    <row r="83" spans="2:5">
      <c r="B83" s="79" t="s">
        <v>67</v>
      </c>
      <c r="C83" s="92">
        <v>0.18720000000000001</v>
      </c>
    </row>
    <row r="84" spans="2:5">
      <c r="B84" s="4"/>
      <c r="C84" s="4"/>
    </row>
    <row r="85" spans="2:5">
      <c r="B85" s="79"/>
      <c r="C85" s="82" t="s">
        <v>75</v>
      </c>
    </row>
    <row r="86" spans="2:5">
      <c r="B86" s="79" t="s">
        <v>32</v>
      </c>
      <c r="C86" s="82" t="s">
        <v>51</v>
      </c>
    </row>
    <row r="87" spans="2:5">
      <c r="B87" s="79" t="s">
        <v>33</v>
      </c>
      <c r="C87" s="80"/>
    </row>
    <row r="88" spans="2:5">
      <c r="B88" s="79"/>
      <c r="C88" s="80"/>
    </row>
    <row r="89" spans="2:5">
      <c r="B89" s="79" t="s">
        <v>34</v>
      </c>
      <c r="C89" s="89">
        <v>6.2700000000000006E-2</v>
      </c>
      <c r="E89" s="116">
        <f>SUMPRODUCT(H27:H62,G27:G62)/100</f>
        <v>6.5399072699999996</v>
      </c>
    </row>
    <row r="90" spans="2:5">
      <c r="B90" s="79"/>
      <c r="C90" s="80"/>
    </row>
    <row r="91" spans="2:5">
      <c r="B91" s="79" t="s">
        <v>37</v>
      </c>
      <c r="C91" s="92">
        <v>0.1988</v>
      </c>
    </row>
    <row r="92" spans="2:5">
      <c r="B92" s="79" t="s">
        <v>66</v>
      </c>
      <c r="C92" s="96">
        <v>72.599999999999994</v>
      </c>
    </row>
    <row r="93" spans="2:5">
      <c r="B93" s="79"/>
      <c r="C93" s="80"/>
    </row>
    <row r="94" spans="2:5">
      <c r="B94" s="79" t="s">
        <v>35</v>
      </c>
      <c r="C94" s="83">
        <v>46203</v>
      </c>
    </row>
    <row r="95" spans="2:5" ht="17.25" customHeight="1">
      <c r="B95" s="180" t="s">
        <v>36</v>
      </c>
      <c r="C95" s="180"/>
    </row>
  </sheetData>
  <mergeCells count="9">
    <mergeCell ref="B95:C95"/>
    <mergeCell ref="B1:H1"/>
    <mergeCell ref="B2:H2"/>
    <mergeCell ref="G4:H4"/>
    <mergeCell ref="B10:D10"/>
    <mergeCell ref="G12:H12"/>
    <mergeCell ref="G13:H13"/>
    <mergeCell ref="E4:F4"/>
    <mergeCell ref="E12:F12"/>
  </mergeCells>
  <hyperlinks>
    <hyperlink ref="C81" r:id="rId1" xr:uid="{037D1E76-49DA-4C0C-A23F-AEA7434BE9F9}"/>
  </hyperlinks>
  <pageMargins left="0.7" right="0.7" top="0.75" bottom="0.75" header="0.3" footer="0.3"/>
  <pageSetup orientation="portrait" r:id="rId2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5BC875-F6BE-4A23-98B4-EFBC0108E7B8}">
  <sheetPr codeName="Sheet4"/>
  <dimension ref="A1:M100"/>
  <sheetViews>
    <sheetView showGridLines="0" zoomScaleNormal="100" workbookViewId="0">
      <selection activeCell="B1" sqref="B1:H1"/>
    </sheetView>
  </sheetViews>
  <sheetFormatPr defaultColWidth="17.5546875" defaultRowHeight="14.4"/>
  <cols>
    <col min="1" max="1" width="4.44140625" customWidth="1"/>
    <col min="2" max="2" width="51.44140625" customWidth="1"/>
    <col min="3" max="3" width="23.44140625" customWidth="1"/>
    <col min="4" max="4" width="19.5546875" customWidth="1"/>
    <col min="5" max="5" width="27.88671875" customWidth="1"/>
    <col min="6" max="6" width="29.5546875" customWidth="1"/>
    <col min="7" max="7" width="34" customWidth="1"/>
    <col min="8" max="8" width="14.5546875" customWidth="1"/>
    <col min="9" max="9" width="12.109375" style="155" bestFit="1" customWidth="1"/>
    <col min="10" max="10" width="19" bestFit="1" customWidth="1"/>
    <col min="11" max="11" width="20.44140625" bestFit="1" customWidth="1"/>
    <col min="16" max="16" width="22.5546875" bestFit="1" customWidth="1"/>
  </cols>
  <sheetData>
    <row r="1" spans="2:9" ht="21">
      <c r="B1" s="190" t="s">
        <v>103</v>
      </c>
      <c r="C1" s="190"/>
      <c r="D1" s="190"/>
      <c r="E1" s="190"/>
      <c r="F1" s="190"/>
      <c r="G1" s="190"/>
      <c r="H1" s="190"/>
    </row>
    <row r="2" spans="2:9" s="5" customFormat="1" ht="17.25" customHeight="1">
      <c r="B2" s="168" t="s">
        <v>104</v>
      </c>
      <c r="C2" s="168"/>
      <c r="D2" s="168"/>
      <c r="E2" s="168"/>
      <c r="F2" s="168"/>
      <c r="G2" s="168"/>
      <c r="H2" s="168"/>
      <c r="I2" s="151"/>
    </row>
    <row r="3" spans="2:9" ht="9.75" customHeight="1">
      <c r="B3" s="2"/>
      <c r="C3" s="2"/>
      <c r="D3" s="56"/>
      <c r="F3" s="1"/>
      <c r="G3" s="1"/>
      <c r="H3" s="1"/>
    </row>
    <row r="4" spans="2:9" s="5" customFormat="1" ht="21">
      <c r="B4" s="26"/>
      <c r="C4" s="27"/>
      <c r="D4" s="28"/>
      <c r="E4" s="169" t="s">
        <v>8</v>
      </c>
      <c r="F4" s="170"/>
      <c r="G4" s="169" t="s">
        <v>41</v>
      </c>
      <c r="H4" s="170"/>
      <c r="I4" s="151"/>
    </row>
    <row r="5" spans="2:9" ht="15.6">
      <c r="B5" s="25" t="s">
        <v>6</v>
      </c>
      <c r="C5" s="5"/>
      <c r="D5" s="5"/>
      <c r="E5" s="11"/>
      <c r="F5" s="10"/>
      <c r="G5" s="57"/>
      <c r="H5" s="58"/>
      <c r="I5" s="151"/>
    </row>
    <row r="6" spans="2:9">
      <c r="B6" s="11" t="s">
        <v>105</v>
      </c>
      <c r="C6" s="5"/>
      <c r="D6" s="17"/>
      <c r="E6" s="11"/>
      <c r="F6" s="10"/>
      <c r="G6" s="72"/>
      <c r="H6" s="29"/>
      <c r="I6" s="151"/>
    </row>
    <row r="7" spans="2:9">
      <c r="B7" s="11" t="s">
        <v>106</v>
      </c>
      <c r="C7" s="5"/>
      <c r="D7" s="5"/>
      <c r="E7" s="11"/>
      <c r="F7" s="10"/>
      <c r="G7" s="11"/>
      <c r="H7" s="10"/>
      <c r="I7" s="151"/>
    </row>
    <row r="8" spans="2:9">
      <c r="B8" s="11"/>
      <c r="C8" s="5"/>
      <c r="D8" s="5"/>
      <c r="E8" s="11"/>
      <c r="F8" s="10"/>
      <c r="G8" s="11"/>
      <c r="H8" s="10"/>
      <c r="I8" s="151"/>
    </row>
    <row r="9" spans="2:9">
      <c r="B9" s="11"/>
      <c r="C9" s="5"/>
      <c r="D9" s="5"/>
      <c r="E9" s="11"/>
      <c r="F9" s="10"/>
      <c r="G9" s="11"/>
      <c r="H9" s="10"/>
      <c r="I9" s="151"/>
    </row>
    <row r="10" spans="2:9" ht="29.25" customHeight="1">
      <c r="B10" s="178" t="s">
        <v>7</v>
      </c>
      <c r="C10" s="179"/>
      <c r="D10" s="179"/>
      <c r="E10" s="11"/>
      <c r="F10" s="10"/>
      <c r="G10" s="11"/>
      <c r="H10" s="10"/>
      <c r="I10" s="151"/>
    </row>
    <row r="11" spans="2:9" ht="26.25" customHeight="1">
      <c r="B11" s="11"/>
      <c r="C11" s="5"/>
      <c r="D11" s="5"/>
      <c r="E11" s="11"/>
      <c r="F11" s="10"/>
      <c r="G11" s="11"/>
      <c r="H11" s="10"/>
      <c r="I11" s="151"/>
    </row>
    <row r="12" spans="2:9">
      <c r="B12" s="11"/>
      <c r="C12" s="5"/>
      <c r="D12" s="17"/>
      <c r="E12" s="171" t="s">
        <v>74</v>
      </c>
      <c r="F12" s="172"/>
      <c r="G12" s="191" t="s">
        <v>53</v>
      </c>
      <c r="H12" s="192"/>
      <c r="I12" s="151"/>
    </row>
    <row r="13" spans="2:9" ht="27.75" customHeight="1">
      <c r="B13" s="12"/>
      <c r="C13" s="13"/>
      <c r="D13" s="13"/>
      <c r="E13" s="24"/>
      <c r="F13" s="14"/>
      <c r="G13" s="193" t="s">
        <v>107</v>
      </c>
      <c r="H13" s="194"/>
    </row>
    <row r="14" spans="2:9" ht="7.5" customHeight="1">
      <c r="B14" s="59"/>
      <c r="C14" s="9"/>
      <c r="D14" s="9"/>
      <c r="G14" s="18"/>
    </row>
    <row r="15" spans="2:9">
      <c r="B15" s="59"/>
      <c r="C15" s="60" t="s">
        <v>29</v>
      </c>
      <c r="D15" s="54"/>
      <c r="E15" s="54"/>
      <c r="F15" s="55"/>
    </row>
    <row r="16" spans="2:9" ht="15" customHeight="1">
      <c r="B16" s="59"/>
      <c r="C16" s="19" t="s">
        <v>20</v>
      </c>
      <c r="D16" s="52" t="s">
        <v>54</v>
      </c>
      <c r="E16" s="52" t="s">
        <v>55</v>
      </c>
      <c r="F16" s="52" t="s">
        <v>56</v>
      </c>
    </row>
    <row r="17" spans="1:9">
      <c r="B17" s="59"/>
      <c r="C17" s="19" t="s">
        <v>24</v>
      </c>
      <c r="D17" s="53" t="s">
        <v>57</v>
      </c>
      <c r="E17" s="53" t="s">
        <v>58</v>
      </c>
      <c r="F17" s="53" t="s">
        <v>59</v>
      </c>
    </row>
    <row r="18" spans="1:9">
      <c r="B18" s="59"/>
      <c r="C18" s="20" t="s">
        <v>25</v>
      </c>
      <c r="D18" s="21"/>
      <c r="E18" s="22" t="s">
        <v>60</v>
      </c>
      <c r="F18" s="21"/>
    </row>
    <row r="19" spans="1:9">
      <c r="B19" s="59"/>
      <c r="C19" s="20" t="s">
        <v>27</v>
      </c>
      <c r="D19" s="21"/>
      <c r="E19" s="21"/>
      <c r="F19" s="21"/>
    </row>
    <row r="20" spans="1:9">
      <c r="B20" s="59"/>
      <c r="C20" s="20" t="s">
        <v>28</v>
      </c>
      <c r="D20" s="21"/>
      <c r="E20" s="21"/>
      <c r="F20" s="21"/>
    </row>
    <row r="21" spans="1:9" ht="15.6">
      <c r="B21" s="59"/>
      <c r="C21" s="70" t="s">
        <v>61</v>
      </c>
      <c r="D21" s="50"/>
      <c r="E21" s="50"/>
      <c r="F21" s="51"/>
    </row>
    <row r="22" spans="1:9">
      <c r="B22" s="59"/>
      <c r="C22" s="9"/>
      <c r="D22" s="9"/>
      <c r="G22" s="18"/>
    </row>
    <row r="23" spans="1:9">
      <c r="A23" s="102"/>
      <c r="B23" s="103" t="s">
        <v>115</v>
      </c>
      <c r="C23" s="101"/>
      <c r="D23" s="101"/>
      <c r="E23" s="101"/>
      <c r="F23" s="101"/>
      <c r="G23" s="101"/>
      <c r="H23" s="117"/>
      <c r="I23" s="102"/>
    </row>
    <row r="24" spans="1:9" ht="3.75" customHeight="1">
      <c r="A24" s="102"/>
      <c r="B24" s="103"/>
      <c r="C24" s="103"/>
      <c r="D24" s="103"/>
      <c r="E24" s="103"/>
      <c r="F24" s="103"/>
      <c r="G24" s="103"/>
      <c r="H24" s="102"/>
      <c r="I24" s="102"/>
    </row>
    <row r="25" spans="1:9" ht="2.25" customHeight="1">
      <c r="A25" s="102"/>
      <c r="B25" s="103"/>
      <c r="C25" s="103"/>
      <c r="D25" s="103"/>
      <c r="E25" s="103"/>
      <c r="F25" s="103"/>
      <c r="G25" s="103"/>
      <c r="H25" s="102"/>
      <c r="I25" s="102"/>
    </row>
    <row r="26" spans="1:9">
      <c r="A26" s="102"/>
      <c r="B26" s="103" t="s">
        <v>170</v>
      </c>
      <c r="C26" s="102"/>
      <c r="D26" s="102"/>
      <c r="E26" s="104"/>
      <c r="F26" s="102"/>
      <c r="G26" s="102"/>
      <c r="H26" s="102"/>
      <c r="I26" s="102"/>
    </row>
    <row r="27" spans="1:9" ht="15" thickBot="1">
      <c r="A27" s="102"/>
      <c r="B27" s="139" t="s">
        <v>78</v>
      </c>
      <c r="C27" s="139" t="s">
        <v>79</v>
      </c>
      <c r="D27" s="139" t="s">
        <v>80</v>
      </c>
      <c r="E27" s="140" t="s">
        <v>81</v>
      </c>
      <c r="F27" s="141" t="s">
        <v>82</v>
      </c>
      <c r="G27" s="142" t="s">
        <v>83</v>
      </c>
      <c r="H27" s="142" t="s">
        <v>84</v>
      </c>
      <c r="I27" s="142" t="s">
        <v>139</v>
      </c>
    </row>
    <row r="28" spans="1:9">
      <c r="A28" s="102"/>
      <c r="B28" s="105"/>
      <c r="C28" s="105"/>
      <c r="D28" s="105"/>
      <c r="E28" s="106"/>
      <c r="F28" s="118"/>
      <c r="G28" s="119"/>
      <c r="H28" s="120"/>
      <c r="I28" s="159"/>
    </row>
    <row r="29" spans="1:9">
      <c r="A29" s="102"/>
      <c r="B29" s="107" t="s">
        <v>85</v>
      </c>
      <c r="C29" s="108"/>
      <c r="D29" s="108"/>
      <c r="E29" s="109"/>
      <c r="F29" s="121"/>
      <c r="G29" s="122"/>
      <c r="H29" s="123"/>
      <c r="I29" s="160"/>
    </row>
    <row r="30" spans="1:9">
      <c r="A30" s="102"/>
      <c r="B30" s="105"/>
      <c r="C30" s="105"/>
      <c r="D30" s="105"/>
      <c r="E30" s="106"/>
      <c r="F30" s="118"/>
      <c r="G30" s="119"/>
      <c r="H30" s="120"/>
      <c r="I30" s="159"/>
    </row>
    <row r="31" spans="1:9">
      <c r="A31" s="102"/>
      <c r="B31" s="110" t="s">
        <v>92</v>
      </c>
      <c r="C31" s="111"/>
      <c r="D31" s="111"/>
      <c r="E31" s="112"/>
      <c r="F31" s="124"/>
      <c r="G31" s="125"/>
      <c r="H31" s="126"/>
      <c r="I31" s="163"/>
    </row>
    <row r="32" spans="1:9">
      <c r="A32" s="46" t="s">
        <v>39</v>
      </c>
      <c r="B32" s="105" t="s">
        <v>161</v>
      </c>
      <c r="C32" s="105" t="s">
        <v>162</v>
      </c>
      <c r="D32" s="105" t="s">
        <v>98</v>
      </c>
      <c r="E32" s="106">
        <v>1300000</v>
      </c>
      <c r="F32" s="118">
        <v>1249.26</v>
      </c>
      <c r="G32" s="119">
        <v>9.9</v>
      </c>
      <c r="H32" s="120">
        <v>6.8000999999999996</v>
      </c>
      <c r="I32" s="195">
        <v>46422</v>
      </c>
    </row>
    <row r="33" spans="1:9">
      <c r="A33" s="46" t="s">
        <v>39</v>
      </c>
      <c r="B33" s="105" t="s">
        <v>150</v>
      </c>
      <c r="C33" s="105" t="s">
        <v>151</v>
      </c>
      <c r="D33" s="105" t="s">
        <v>93</v>
      </c>
      <c r="E33" s="106">
        <v>1000000</v>
      </c>
      <c r="F33" s="118">
        <v>987.23</v>
      </c>
      <c r="G33" s="119">
        <v>7.82</v>
      </c>
      <c r="H33" s="120">
        <v>6.2149999999999999</v>
      </c>
      <c r="I33" s="195">
        <v>46280</v>
      </c>
    </row>
    <row r="34" spans="1:9" ht="14.25" customHeight="1">
      <c r="A34" s="46" t="s">
        <v>39</v>
      </c>
      <c r="B34" s="105" t="s">
        <v>152</v>
      </c>
      <c r="C34" s="105" t="s">
        <v>153</v>
      </c>
      <c r="D34" s="105" t="s">
        <v>98</v>
      </c>
      <c r="E34" s="106">
        <v>1000000</v>
      </c>
      <c r="F34" s="118">
        <v>986.06</v>
      </c>
      <c r="G34" s="119">
        <v>7.81</v>
      </c>
      <c r="H34" s="120">
        <v>6.2154999999999996</v>
      </c>
      <c r="I34" s="195">
        <v>46287</v>
      </c>
    </row>
    <row r="35" spans="1:9">
      <c r="A35" s="46" t="s">
        <v>39</v>
      </c>
      <c r="B35" s="105" t="s">
        <v>149</v>
      </c>
      <c r="C35" s="105" t="s">
        <v>163</v>
      </c>
      <c r="D35" s="105" t="s">
        <v>97</v>
      </c>
      <c r="E35" s="106">
        <v>1000000</v>
      </c>
      <c r="F35" s="118">
        <v>957.25</v>
      </c>
      <c r="G35" s="119">
        <v>7.59</v>
      </c>
      <c r="H35" s="120">
        <v>6.8498999999999999</v>
      </c>
      <c r="I35" s="195">
        <v>46442</v>
      </c>
    </row>
    <row r="36" spans="1:9">
      <c r="A36" s="46" t="s">
        <v>39</v>
      </c>
      <c r="B36" s="105" t="s">
        <v>164</v>
      </c>
      <c r="C36" s="105" t="s">
        <v>165</v>
      </c>
      <c r="D36" s="105" t="s">
        <v>93</v>
      </c>
      <c r="E36" s="106">
        <v>1000000</v>
      </c>
      <c r="F36" s="118">
        <v>953.25</v>
      </c>
      <c r="G36" s="119">
        <v>7.55</v>
      </c>
      <c r="H36" s="120">
        <v>6.8849999999999998</v>
      </c>
      <c r="I36" s="195">
        <v>46464</v>
      </c>
    </row>
    <row r="37" spans="1:9">
      <c r="A37" s="46"/>
      <c r="B37" s="113" t="s">
        <v>88</v>
      </c>
      <c r="C37" s="113"/>
      <c r="D37" s="113"/>
      <c r="E37" s="114"/>
      <c r="F37" s="143">
        <v>5133.05</v>
      </c>
      <c r="G37" s="144">
        <v>40.67</v>
      </c>
      <c r="H37" s="127"/>
      <c r="I37" s="161"/>
    </row>
    <row r="38" spans="1:9">
      <c r="B38" s="105"/>
      <c r="C38" s="105"/>
      <c r="D38" s="105"/>
      <c r="E38" s="106"/>
      <c r="F38" s="118"/>
      <c r="G38" s="119"/>
      <c r="H38" s="120"/>
      <c r="I38" s="159"/>
    </row>
    <row r="39" spans="1:9">
      <c r="B39" s="110" t="s">
        <v>94</v>
      </c>
      <c r="C39" s="111"/>
      <c r="D39" s="111"/>
      <c r="E39" s="112"/>
      <c r="F39" s="124"/>
      <c r="G39" s="125"/>
      <c r="H39" s="126"/>
      <c r="I39" s="163"/>
    </row>
    <row r="40" spans="1:9">
      <c r="A40" s="46" t="s">
        <v>39</v>
      </c>
      <c r="B40" s="105" t="s">
        <v>118</v>
      </c>
      <c r="C40" s="105" t="s">
        <v>119</v>
      </c>
      <c r="D40" s="105" t="s">
        <v>93</v>
      </c>
      <c r="E40" s="106">
        <v>1500000</v>
      </c>
      <c r="F40" s="118">
        <v>1425.03</v>
      </c>
      <c r="G40" s="119">
        <v>11.29</v>
      </c>
      <c r="H40" s="120">
        <v>8.0350000000000001</v>
      </c>
      <c r="I40" s="195">
        <v>46443</v>
      </c>
    </row>
    <row r="41" spans="1:9">
      <c r="A41" s="46" t="s">
        <v>39</v>
      </c>
      <c r="B41" s="105" t="s">
        <v>155</v>
      </c>
      <c r="C41" s="105" t="s">
        <v>156</v>
      </c>
      <c r="D41" s="105" t="s">
        <v>93</v>
      </c>
      <c r="E41" s="106">
        <v>1000000</v>
      </c>
      <c r="F41" s="118">
        <v>985.75</v>
      </c>
      <c r="G41" s="119">
        <v>7.81</v>
      </c>
      <c r="H41" s="120">
        <v>6.4348999999999998</v>
      </c>
      <c r="I41" s="195">
        <v>46286</v>
      </c>
    </row>
    <row r="42" spans="1:9">
      <c r="A42" s="46" t="s">
        <v>39</v>
      </c>
      <c r="B42" s="105" t="s">
        <v>116</v>
      </c>
      <c r="C42" s="105" t="s">
        <v>117</v>
      </c>
      <c r="D42" s="105" t="s">
        <v>93</v>
      </c>
      <c r="E42" s="106">
        <v>1000000</v>
      </c>
      <c r="F42" s="118">
        <v>954.95</v>
      </c>
      <c r="G42" s="119">
        <v>7.57</v>
      </c>
      <c r="H42" s="120">
        <v>7.2662000000000004</v>
      </c>
      <c r="I42" s="195">
        <v>46441</v>
      </c>
    </row>
    <row r="43" spans="1:9">
      <c r="B43" s="113" t="s">
        <v>88</v>
      </c>
      <c r="C43" s="113"/>
      <c r="D43" s="113"/>
      <c r="E43" s="114"/>
      <c r="F43" s="143">
        <v>3365.73</v>
      </c>
      <c r="G43" s="144">
        <v>26.67</v>
      </c>
      <c r="H43" s="127"/>
      <c r="I43" s="161"/>
    </row>
    <row r="44" spans="1:9">
      <c r="B44" s="105"/>
      <c r="C44" s="105"/>
      <c r="D44" s="105"/>
      <c r="E44" s="106"/>
      <c r="F44" s="118"/>
      <c r="G44" s="119"/>
      <c r="H44" s="120"/>
      <c r="I44" s="159"/>
    </row>
    <row r="45" spans="1:9">
      <c r="B45" s="110" t="s">
        <v>86</v>
      </c>
      <c r="C45" s="111"/>
      <c r="D45" s="111"/>
      <c r="E45" s="112"/>
      <c r="F45" s="124"/>
      <c r="G45" s="125"/>
      <c r="H45" s="126"/>
      <c r="I45" s="163"/>
    </row>
    <row r="46" spans="1:9">
      <c r="A46" s="46" t="s">
        <v>39</v>
      </c>
      <c r="B46" s="105" t="s">
        <v>128</v>
      </c>
      <c r="C46" s="105" t="s">
        <v>129</v>
      </c>
      <c r="D46" s="105" t="s">
        <v>87</v>
      </c>
      <c r="E46" s="106">
        <v>500000</v>
      </c>
      <c r="F46" s="118">
        <v>494.45</v>
      </c>
      <c r="G46" s="119">
        <v>3.92</v>
      </c>
      <c r="H46" s="120">
        <v>5.1909999999999998</v>
      </c>
      <c r="I46" s="195">
        <v>46283</v>
      </c>
    </row>
    <row r="47" spans="1:9">
      <c r="B47" s="105" t="s">
        <v>110</v>
      </c>
      <c r="C47" s="105" t="s">
        <v>111</v>
      </c>
      <c r="D47" s="105" t="s">
        <v>87</v>
      </c>
      <c r="E47" s="106">
        <v>500000</v>
      </c>
      <c r="F47" s="118">
        <v>488.28</v>
      </c>
      <c r="G47" s="119">
        <v>3.87</v>
      </c>
      <c r="H47" s="120">
        <v>5.4099000000000004</v>
      </c>
      <c r="I47" s="195">
        <v>46366</v>
      </c>
    </row>
    <row r="48" spans="1:9">
      <c r="B48" s="113" t="s">
        <v>88</v>
      </c>
      <c r="C48" s="113"/>
      <c r="D48" s="113"/>
      <c r="E48" s="114"/>
      <c r="F48" s="143">
        <v>982.73</v>
      </c>
      <c r="G48" s="144">
        <v>7.79</v>
      </c>
      <c r="H48" s="127"/>
      <c r="I48" s="161"/>
    </row>
    <row r="49" spans="1:9">
      <c r="B49" s="105"/>
      <c r="C49" s="105"/>
      <c r="D49" s="105"/>
      <c r="E49" s="106"/>
      <c r="F49" s="118"/>
      <c r="G49" s="119"/>
      <c r="H49" s="120"/>
      <c r="I49" s="159"/>
    </row>
    <row r="50" spans="1:9">
      <c r="A50" s="102"/>
      <c r="B50" s="145" t="s">
        <v>89</v>
      </c>
      <c r="C50" s="146"/>
      <c r="D50" s="146"/>
      <c r="E50" s="147"/>
      <c r="F50" s="143">
        <v>9481.51</v>
      </c>
      <c r="G50" s="144">
        <v>75.13</v>
      </c>
      <c r="H50" s="127"/>
      <c r="I50" s="161"/>
    </row>
    <row r="51" spans="1:9">
      <c r="B51" s="105"/>
      <c r="C51" s="105"/>
      <c r="D51" s="105"/>
      <c r="E51" s="106"/>
      <c r="F51" s="118"/>
      <c r="G51" s="119"/>
      <c r="H51" s="120"/>
      <c r="I51" s="159"/>
    </row>
    <row r="52" spans="1:9">
      <c r="B52" s="105"/>
      <c r="C52" s="105"/>
      <c r="D52" s="105"/>
      <c r="E52" s="106"/>
      <c r="F52" s="118"/>
      <c r="G52" s="119"/>
      <c r="H52" s="120"/>
      <c r="I52" s="159"/>
    </row>
    <row r="53" spans="1:9">
      <c r="A53" s="46"/>
      <c r="B53" s="107" t="s">
        <v>100</v>
      </c>
      <c r="C53" s="108"/>
      <c r="D53" s="108"/>
      <c r="E53" s="109"/>
      <c r="F53" s="121"/>
      <c r="G53" s="122"/>
      <c r="H53" s="123"/>
      <c r="I53" s="160"/>
    </row>
    <row r="54" spans="1:9">
      <c r="A54" s="102"/>
      <c r="B54" s="105" t="s">
        <v>102</v>
      </c>
      <c r="C54" s="105" t="s">
        <v>146</v>
      </c>
      <c r="D54" s="105"/>
      <c r="E54" s="106"/>
      <c r="F54" s="118">
        <v>83.53</v>
      </c>
      <c r="G54" s="119">
        <v>0.66</v>
      </c>
      <c r="H54" s="120">
        <v>5.3455000000000004</v>
      </c>
      <c r="I54" s="195">
        <v>46204</v>
      </c>
    </row>
    <row r="55" spans="1:9">
      <c r="A55" s="102"/>
      <c r="B55" s="113" t="s">
        <v>88</v>
      </c>
      <c r="C55" s="113"/>
      <c r="D55" s="113"/>
      <c r="E55" s="114"/>
      <c r="F55" s="143">
        <v>83.53</v>
      </c>
      <c r="G55" s="144">
        <v>0.66</v>
      </c>
      <c r="H55" s="127"/>
      <c r="I55" s="161"/>
    </row>
    <row r="56" spans="1:9">
      <c r="A56" s="102"/>
      <c r="B56" s="105"/>
      <c r="C56" s="105"/>
      <c r="D56" s="105"/>
      <c r="E56" s="106"/>
      <c r="F56" s="118"/>
      <c r="G56" s="119"/>
      <c r="H56" s="120"/>
      <c r="I56" s="159"/>
    </row>
    <row r="57" spans="1:9">
      <c r="A57" s="46"/>
      <c r="B57" s="145" t="s">
        <v>89</v>
      </c>
      <c r="C57" s="146"/>
      <c r="D57" s="146"/>
      <c r="E57" s="147"/>
      <c r="F57" s="143">
        <v>83.53</v>
      </c>
      <c r="G57" s="144">
        <v>0.66</v>
      </c>
      <c r="H57" s="127"/>
      <c r="I57" s="161"/>
    </row>
    <row r="58" spans="1:9">
      <c r="B58" s="105"/>
      <c r="C58" s="105"/>
      <c r="D58" s="105"/>
      <c r="E58" s="106"/>
      <c r="F58" s="118"/>
      <c r="G58" s="119"/>
      <c r="H58" s="120"/>
      <c r="I58" s="159"/>
    </row>
    <row r="59" spans="1:9">
      <c r="B59" s="107" t="s">
        <v>113</v>
      </c>
      <c r="C59" s="108"/>
      <c r="D59" s="108"/>
      <c r="E59" s="109"/>
      <c r="F59" s="121"/>
      <c r="G59" s="122"/>
      <c r="H59" s="123"/>
      <c r="I59" s="160"/>
    </row>
    <row r="60" spans="1:9">
      <c r="A60" s="46" t="s">
        <v>39</v>
      </c>
      <c r="B60" s="105" t="s">
        <v>102</v>
      </c>
      <c r="C60" s="105" t="s">
        <v>166</v>
      </c>
      <c r="D60" s="105"/>
      <c r="E60" s="106"/>
      <c r="F60" s="118">
        <v>3057.17</v>
      </c>
      <c r="G60" s="119">
        <v>24.23</v>
      </c>
      <c r="H60" s="120">
        <v>5.45</v>
      </c>
      <c r="I60" s="195">
        <v>46204</v>
      </c>
    </row>
    <row r="61" spans="1:9">
      <c r="A61" s="102"/>
      <c r="B61" s="113" t="s">
        <v>88</v>
      </c>
      <c r="C61" s="113"/>
      <c r="D61" s="113"/>
      <c r="E61" s="114"/>
      <c r="F61" s="143">
        <v>3057.17</v>
      </c>
      <c r="G61" s="144">
        <v>24.23</v>
      </c>
      <c r="H61" s="127"/>
      <c r="I61" s="161"/>
    </row>
    <row r="62" spans="1:9">
      <c r="B62" s="105"/>
      <c r="C62" s="105"/>
      <c r="D62" s="105"/>
      <c r="E62" s="106"/>
      <c r="F62" s="118"/>
      <c r="G62" s="119"/>
      <c r="H62" s="120"/>
      <c r="I62" s="159"/>
    </row>
    <row r="63" spans="1:9">
      <c r="A63" s="102"/>
      <c r="B63" s="145" t="s">
        <v>89</v>
      </c>
      <c r="C63" s="146"/>
      <c r="D63" s="146"/>
      <c r="E63" s="147"/>
      <c r="F63" s="143">
        <v>3057.17</v>
      </c>
      <c r="G63" s="144">
        <v>24.23</v>
      </c>
      <c r="H63" s="127"/>
      <c r="I63" s="161"/>
    </row>
    <row r="64" spans="1:9">
      <c r="A64" s="102"/>
      <c r="B64" s="105"/>
      <c r="C64" s="105"/>
      <c r="D64" s="105"/>
      <c r="E64" s="106"/>
      <c r="F64" s="118"/>
      <c r="G64" s="119"/>
      <c r="H64" s="120"/>
      <c r="I64" s="159"/>
    </row>
    <row r="65" spans="1:13">
      <c r="A65" s="102"/>
      <c r="B65" s="105" t="s">
        <v>90</v>
      </c>
      <c r="C65" s="105"/>
      <c r="D65" s="105"/>
      <c r="E65" s="106"/>
      <c r="F65" s="135">
        <v>-3.81</v>
      </c>
      <c r="G65" s="119">
        <v>-1.9999999999996021E-2</v>
      </c>
      <c r="H65" s="120"/>
      <c r="I65" s="159"/>
    </row>
    <row r="66" spans="1:13">
      <c r="A66" s="102"/>
      <c r="B66" s="105"/>
      <c r="C66" s="105"/>
      <c r="D66" s="105"/>
      <c r="E66" s="106"/>
      <c r="F66" s="118"/>
      <c r="G66" s="119"/>
      <c r="H66" s="120"/>
      <c r="I66" s="159"/>
    </row>
    <row r="67" spans="1:13">
      <c r="A67" s="102"/>
      <c r="B67" s="145" t="s">
        <v>91</v>
      </c>
      <c r="C67" s="146"/>
      <c r="D67" s="146"/>
      <c r="E67" s="147"/>
      <c r="F67" s="143">
        <v>12618.4</v>
      </c>
      <c r="G67" s="144">
        <v>100</v>
      </c>
      <c r="H67" s="128"/>
      <c r="I67" s="162"/>
    </row>
    <row r="68" spans="1:13">
      <c r="A68" s="46" t="s">
        <v>39</v>
      </c>
      <c r="B68" s="5" t="s">
        <v>40</v>
      </c>
      <c r="C68" s="73"/>
      <c r="D68" s="73"/>
      <c r="E68" s="74"/>
      <c r="F68" s="75"/>
      <c r="G68" s="76"/>
      <c r="H68" s="77"/>
    </row>
    <row r="69" spans="1:13">
      <c r="A69" s="8"/>
      <c r="B69" s="47" t="s">
        <v>62</v>
      </c>
      <c r="D69" s="3"/>
      <c r="E69" s="3"/>
      <c r="F69" s="71"/>
      <c r="G69" s="3"/>
      <c r="H69" s="3"/>
    </row>
    <row r="70" spans="1:13">
      <c r="A70" s="8"/>
      <c r="B70" s="47" t="s">
        <v>63</v>
      </c>
      <c r="D70" s="3"/>
      <c r="E70" s="3"/>
      <c r="F70" s="71"/>
      <c r="G70" s="3"/>
      <c r="H70" s="87"/>
    </row>
    <row r="71" spans="1:13" s="4" customFormat="1">
      <c r="E71" s="7"/>
      <c r="F71" s="7"/>
      <c r="G71" s="7"/>
      <c r="H71" s="7"/>
      <c r="I71" s="156"/>
    </row>
    <row r="72" spans="1:13">
      <c r="B72" t="s">
        <v>0</v>
      </c>
      <c r="C72" s="4"/>
      <c r="D72" s="4"/>
      <c r="E72" s="4"/>
      <c r="F72" s="7"/>
      <c r="G72" s="7"/>
      <c r="H72" s="7"/>
      <c r="I72" s="157"/>
      <c r="J72" s="7"/>
      <c r="K72" s="7"/>
      <c r="L72" s="7"/>
      <c r="M72" s="7"/>
    </row>
    <row r="73" spans="1:13">
      <c r="B73" s="62" t="s">
        <v>31</v>
      </c>
      <c r="C73" s="62"/>
      <c r="D73" s="62"/>
      <c r="E73" s="62"/>
      <c r="F73" s="62"/>
      <c r="G73" s="62"/>
      <c r="H73" s="7"/>
      <c r="I73" s="157"/>
      <c r="J73" s="7"/>
      <c r="K73" s="7"/>
      <c r="L73" s="7"/>
      <c r="M73" s="7"/>
    </row>
    <row r="74" spans="1:13">
      <c r="B74" s="43" t="s">
        <v>1</v>
      </c>
      <c r="C74" s="132" t="s">
        <v>167</v>
      </c>
      <c r="D74" s="132" t="s">
        <v>145</v>
      </c>
      <c r="E74" s="62"/>
      <c r="F74" s="62"/>
      <c r="G74" s="62"/>
      <c r="H74" s="8"/>
      <c r="I74" s="158"/>
      <c r="J74" s="7"/>
      <c r="K74" s="7"/>
      <c r="L74" s="7"/>
      <c r="M74" s="7"/>
    </row>
    <row r="75" spans="1:13">
      <c r="B75" s="44" t="s">
        <v>108</v>
      </c>
      <c r="C75" s="98">
        <v>1028.8868</v>
      </c>
      <c r="D75" s="98">
        <v>1024.3829000000001</v>
      </c>
      <c r="F75" s="62"/>
      <c r="G75" s="62"/>
      <c r="H75" s="8"/>
      <c r="I75" s="158"/>
      <c r="J75" s="7"/>
      <c r="K75" s="7"/>
      <c r="L75" s="7"/>
      <c r="M75" s="7"/>
    </row>
    <row r="76" spans="1:13">
      <c r="B76" s="44" t="s">
        <v>109</v>
      </c>
      <c r="C76" s="98">
        <v>1027.8503000000001</v>
      </c>
      <c r="D76" s="98">
        <v>1023.4639</v>
      </c>
      <c r="F76" s="62"/>
      <c r="G76" s="62"/>
      <c r="H76" s="8"/>
      <c r="I76" s="158"/>
      <c r="J76" s="7"/>
      <c r="K76" s="7"/>
      <c r="L76" s="7"/>
      <c r="M76" s="7"/>
    </row>
    <row r="77" spans="1:13">
      <c r="B77" s="64" t="s">
        <v>120</v>
      </c>
      <c r="D77" s="1"/>
      <c r="E77" s="62"/>
      <c r="F77" s="62"/>
      <c r="G77" s="62"/>
      <c r="H77" s="8"/>
      <c r="I77" s="158"/>
    </row>
    <row r="78" spans="1:13">
      <c r="B78" s="64"/>
      <c r="C78" s="64"/>
      <c r="D78" s="65"/>
      <c r="E78" s="66"/>
      <c r="F78" s="62"/>
      <c r="G78" s="62"/>
      <c r="H78" s="8"/>
      <c r="I78" s="158"/>
    </row>
    <row r="79" spans="1:13">
      <c r="B79" s="4" t="s">
        <v>121</v>
      </c>
      <c r="D79" s="67"/>
      <c r="E79" s="67"/>
      <c r="F79" s="62"/>
      <c r="G79" s="62"/>
      <c r="H79" s="8"/>
      <c r="I79" s="158"/>
    </row>
    <row r="80" spans="1:13">
      <c r="B80" s="4" t="s">
        <v>122</v>
      </c>
      <c r="D80" s="67"/>
      <c r="F80" s="68"/>
    </row>
    <row r="81" spans="2:6">
      <c r="B81" s="4" t="s">
        <v>123</v>
      </c>
      <c r="C81" s="62"/>
      <c r="D81" s="62"/>
      <c r="E81" s="62"/>
      <c r="F81" s="68"/>
    </row>
    <row r="82" spans="2:6">
      <c r="B82" s="4" t="s">
        <v>124</v>
      </c>
      <c r="C82" s="62"/>
      <c r="D82" s="62"/>
      <c r="E82" s="62"/>
    </row>
    <row r="83" spans="2:6">
      <c r="B83" s="4" t="s">
        <v>125</v>
      </c>
      <c r="C83" s="62"/>
      <c r="D83" s="62"/>
      <c r="E83" s="62"/>
    </row>
    <row r="84" spans="2:6">
      <c r="B84" s="4" t="s">
        <v>168</v>
      </c>
      <c r="C84" s="62"/>
      <c r="D84" s="62"/>
      <c r="E84" s="62"/>
    </row>
    <row r="85" spans="2:6">
      <c r="B85" s="4" t="s">
        <v>127</v>
      </c>
      <c r="C85" s="62"/>
      <c r="D85" s="62"/>
      <c r="E85" s="62"/>
    </row>
    <row r="86" spans="2:6">
      <c r="B86" s="4" t="s">
        <v>126</v>
      </c>
      <c r="C86" s="115" t="s">
        <v>101</v>
      </c>
      <c r="D86" s="5"/>
      <c r="E86" s="62"/>
    </row>
    <row r="87" spans="2:6">
      <c r="B87" s="4"/>
      <c r="C87" s="4"/>
    </row>
    <row r="88" spans="2:6">
      <c r="B88" s="79" t="s">
        <v>67</v>
      </c>
      <c r="C88" s="92">
        <v>0.34179999999999999</v>
      </c>
    </row>
    <row r="89" spans="2:6">
      <c r="B89" s="4"/>
      <c r="C89" s="4"/>
    </row>
    <row r="90" spans="2:6">
      <c r="B90" s="79"/>
      <c r="C90" s="82" t="s">
        <v>75</v>
      </c>
    </row>
    <row r="91" spans="2:6">
      <c r="B91" s="129" t="s">
        <v>32</v>
      </c>
      <c r="C91" s="130" t="s">
        <v>103</v>
      </c>
    </row>
    <row r="92" spans="2:6">
      <c r="B92" s="79" t="s">
        <v>33</v>
      </c>
      <c r="C92" s="80"/>
    </row>
    <row r="93" spans="2:6">
      <c r="B93" s="79"/>
      <c r="C93" s="80"/>
    </row>
    <row r="94" spans="2:6">
      <c r="B94" s="79" t="s">
        <v>34</v>
      </c>
      <c r="C94" s="89">
        <v>6.4128125199999997E-2</v>
      </c>
      <c r="E94" s="116">
        <f>SUMPRODUCT(H27:H67,G27:G67)/100</f>
        <v>6.4128125200000001</v>
      </c>
    </row>
    <row r="95" spans="2:6">
      <c r="B95" s="79"/>
      <c r="C95" s="80"/>
    </row>
    <row r="96" spans="2:6">
      <c r="B96" s="79" t="s">
        <v>37</v>
      </c>
      <c r="C96" s="92">
        <v>0.36549999999999999</v>
      </c>
    </row>
    <row r="97" spans="2:3">
      <c r="B97" s="79" t="s">
        <v>66</v>
      </c>
      <c r="C97" s="96">
        <v>133.4</v>
      </c>
    </row>
    <row r="98" spans="2:3">
      <c r="B98" s="79"/>
      <c r="C98" s="80"/>
    </row>
    <row r="99" spans="2:3">
      <c r="B99" s="79" t="s">
        <v>35</v>
      </c>
      <c r="C99" s="83">
        <v>46203</v>
      </c>
    </row>
    <row r="100" spans="2:3" ht="17.25" customHeight="1">
      <c r="B100" s="180" t="s">
        <v>36</v>
      </c>
      <c r="C100" s="180"/>
    </row>
  </sheetData>
  <mergeCells count="9">
    <mergeCell ref="G13:H13"/>
    <mergeCell ref="B100:C100"/>
    <mergeCell ref="B1:H1"/>
    <mergeCell ref="B2:H2"/>
    <mergeCell ref="E4:F4"/>
    <mergeCell ref="G4:H4"/>
    <mergeCell ref="B10:D10"/>
    <mergeCell ref="E12:F12"/>
    <mergeCell ref="G12:H12"/>
  </mergeCells>
  <hyperlinks>
    <hyperlink ref="C86" r:id="rId1" xr:uid="{51446F96-ED9F-41CE-A7B3-36C5B0BAF451}"/>
  </hyperlinks>
  <pageMargins left="0.7" right="0.7" top="0.75" bottom="0.75" header="0.3" footer="0.3"/>
  <pageSetup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Shriram Overnight Fund</vt:lpstr>
      <vt:lpstr>Shriram Nifty1D Rate Liquid ETF</vt:lpstr>
      <vt:lpstr>Shriram Liquid Fund</vt:lpstr>
      <vt:lpstr>Shriram Money Market Fund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tanmoy</dc:creator>
  <cp:lastModifiedBy>Nitin Sahay</cp:lastModifiedBy>
  <cp:lastPrinted>2026-07-03T04:22:46Z</cp:lastPrinted>
  <dcterms:created xsi:type="dcterms:W3CDTF">2017-12-05T09:16:08Z</dcterms:created>
  <dcterms:modified xsi:type="dcterms:W3CDTF">2026-07-03T04:23:14Z</dcterms:modified>
</cp:coreProperties>
</file>