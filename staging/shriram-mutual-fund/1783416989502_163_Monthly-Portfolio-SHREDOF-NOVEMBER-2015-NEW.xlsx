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0.11.2015" sheetId="1" r:id="rId1"/>
  </sheets>
  <definedNames>
    <definedName name="_xlnm.Print_Titles" localSheetId="0">'30.11.2015'!$1:$5</definedName>
  </definedNames>
  <calcPr calcId="125725"/>
</workbook>
</file>

<file path=xl/calcChain.xml><?xml version="1.0" encoding="utf-8"?>
<calcChain xmlns="http://schemas.openxmlformats.org/spreadsheetml/2006/main">
  <c r="H102" i="1"/>
  <c r="G102"/>
  <c r="H94"/>
  <c r="H99" s="1"/>
  <c r="G94"/>
  <c r="H83"/>
  <c r="H88" s="1"/>
  <c r="G83"/>
  <c r="G88" s="1"/>
  <c r="H65"/>
  <c r="H68" s="1"/>
  <c r="H104" s="1"/>
  <c r="G65"/>
  <c r="G68" l="1"/>
  <c r="G99"/>
  <c r="G104" l="1"/>
</calcChain>
</file>

<file path=xl/sharedStrings.xml><?xml version="1.0" encoding="utf-8"?>
<sst xmlns="http://schemas.openxmlformats.org/spreadsheetml/2006/main" count="294" uniqueCount="219">
  <si>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</si>
  <si>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</si>
  <si>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</si>
  <si>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</si>
  <si>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</si>
  <si>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</si>
  <si>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</si>
  <si>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</si>
  <si>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</si>
  <si>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</si>
  <si>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</si>
  <si>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</si>
  <si>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</si>
  <si>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</si>
  <si>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</si>
  <si>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</si>
  <si>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</si>
  <si>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</si>
  <si>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</si>
  <si>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</si>
  <si>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</si>
  <si>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</si>
  <si>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</si>
  <si>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</si>
  <si>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</si>
  <si>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</si>
  <si>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</si>
  <si>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</si>
  <si>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</si>
  <si>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</si>
  <si>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</si>
  <si>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</si>
  <si>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</si>
  <si>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</si>
  <si>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</si>
  <si>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</si>
  <si>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</si>
  <si>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</si>
  <si>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</si>
  <si>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</si>
  <si>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</si>
  <si>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</si>
  <si>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</si>
  <si>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</si>
  <si>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</si>
  <si>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</si>
  <si>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</si>
  <si>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</si>
  <si>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</si>
  <si>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</si>
  <si>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</si>
  <si>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</si>
  <si>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</si>
  <si>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</si>
  <si>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</si>
  <si>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</si>
  <si>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</si>
  <si>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</si>
  <si>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</si>
  <si>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</si>
  <si>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</si>
  <si>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</si>
  <si>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</si>
  <si>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</si>
  <si>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</si>
  <si>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</si>
  <si>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</si>
  <si>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</si>
  <si>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</si>
  <si>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</si>
  <si>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</si>
  <si>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</si>
  <si>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</si>
  <si>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INE171A01029</t>
  </si>
  <si>
    <t>INE752E01010</t>
  </si>
  <si>
    <t>POWER</t>
  </si>
  <si>
    <t>BATA INDIA LTD.</t>
  </si>
  <si>
    <t>CONSUMER DURABLES</t>
  </si>
  <si>
    <t>INE129A01019</t>
  </si>
  <si>
    <t>GAS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</si>
  <si>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</si>
  <si>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</si>
  <si>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</si>
  <si>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</si>
  <si>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</si>
  <si>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</si>
  <si>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</si>
  <si>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</si>
  <si>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</si>
  <si>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</si>
  <si>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</si>
  <si>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</si>
  <si>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</si>
  <si>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</si>
  <si>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</si>
  <si>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</si>
  <si>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</si>
  <si>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</si>
  <si>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</si>
  <si>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</si>
  <si>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</si>
  <si>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</si>
  <si>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</si>
  <si>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</si>
  <si>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</si>
  <si>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</si>
  <si>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</si>
  <si>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</si>
  <si>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</si>
  <si>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</si>
  <si>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</si>
  <si>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</si>
  <si>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</si>
  <si>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</si>
  <si>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</si>
  <si>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</si>
  <si>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</si>
  <si>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</si>
  <si>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</si>
  <si>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</si>
  <si>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</si>
  <si>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</si>
  <si>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</si>
  <si>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</si>
  <si>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</si>
  <si>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</si>
  <si>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</si>
  <si>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</si>
  <si>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</si>
  <si>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</si>
  <si>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</si>
  <si>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</si>
  <si>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</si>
  <si>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</si>
  <si>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</si>
  <si>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</si>
  <si>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</si>
  <si>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</si>
  <si>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</si>
  <si>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</si>
  <si>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</si>
  <si>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</si>
  <si>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</si>
  <si>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</si>
  <si>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</si>
  <si>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</si>
  <si>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</si>
  <si>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</si>
  <si>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</si>
  <si>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</si>
  <si>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</si>
  <si>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</si>
  <si>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</si>
  <si>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</si>
  <si>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INE406A01037</t>
  </si>
  <si>
    <t>INE494B01023</t>
  </si>
  <si>
    <t>TVS MOTOR COMPANY LTD.</t>
  </si>
  <si>
    <t>INE883A01011</t>
  </si>
  <si>
    <t>MRF LTD.</t>
  </si>
  <si>
    <t>INE090A01021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</si>
  <si>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</si>
  <si>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</si>
  <si>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</si>
  <si>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</si>
  <si>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</si>
  <si>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</si>
  <si>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</si>
  <si>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</si>
  <si>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</si>
  <si>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</si>
  <si>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</si>
  <si>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</si>
  <si>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</si>
  <si>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</si>
  <si>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</si>
  <si>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</si>
  <si>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</si>
  <si>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</si>
  <si>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</si>
  <si>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</si>
  <si>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</si>
  <si>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</si>
  <si>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</si>
  <si>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</si>
  <si>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</si>
  <si>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</si>
  <si>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</si>
  <si>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</si>
  <si>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</si>
  <si>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</si>
  <si>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</si>
  <si>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</si>
  <si>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</si>
  <si>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</si>
  <si>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</si>
  <si>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INE001A07MG9</t>
  </si>
  <si>
    <t>INE298A01020</t>
  </si>
  <si>
    <t>CUMMINS INDIA LTD.</t>
  </si>
  <si>
    <t>INE296A01016</t>
  </si>
  <si>
    <t>BAJAJ FINANCE LTD.</t>
  </si>
  <si>
    <t>INE612J01015</t>
  </si>
  <si>
    <t>REPCO HOME FINANCE LIMITED</t>
  </si>
  <si>
    <t>INE092T01019</t>
  </si>
  <si>
    <t>IDFC BANK LTD.</t>
  </si>
  <si>
    <t>INE176A01028</t>
  </si>
  <si>
    <t>INE987B01026</t>
  </si>
  <si>
    <t>INE233B01017</t>
  </si>
  <si>
    <t xml:space="preserve">BLUE DART EXPRESS LIMITED
</t>
  </si>
  <si>
    <t>TRANSPORTATION</t>
  </si>
  <si>
    <t>INE115A07EU5</t>
  </si>
  <si>
    <t>CARE AAA</t>
  </si>
  <si>
    <t>INE001A07MK1</t>
  </si>
  <si>
    <t>Transportation</t>
  </si>
  <si>
    <t>4) No Bonus declared during the month ended November 30,2015.</t>
  </si>
  <si>
    <t>5) Total outstanding exposure in Derivative Instruments as on November 30,2015 : Nil</t>
  </si>
  <si>
    <t>7) Portfolio Turnover Ratio: 135.747</t>
  </si>
  <si>
    <t>8) Funds Parked in Short Term Deposits as on November 30,2015: Rs.Nil</t>
  </si>
  <si>
    <t>9) Term Deposits placed as Margin for trading in Cash &amp; Derivative Market as on November 30,2015 : Nil.</t>
  </si>
  <si>
    <t>Portfolio as on November 30,2015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</si>
</sst>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17" fillId="0" borderId="0" xfId="0" applyFont="1" applyAlignment="1">
      <alignment wrapText="1"/>
    </xf>
    <xf numFmtId="43" fontId="5" fillId="0" borderId="0" xfId="1" applyNumberFormat="1" applyFont="1" applyAlignment="1">
      <alignment horizontal="right"/>
    </xf>
    <xf numFmtId="43" fontId="0" fillId="0" borderId="0" xfId="1" applyFont="1" applyAlignment="1"/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10" fontId="9" fillId="0" borderId="0" xfId="1" applyNumberFormat="1" applyFont="1" applyAlignment="1">
      <alignment horizontal="right"/>
    </xf>
    <xf numFmtId="164" fontId="0" fillId="0" borderId="0" xfId="0" applyNumberFormat="1" applyAlignment="1">
      <alignment wrapText="1"/>
    </xf>
    <xf numFmtId="164" fontId="9" fillId="0" borderId="0" xfId="0" applyNumberFormat="1" applyFont="1" applyAlignment="1">
      <alignment wrapText="1"/>
    </xf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4" fillId="2" borderId="0" xfId="0" applyFont="1" applyFill="1" applyAlignment="1">
      <alignment horizontal="left"/>
    </xf>
    <xf numFmtId="0" fontId="15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>
      <selection activeCell="J47" sqref="J47"/>
    </sheetView>
  </sheetViews>
  <sheetFormatPr defaultRowHeight="15"/>
  <cols>
    <col min="1" max="1" width="3.28515625" style="48" bestFit="1" customWidth="1"/>
    <col min="2" max="2" width="13.85546875" style="48" bestFit="1" customWidth="1"/>
    <col min="3" max="3" width="7.28515625" style="48" customWidth="1"/>
    <col min="4" max="4" width="50.85546875" style="48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4.7109375" style="2" customWidth="1"/>
    <col min="9" max="16384" width="9.140625" style="48"/>
  </cols>
  <sheetData>
    <row r="1" spans="1:8" ht="21.75">
      <c r="A1" s="66" t="s">
        <v>0</v>
      </c>
      <c r="B1" s="66"/>
      <c r="C1" s="66"/>
      <c r="D1" s="66"/>
      <c r="E1" s="66"/>
      <c r="F1" s="66"/>
      <c r="G1" s="66"/>
      <c r="H1" s="66"/>
    </row>
    <row r="3" spans="1:8">
      <c r="B3" s="1"/>
      <c r="C3" s="1"/>
      <c r="D3" s="33" t="s">
        <v>218</v>
      </c>
      <c r="E3" s="48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7" t="s">
        <v>8</v>
      </c>
      <c r="C6" s="67"/>
      <c r="D6" s="67"/>
      <c r="E6" s="9"/>
      <c r="F6" s="9"/>
      <c r="G6" s="9"/>
      <c r="H6" s="9"/>
    </row>
    <row r="7" spans="1:8">
      <c r="A7" s="11"/>
      <c r="B7" s="67" t="s">
        <v>9</v>
      </c>
      <c r="C7" s="67"/>
      <c r="D7" s="67"/>
      <c r="E7" s="12"/>
      <c r="F7" s="12"/>
      <c r="G7" s="12"/>
      <c r="H7" s="12"/>
    </row>
    <row r="8" spans="1:8">
      <c r="A8" s="11"/>
      <c r="B8" s="67" t="s">
        <v>10</v>
      </c>
      <c r="C8" s="67"/>
      <c r="D8" s="67"/>
      <c r="E8" s="12"/>
      <c r="F8" s="12"/>
      <c r="G8" s="12"/>
      <c r="H8" s="12"/>
    </row>
    <row r="9" spans="1:8">
      <c r="A9" s="13"/>
      <c r="B9" s="34" t="s">
        <v>14</v>
      </c>
      <c r="C9"/>
      <c r="D9" s="14" t="s">
        <v>15</v>
      </c>
      <c r="E9" s="49" t="s">
        <v>16</v>
      </c>
      <c r="F9" s="15">
        <v>15604</v>
      </c>
      <c r="G9" s="15">
        <v>168.17</v>
      </c>
      <c r="H9" s="16">
        <v>4.5199999999999996</v>
      </c>
    </row>
    <row r="10" spans="1:8">
      <c r="A10" s="13"/>
      <c r="B10" s="34" t="s">
        <v>31</v>
      </c>
      <c r="C10"/>
      <c r="D10" s="14" t="s">
        <v>32</v>
      </c>
      <c r="E10" s="49" t="s">
        <v>33</v>
      </c>
      <c r="F10" s="15">
        <v>3373</v>
      </c>
      <c r="G10" s="15">
        <v>155.38999999999999</v>
      </c>
      <c r="H10" s="16">
        <v>4.17</v>
      </c>
    </row>
    <row r="11" spans="1:8">
      <c r="A11" s="13"/>
      <c r="B11" s="34" t="s">
        <v>17</v>
      </c>
      <c r="C11"/>
      <c r="D11" s="14" t="s">
        <v>18</v>
      </c>
      <c r="E11" s="49" t="s">
        <v>19</v>
      </c>
      <c r="F11" s="15">
        <v>11826</v>
      </c>
      <c r="G11" s="15">
        <v>143.24</v>
      </c>
      <c r="H11" s="16">
        <v>3.85</v>
      </c>
    </row>
    <row r="12" spans="1:8">
      <c r="A12" s="13"/>
      <c r="B12" s="34" t="s">
        <v>137</v>
      </c>
      <c r="C12"/>
      <c r="D12" s="14" t="s">
        <v>30</v>
      </c>
      <c r="E12" s="49" t="s">
        <v>16</v>
      </c>
      <c r="F12" s="15">
        <v>27149</v>
      </c>
      <c r="G12" s="15">
        <v>127.37</v>
      </c>
      <c r="H12" s="16">
        <v>3.42</v>
      </c>
    </row>
    <row r="13" spans="1:8">
      <c r="A13" s="13"/>
      <c r="B13" s="34" t="s">
        <v>28</v>
      </c>
      <c r="C13"/>
      <c r="D13" s="14" t="s">
        <v>29</v>
      </c>
      <c r="E13" s="49" t="s">
        <v>13</v>
      </c>
      <c r="F13" s="15">
        <v>14212</v>
      </c>
      <c r="G13" s="15">
        <v>123.78</v>
      </c>
      <c r="H13" s="16">
        <v>3.32</v>
      </c>
    </row>
    <row r="14" spans="1:8">
      <c r="A14" s="13"/>
      <c r="B14" s="34" t="s">
        <v>159</v>
      </c>
      <c r="C14"/>
      <c r="D14" s="14" t="s">
        <v>20</v>
      </c>
      <c r="E14" s="49" t="s">
        <v>16</v>
      </c>
      <c r="F14" s="15">
        <v>44617</v>
      </c>
      <c r="G14" s="15">
        <v>122.59</v>
      </c>
      <c r="H14" s="16">
        <v>3.29</v>
      </c>
    </row>
    <row r="15" spans="1:8">
      <c r="A15" s="13"/>
      <c r="B15" s="34" t="s">
        <v>81</v>
      </c>
      <c r="C15"/>
      <c r="D15" s="14" t="s">
        <v>183</v>
      </c>
      <c r="E15" s="49" t="s">
        <v>19</v>
      </c>
      <c r="F15" s="15">
        <v>24839</v>
      </c>
      <c r="G15" s="15">
        <v>120.37</v>
      </c>
      <c r="H15" s="16">
        <v>3.23</v>
      </c>
    </row>
    <row r="16" spans="1:8">
      <c r="A16" s="13"/>
      <c r="B16" s="34" t="s">
        <v>11</v>
      </c>
      <c r="C16"/>
      <c r="D16" s="14" t="s">
        <v>12</v>
      </c>
      <c r="E16" s="49" t="s">
        <v>13</v>
      </c>
      <c r="F16" s="15">
        <v>5046</v>
      </c>
      <c r="G16" s="15">
        <v>119.32</v>
      </c>
      <c r="H16" s="16">
        <v>3.2</v>
      </c>
    </row>
    <row r="17" spans="1:8">
      <c r="A17" s="13"/>
      <c r="B17" s="34" t="s">
        <v>59</v>
      </c>
      <c r="C17"/>
      <c r="D17" s="14" t="s">
        <v>60</v>
      </c>
      <c r="E17" s="49" t="s">
        <v>13</v>
      </c>
      <c r="F17" s="15">
        <v>10771</v>
      </c>
      <c r="G17" s="15">
        <v>117.18</v>
      </c>
      <c r="H17" s="16">
        <v>3.15</v>
      </c>
    </row>
    <row r="18" spans="1:8">
      <c r="A18" s="18"/>
      <c r="B18" s="34" t="s">
        <v>154</v>
      </c>
      <c r="C18"/>
      <c r="D18" s="14" t="s">
        <v>185</v>
      </c>
      <c r="E18" s="49" t="s">
        <v>26</v>
      </c>
      <c r="F18" s="15">
        <v>12704</v>
      </c>
      <c r="G18" s="15">
        <v>102.87</v>
      </c>
      <c r="H18" s="16">
        <v>2.76</v>
      </c>
    </row>
    <row r="19" spans="1:8">
      <c r="A19" s="19"/>
      <c r="B19" s="34" t="s">
        <v>24</v>
      </c>
      <c r="C19"/>
      <c r="D19" s="14" t="s">
        <v>25</v>
      </c>
      <c r="E19" s="49" t="s">
        <v>26</v>
      </c>
      <c r="F19" s="15">
        <v>3297</v>
      </c>
      <c r="G19" s="15">
        <v>102.46</v>
      </c>
      <c r="H19" s="16">
        <v>2.75</v>
      </c>
    </row>
    <row r="20" spans="1:8">
      <c r="A20" s="13"/>
      <c r="B20" s="34" t="s">
        <v>84</v>
      </c>
      <c r="C20"/>
      <c r="D20" s="14" t="s">
        <v>85</v>
      </c>
      <c r="E20" s="49" t="s">
        <v>16</v>
      </c>
      <c r="F20" s="15">
        <v>11400</v>
      </c>
      <c r="G20" s="15">
        <v>78.930000000000007</v>
      </c>
      <c r="H20" s="16">
        <v>2.12</v>
      </c>
    </row>
    <row r="21" spans="1:8">
      <c r="A21" s="19"/>
      <c r="B21" s="34" t="s">
        <v>151</v>
      </c>
      <c r="C21"/>
      <c r="D21" s="14" t="s">
        <v>52</v>
      </c>
      <c r="E21" s="49" t="s">
        <v>16</v>
      </c>
      <c r="F21" s="15">
        <v>28557</v>
      </c>
      <c r="G21" s="15">
        <v>71.45</v>
      </c>
      <c r="H21" s="16">
        <v>1.92</v>
      </c>
    </row>
    <row r="22" spans="1:8">
      <c r="A22" s="19"/>
      <c r="B22" s="34" t="s">
        <v>82</v>
      </c>
      <c r="C22"/>
      <c r="D22" s="14" t="s">
        <v>83</v>
      </c>
      <c r="E22" s="49" t="s">
        <v>39</v>
      </c>
      <c r="F22" s="15">
        <v>2417</v>
      </c>
      <c r="G22" s="15">
        <v>70.650000000000006</v>
      </c>
      <c r="H22" s="16">
        <v>1.9</v>
      </c>
    </row>
    <row r="23" spans="1:8">
      <c r="A23" s="19"/>
      <c r="B23" s="34" t="s">
        <v>80</v>
      </c>
      <c r="C23"/>
      <c r="D23" s="14" t="s">
        <v>187</v>
      </c>
      <c r="E23" s="49" t="s">
        <v>16</v>
      </c>
      <c r="F23" s="15">
        <v>7534</v>
      </c>
      <c r="G23" s="15">
        <v>70.459999999999994</v>
      </c>
      <c r="H23" s="16">
        <v>1.89</v>
      </c>
    </row>
    <row r="24" spans="1:8">
      <c r="A24" s="19"/>
      <c r="B24" s="34" t="s">
        <v>140</v>
      </c>
      <c r="C24"/>
      <c r="D24" s="14" t="s">
        <v>141</v>
      </c>
      <c r="E24" s="49" t="s">
        <v>142</v>
      </c>
      <c r="F24" s="15">
        <v>5540</v>
      </c>
      <c r="G24" s="15">
        <v>69.459999999999994</v>
      </c>
      <c r="H24" s="16">
        <v>1.87</v>
      </c>
    </row>
    <row r="25" spans="1:8">
      <c r="A25" s="19"/>
      <c r="B25" s="34" t="s">
        <v>21</v>
      </c>
      <c r="C25"/>
      <c r="D25" s="14" t="s">
        <v>22</v>
      </c>
      <c r="E25" s="49" t="s">
        <v>23</v>
      </c>
      <c r="F25" s="15">
        <v>5037</v>
      </c>
      <c r="G25" s="15">
        <v>69.239999999999995</v>
      </c>
      <c r="H25" s="16">
        <v>1.86</v>
      </c>
    </row>
    <row r="26" spans="1:8">
      <c r="A26" s="19"/>
      <c r="B26" s="34" t="s">
        <v>46</v>
      </c>
      <c r="C26"/>
      <c r="D26" s="14" t="s">
        <v>47</v>
      </c>
      <c r="E26" s="49" t="s">
        <v>36</v>
      </c>
      <c r="F26" s="15">
        <v>7446</v>
      </c>
      <c r="G26" s="15">
        <v>67.14</v>
      </c>
      <c r="H26" s="16">
        <v>1.8</v>
      </c>
    </row>
    <row r="27" spans="1:8">
      <c r="A27" s="19"/>
      <c r="B27" s="34" t="s">
        <v>63</v>
      </c>
      <c r="C27"/>
      <c r="D27" s="14" t="s">
        <v>64</v>
      </c>
      <c r="E27" s="49" t="s">
        <v>33</v>
      </c>
      <c r="F27" s="15">
        <v>367</v>
      </c>
      <c r="G27" s="15">
        <v>61.39</v>
      </c>
      <c r="H27" s="16">
        <v>1.65</v>
      </c>
    </row>
    <row r="28" spans="1:8">
      <c r="A28" s="19"/>
      <c r="B28" s="34" t="s">
        <v>73</v>
      </c>
      <c r="C28"/>
      <c r="D28" s="14" t="s">
        <v>184</v>
      </c>
      <c r="E28" s="49" t="s">
        <v>16</v>
      </c>
      <c r="F28" s="15">
        <v>95349</v>
      </c>
      <c r="G28" s="15">
        <v>55.97</v>
      </c>
      <c r="H28" s="16">
        <v>1.5</v>
      </c>
    </row>
    <row r="29" spans="1:8">
      <c r="A29" s="19"/>
      <c r="B29" s="34" t="s">
        <v>67</v>
      </c>
      <c r="C29"/>
      <c r="D29" s="14" t="s">
        <v>68</v>
      </c>
      <c r="E29" s="49" t="s">
        <v>69</v>
      </c>
      <c r="F29" s="15">
        <v>4246</v>
      </c>
      <c r="G29" s="15">
        <v>55.84</v>
      </c>
      <c r="H29" s="16">
        <v>1.5</v>
      </c>
    </row>
    <row r="30" spans="1:8">
      <c r="A30" s="19"/>
      <c r="B30" s="34" t="s">
        <v>37</v>
      </c>
      <c r="C30"/>
      <c r="D30" s="14" t="s">
        <v>38</v>
      </c>
      <c r="E30" s="49" t="s">
        <v>39</v>
      </c>
      <c r="F30" s="15">
        <v>14566</v>
      </c>
      <c r="G30" s="15">
        <v>49.9</v>
      </c>
      <c r="H30" s="16">
        <v>1.34</v>
      </c>
    </row>
    <row r="31" spans="1:8">
      <c r="A31" s="19"/>
      <c r="B31" s="34" t="s">
        <v>180</v>
      </c>
      <c r="C31"/>
      <c r="D31" s="14" t="s">
        <v>27</v>
      </c>
      <c r="E31" s="49" t="s">
        <v>13</v>
      </c>
      <c r="F31" s="15">
        <v>7853</v>
      </c>
      <c r="G31" s="15">
        <v>41.89</v>
      </c>
      <c r="H31" s="16">
        <v>1.1200000000000001</v>
      </c>
    </row>
    <row r="32" spans="1:8">
      <c r="A32" s="19"/>
      <c r="B32" s="34" t="s">
        <v>61</v>
      </c>
      <c r="C32"/>
      <c r="D32" s="14" t="s">
        <v>62</v>
      </c>
      <c r="E32" s="49" t="s">
        <v>39</v>
      </c>
      <c r="F32" s="15">
        <v>4894</v>
      </c>
      <c r="G32" s="15">
        <v>41.04</v>
      </c>
      <c r="H32" s="16">
        <v>1.1000000000000001</v>
      </c>
    </row>
    <row r="33" spans="1:8">
      <c r="A33" s="19"/>
      <c r="B33" s="34" t="s">
        <v>43</v>
      </c>
      <c r="C33"/>
      <c r="D33" s="14" t="s">
        <v>44</v>
      </c>
      <c r="E33" s="49" t="s">
        <v>45</v>
      </c>
      <c r="F33" s="15">
        <v>1459</v>
      </c>
      <c r="G33" s="15">
        <v>40.869999999999997</v>
      </c>
      <c r="H33" s="16">
        <v>1.1000000000000001</v>
      </c>
    </row>
    <row r="34" spans="1:8">
      <c r="A34" s="19"/>
      <c r="B34" s="34" t="s">
        <v>70</v>
      </c>
      <c r="C34"/>
      <c r="D34" s="14" t="s">
        <v>71</v>
      </c>
      <c r="E34" s="49" t="s">
        <v>72</v>
      </c>
      <c r="F34" s="15">
        <v>4622</v>
      </c>
      <c r="G34" s="15">
        <v>40.43</v>
      </c>
      <c r="H34" s="16">
        <v>1.0900000000000001</v>
      </c>
    </row>
    <row r="35" spans="1:8">
      <c r="A35" s="19"/>
      <c r="B35" s="34" t="s">
        <v>34</v>
      </c>
      <c r="C35"/>
      <c r="D35" s="14" t="s">
        <v>35</v>
      </c>
      <c r="E35" s="49" t="s">
        <v>36</v>
      </c>
      <c r="F35" s="15">
        <v>3807</v>
      </c>
      <c r="G35" s="15">
        <v>36.770000000000003</v>
      </c>
      <c r="H35" s="16">
        <v>0.99</v>
      </c>
    </row>
    <row r="36" spans="1:8">
      <c r="A36" s="19"/>
      <c r="B36" s="34" t="s">
        <v>205</v>
      </c>
      <c r="C36"/>
      <c r="D36" s="14" t="s">
        <v>87</v>
      </c>
      <c r="E36" s="49" t="s">
        <v>26</v>
      </c>
      <c r="F36" s="15">
        <v>6365</v>
      </c>
      <c r="G36" s="15">
        <v>33.659999999999997</v>
      </c>
      <c r="H36" s="16">
        <v>0.9</v>
      </c>
    </row>
    <row r="37" spans="1:8">
      <c r="A37" s="19"/>
      <c r="B37" s="34" t="s">
        <v>152</v>
      </c>
      <c r="C37"/>
      <c r="D37" s="14" t="s">
        <v>153</v>
      </c>
      <c r="E37" s="49" t="s">
        <v>33</v>
      </c>
      <c r="F37" s="15">
        <v>7785</v>
      </c>
      <c r="G37" s="15">
        <v>32.950000000000003</v>
      </c>
      <c r="H37" s="16">
        <v>0.89</v>
      </c>
    </row>
    <row r="38" spans="1:8">
      <c r="A38" s="19"/>
      <c r="B38" s="34" t="s">
        <v>65</v>
      </c>
      <c r="C38"/>
      <c r="D38" s="14" t="s">
        <v>66</v>
      </c>
      <c r="E38" s="49" t="s">
        <v>45</v>
      </c>
      <c r="F38" s="15">
        <v>296</v>
      </c>
      <c r="G38" s="15">
        <v>32.880000000000003</v>
      </c>
      <c r="H38" s="16">
        <v>0.88</v>
      </c>
    </row>
    <row r="39" spans="1:8">
      <c r="A39" s="19"/>
      <c r="B39" s="34" t="s">
        <v>48</v>
      </c>
      <c r="C39"/>
      <c r="D39" s="14" t="s">
        <v>49</v>
      </c>
      <c r="E39" s="49" t="s">
        <v>33</v>
      </c>
      <c r="F39" s="15">
        <v>2319</v>
      </c>
      <c r="G39" s="15">
        <v>31.67</v>
      </c>
      <c r="H39" s="16">
        <v>0.85</v>
      </c>
    </row>
    <row r="40" spans="1:8">
      <c r="A40" s="19"/>
      <c r="B40" s="34" t="s">
        <v>55</v>
      </c>
      <c r="C40"/>
      <c r="D40" s="14" t="s">
        <v>56</v>
      </c>
      <c r="E40" s="49" t="s">
        <v>26</v>
      </c>
      <c r="F40" s="15">
        <v>1756</v>
      </c>
      <c r="G40" s="15">
        <v>31.38</v>
      </c>
      <c r="H40" s="16">
        <v>0.84</v>
      </c>
    </row>
    <row r="41" spans="1:8">
      <c r="A41" s="19"/>
      <c r="B41" s="34" t="s">
        <v>74</v>
      </c>
      <c r="C41"/>
      <c r="D41" s="14" t="s">
        <v>191</v>
      </c>
      <c r="E41" s="49" t="s">
        <v>75</v>
      </c>
      <c r="F41" s="15">
        <v>19747</v>
      </c>
      <c r="G41" s="15">
        <v>26.88</v>
      </c>
      <c r="H41" s="16">
        <v>0.72</v>
      </c>
    </row>
    <row r="42" spans="1:8">
      <c r="A42" s="19"/>
      <c r="B42" s="34" t="s">
        <v>88</v>
      </c>
      <c r="C42"/>
      <c r="D42" s="14" t="s">
        <v>190</v>
      </c>
      <c r="E42" s="49" t="s">
        <v>89</v>
      </c>
      <c r="F42" s="15">
        <v>6190</v>
      </c>
      <c r="G42" s="15">
        <v>25.73</v>
      </c>
      <c r="H42" s="16">
        <v>0.69</v>
      </c>
    </row>
    <row r="43" spans="1:8">
      <c r="A43" s="19"/>
      <c r="B43" s="34" t="s">
        <v>90</v>
      </c>
      <c r="C43"/>
      <c r="D43" s="14" t="s">
        <v>189</v>
      </c>
      <c r="E43" s="49" t="s">
        <v>91</v>
      </c>
      <c r="F43" s="15">
        <v>3019</v>
      </c>
      <c r="G43" s="15">
        <v>25.68</v>
      </c>
      <c r="H43" s="16">
        <v>0.69</v>
      </c>
    </row>
    <row r="44" spans="1:8">
      <c r="A44" s="19"/>
      <c r="B44" s="34" t="s">
        <v>202</v>
      </c>
      <c r="D44" s="14" t="s">
        <v>203</v>
      </c>
      <c r="E44" s="49" t="s">
        <v>16</v>
      </c>
      <c r="F44" s="15">
        <v>40695</v>
      </c>
      <c r="G44" s="15">
        <v>24.05</v>
      </c>
      <c r="H44" s="16">
        <v>0.65</v>
      </c>
    </row>
    <row r="45" spans="1:8">
      <c r="A45" s="19"/>
      <c r="B45" s="34" t="s">
        <v>50</v>
      </c>
      <c r="C45"/>
      <c r="D45" s="14" t="s">
        <v>51</v>
      </c>
      <c r="E45" s="49" t="s">
        <v>26</v>
      </c>
      <c r="F45" s="15">
        <v>3227</v>
      </c>
      <c r="G45" s="15">
        <v>23.55</v>
      </c>
      <c r="H45" s="16">
        <v>0.63</v>
      </c>
    </row>
    <row r="46" spans="1:8">
      <c r="A46" s="19"/>
      <c r="B46" s="34" t="s">
        <v>53</v>
      </c>
      <c r="C46"/>
      <c r="D46" s="14" t="s">
        <v>188</v>
      </c>
      <c r="E46" s="49" t="s">
        <v>54</v>
      </c>
      <c r="F46" s="15">
        <v>10113</v>
      </c>
      <c r="G46" s="15">
        <v>23.22</v>
      </c>
      <c r="H46" s="16">
        <v>0.62</v>
      </c>
    </row>
    <row r="47" spans="1:8">
      <c r="A47" s="19"/>
      <c r="B47" s="34" t="s">
        <v>86</v>
      </c>
      <c r="C47"/>
      <c r="D47" s="14" t="s">
        <v>186</v>
      </c>
      <c r="E47" s="49" t="s">
        <v>19</v>
      </c>
      <c r="F47" s="15">
        <v>40695</v>
      </c>
      <c r="G47" s="15">
        <v>21.59</v>
      </c>
      <c r="H47" s="16">
        <v>0.57999999999999996</v>
      </c>
    </row>
    <row r="48" spans="1:8">
      <c r="A48" s="19"/>
      <c r="B48" s="34" t="s">
        <v>92</v>
      </c>
      <c r="C48"/>
      <c r="D48" s="14" t="s">
        <v>192</v>
      </c>
      <c r="E48" s="49" t="s">
        <v>91</v>
      </c>
      <c r="F48" s="15">
        <v>2325</v>
      </c>
      <c r="G48" s="15">
        <v>20.55</v>
      </c>
      <c r="H48" s="16">
        <v>0.55000000000000004</v>
      </c>
    </row>
    <row r="49" spans="1:8">
      <c r="A49" s="19"/>
      <c r="B49" s="34" t="s">
        <v>204</v>
      </c>
      <c r="C49"/>
      <c r="D49" s="14" t="s">
        <v>76</v>
      </c>
      <c r="E49" s="49" t="s">
        <v>77</v>
      </c>
      <c r="F49" s="15">
        <v>3890</v>
      </c>
      <c r="G49" s="15">
        <v>19.43</v>
      </c>
      <c r="H49" s="16">
        <v>0.52</v>
      </c>
    </row>
    <row r="50" spans="1:8">
      <c r="A50" s="19"/>
      <c r="B50" s="34" t="s">
        <v>57</v>
      </c>
      <c r="C50"/>
      <c r="D50" s="14" t="s">
        <v>58</v>
      </c>
      <c r="E50" s="49" t="s">
        <v>33</v>
      </c>
      <c r="F50" s="15">
        <v>710</v>
      </c>
      <c r="G50" s="15">
        <v>17.600000000000001</v>
      </c>
      <c r="H50" s="16">
        <v>0.47</v>
      </c>
    </row>
    <row r="51" spans="1:8">
      <c r="A51" s="19"/>
      <c r="B51" s="34" t="s">
        <v>157</v>
      </c>
      <c r="C51"/>
      <c r="D51" s="14" t="s">
        <v>158</v>
      </c>
      <c r="E51" s="49" t="s">
        <v>72</v>
      </c>
      <c r="F51" s="15">
        <v>43</v>
      </c>
      <c r="G51" s="15">
        <v>16.71</v>
      </c>
      <c r="H51" s="16">
        <v>0.45</v>
      </c>
    </row>
    <row r="52" spans="1:8">
      <c r="A52" s="19"/>
      <c r="B52" s="34" t="s">
        <v>78</v>
      </c>
      <c r="C52"/>
      <c r="D52" s="14" t="s">
        <v>193</v>
      </c>
      <c r="E52" s="49" t="s">
        <v>79</v>
      </c>
      <c r="F52" s="15">
        <v>4481</v>
      </c>
      <c r="G52" s="15">
        <v>16.36</v>
      </c>
      <c r="H52" s="16">
        <v>0.44</v>
      </c>
    </row>
    <row r="53" spans="1:8">
      <c r="A53" s="19"/>
      <c r="B53" t="s">
        <v>198</v>
      </c>
      <c r="D53" s="14" t="s">
        <v>199</v>
      </c>
      <c r="E53" s="49" t="s">
        <v>19</v>
      </c>
      <c r="F53" s="15">
        <v>296</v>
      </c>
      <c r="G53" s="15">
        <v>16.32</v>
      </c>
      <c r="H53" s="16">
        <v>0.44</v>
      </c>
    </row>
    <row r="54" spans="1:8">
      <c r="A54" s="19"/>
      <c r="B54" s="34" t="s">
        <v>149</v>
      </c>
      <c r="C54"/>
      <c r="D54" s="14" t="s">
        <v>150</v>
      </c>
      <c r="E54" s="49" t="s">
        <v>33</v>
      </c>
      <c r="F54" s="15">
        <v>571</v>
      </c>
      <c r="G54" s="15">
        <v>15.41</v>
      </c>
      <c r="H54" s="16">
        <v>0.41</v>
      </c>
    </row>
    <row r="55" spans="1:8">
      <c r="A55" s="19"/>
      <c r="B55" s="34" t="s">
        <v>40</v>
      </c>
      <c r="C55"/>
      <c r="D55" s="14" t="s">
        <v>41</v>
      </c>
      <c r="E55" s="49" t="s">
        <v>42</v>
      </c>
      <c r="F55" s="15">
        <v>6189</v>
      </c>
      <c r="G55" s="15">
        <v>14.49</v>
      </c>
      <c r="H55" s="16">
        <v>0.39</v>
      </c>
    </row>
    <row r="56" spans="1:8">
      <c r="A56" s="19"/>
      <c r="B56" s="34" t="s">
        <v>145</v>
      </c>
      <c r="C56"/>
      <c r="D56" s="14" t="s">
        <v>146</v>
      </c>
      <c r="E56" s="49" t="s">
        <v>13</v>
      </c>
      <c r="F56" s="15">
        <v>879</v>
      </c>
      <c r="G56" s="15">
        <v>12.62</v>
      </c>
      <c r="H56" s="16">
        <v>0.34</v>
      </c>
    </row>
    <row r="57" spans="1:8">
      <c r="A57" s="19"/>
      <c r="B57" s="34" t="s">
        <v>155</v>
      </c>
      <c r="C57"/>
      <c r="D57" s="14" t="s">
        <v>156</v>
      </c>
      <c r="E57" s="49" t="s">
        <v>33</v>
      </c>
      <c r="F57" s="15">
        <v>3831</v>
      </c>
      <c r="G57" s="15">
        <v>11.76</v>
      </c>
      <c r="H57" s="16">
        <v>0.32</v>
      </c>
    </row>
    <row r="58" spans="1:8">
      <c r="A58" s="19"/>
      <c r="B58" s="34" t="s">
        <v>160</v>
      </c>
      <c r="C58"/>
      <c r="D58" s="14" t="s">
        <v>194</v>
      </c>
      <c r="E58" s="49" t="s">
        <v>161</v>
      </c>
      <c r="F58" s="15">
        <v>78</v>
      </c>
      <c r="G58" s="15">
        <v>10.130000000000001</v>
      </c>
      <c r="H58" s="16">
        <v>0.27</v>
      </c>
    </row>
    <row r="59" spans="1:8">
      <c r="A59" s="19"/>
      <c r="B59" t="s">
        <v>196</v>
      </c>
      <c r="D59" s="14" t="s">
        <v>197</v>
      </c>
      <c r="E59" s="49" t="s">
        <v>91</v>
      </c>
      <c r="F59" s="15">
        <v>784</v>
      </c>
      <c r="G59" s="15">
        <v>7.77</v>
      </c>
      <c r="H59" s="16">
        <v>0.21</v>
      </c>
    </row>
    <row r="60" spans="1:8">
      <c r="A60" s="19"/>
      <c r="B60" s="34" t="s">
        <v>206</v>
      </c>
      <c r="D60" s="14" t="s">
        <v>207</v>
      </c>
      <c r="E60" s="48" t="s">
        <v>208</v>
      </c>
      <c r="F60" s="15">
        <v>100</v>
      </c>
      <c r="G60" s="15">
        <v>7.4</v>
      </c>
      <c r="H60" s="16">
        <v>0.2</v>
      </c>
    </row>
    <row r="61" spans="1:8">
      <c r="A61" s="19"/>
      <c r="B61" s="34" t="s">
        <v>138</v>
      </c>
      <c r="C61"/>
      <c r="D61" s="14" t="s">
        <v>139</v>
      </c>
      <c r="E61" s="49" t="s">
        <v>72</v>
      </c>
      <c r="F61" s="15">
        <v>4514</v>
      </c>
      <c r="G61" s="15">
        <v>7.33</v>
      </c>
      <c r="H61" s="16">
        <v>0.2</v>
      </c>
    </row>
    <row r="62" spans="1:8">
      <c r="A62" s="19"/>
      <c r="B62" t="s">
        <v>200</v>
      </c>
      <c r="D62" s="14" t="s">
        <v>201</v>
      </c>
      <c r="E62" s="49" t="s">
        <v>19</v>
      </c>
      <c r="F62" s="15">
        <v>799</v>
      </c>
      <c r="G62" s="15">
        <v>5.8</v>
      </c>
      <c r="H62" s="16">
        <v>0.16</v>
      </c>
    </row>
    <row r="63" spans="1:8">
      <c r="A63" s="19"/>
      <c r="B63" s="34" t="s">
        <v>147</v>
      </c>
      <c r="C63"/>
      <c r="D63" s="14" t="s">
        <v>148</v>
      </c>
      <c r="E63" s="49" t="s">
        <v>13</v>
      </c>
      <c r="F63" s="15">
        <v>714</v>
      </c>
      <c r="G63" s="15">
        <v>4.7699999999999996</v>
      </c>
      <c r="H63" s="16">
        <v>0.13</v>
      </c>
    </row>
    <row r="64" spans="1:8">
      <c r="A64" s="19"/>
      <c r="B64"/>
      <c r="D64" s="49"/>
      <c r="E64" s="14"/>
      <c r="F64" s="15"/>
      <c r="G64" s="15"/>
      <c r="H64" s="61"/>
    </row>
    <row r="65" spans="1:8">
      <c r="A65" s="20"/>
      <c r="B65" s="60" t="s">
        <v>93</v>
      </c>
      <c r="C65" s="60"/>
      <c r="D65" s="20"/>
      <c r="E65" s="12"/>
      <c r="F65" s="12"/>
      <c r="G65" s="21">
        <f>SUM(G9:G64)</f>
        <v>2861.860000000001</v>
      </c>
      <c r="H65" s="54">
        <f>SUM(H9:H64)</f>
        <v>76.849999999999952</v>
      </c>
    </row>
    <row r="66" spans="1:8">
      <c r="A66" s="22"/>
      <c r="B66" s="68" t="s">
        <v>94</v>
      </c>
      <c r="C66" s="68"/>
      <c r="D66" s="68"/>
      <c r="E66" s="23"/>
      <c r="F66" s="24"/>
      <c r="G66" s="24" t="s">
        <v>95</v>
      </c>
      <c r="H66" s="24" t="s">
        <v>95</v>
      </c>
    </row>
    <row r="67" spans="1:8" s="10" customFormat="1" ht="12.75">
      <c r="A67" s="20"/>
      <c r="B67" s="60" t="s">
        <v>93</v>
      </c>
      <c r="C67" s="60"/>
      <c r="D67" s="20"/>
      <c r="E67" s="12"/>
      <c r="F67" s="12"/>
      <c r="G67" s="9">
        <v>0</v>
      </c>
      <c r="H67" s="9">
        <v>0</v>
      </c>
    </row>
    <row r="68" spans="1:8">
      <c r="A68" s="20"/>
      <c r="B68" s="60" t="s">
        <v>96</v>
      </c>
      <c r="C68" s="60"/>
      <c r="D68" s="20"/>
      <c r="E68" s="12"/>
      <c r="F68" s="12"/>
      <c r="G68" s="9">
        <f>+G65</f>
        <v>2861.860000000001</v>
      </c>
      <c r="H68" s="9">
        <f>+H65</f>
        <v>76.849999999999952</v>
      </c>
    </row>
    <row r="69" spans="1:8">
      <c r="A69" s="11"/>
      <c r="B69" s="67" t="s">
        <v>97</v>
      </c>
      <c r="C69" s="67"/>
      <c r="D69" s="67"/>
      <c r="E69" s="12"/>
      <c r="F69" s="12"/>
      <c r="G69" s="12"/>
      <c r="H69" s="12"/>
    </row>
    <row r="70" spans="1:8">
      <c r="A70" s="11"/>
      <c r="B70" s="67" t="s">
        <v>98</v>
      </c>
      <c r="C70" s="67"/>
      <c r="D70" s="67"/>
      <c r="E70" s="12"/>
      <c r="F70" s="12"/>
      <c r="G70" s="24" t="s">
        <v>95</v>
      </c>
      <c r="H70" s="24" t="s">
        <v>95</v>
      </c>
    </row>
    <row r="71" spans="1:8">
      <c r="A71" s="20"/>
      <c r="B71" s="60" t="s">
        <v>93</v>
      </c>
      <c r="C71" s="60"/>
      <c r="D71" s="20"/>
      <c r="E71" s="12"/>
      <c r="F71" s="12"/>
      <c r="G71" s="9">
        <v>0</v>
      </c>
      <c r="H71" s="9">
        <v>0</v>
      </c>
    </row>
    <row r="72" spans="1:8">
      <c r="A72" s="11"/>
      <c r="B72" s="67" t="s">
        <v>99</v>
      </c>
      <c r="C72" s="67"/>
      <c r="D72" s="67"/>
      <c r="E72" s="12"/>
      <c r="F72" s="12"/>
      <c r="G72" s="24" t="s">
        <v>95</v>
      </c>
      <c r="H72" s="24" t="s">
        <v>95</v>
      </c>
    </row>
    <row r="73" spans="1:8">
      <c r="A73" s="20"/>
      <c r="B73" s="60" t="s">
        <v>93</v>
      </c>
      <c r="C73" s="60"/>
      <c r="D73" s="20"/>
      <c r="E73" s="12"/>
      <c r="F73" s="12"/>
      <c r="G73" s="9">
        <v>0</v>
      </c>
      <c r="H73" s="9">
        <v>0</v>
      </c>
    </row>
    <row r="74" spans="1:8">
      <c r="A74" s="22"/>
      <c r="B74" s="68" t="s">
        <v>100</v>
      </c>
      <c r="C74" s="68"/>
      <c r="D74" s="68"/>
      <c r="E74" s="23"/>
      <c r="F74" s="24"/>
      <c r="G74" s="24" t="s">
        <v>95</v>
      </c>
      <c r="H74" s="24" t="s">
        <v>95</v>
      </c>
    </row>
    <row r="75" spans="1:8" s="10" customFormat="1" ht="12.75">
      <c r="A75" s="20"/>
      <c r="B75" s="60" t="s">
        <v>93</v>
      </c>
      <c r="C75" s="60"/>
      <c r="D75" s="20"/>
      <c r="E75" s="12"/>
      <c r="F75" s="12"/>
      <c r="G75" s="9">
        <v>0</v>
      </c>
      <c r="H75" s="9">
        <v>0</v>
      </c>
    </row>
    <row r="76" spans="1:8">
      <c r="A76" s="11"/>
      <c r="B76" s="67" t="s">
        <v>101</v>
      </c>
      <c r="C76" s="67"/>
      <c r="D76" s="67"/>
      <c r="E76" s="12"/>
      <c r="F76" s="12"/>
      <c r="G76" s="12"/>
      <c r="H76" s="12"/>
    </row>
    <row r="77" spans="1:8">
      <c r="A77" s="11"/>
      <c r="B77" s="67" t="s">
        <v>99</v>
      </c>
      <c r="C77" s="67"/>
      <c r="D77" s="67"/>
      <c r="E77" s="12"/>
      <c r="F77" s="12"/>
      <c r="G77" s="24"/>
      <c r="H77" s="24"/>
    </row>
    <row r="78" spans="1:8">
      <c r="A78" s="11"/>
      <c r="B78" t="s">
        <v>102</v>
      </c>
      <c r="C78" s="48">
        <v>9.74</v>
      </c>
      <c r="D78" t="s">
        <v>103</v>
      </c>
      <c r="E78" s="25" t="s">
        <v>104</v>
      </c>
      <c r="F78" s="15">
        <v>2</v>
      </c>
      <c r="G78" s="15">
        <v>21.39</v>
      </c>
      <c r="H78" s="55">
        <v>0.56999999999999995</v>
      </c>
    </row>
    <row r="79" spans="1:8">
      <c r="A79" s="11"/>
      <c r="B79" t="s">
        <v>105</v>
      </c>
      <c r="C79" s="48">
        <v>9.39</v>
      </c>
      <c r="D79" t="s">
        <v>106</v>
      </c>
      <c r="E79" s="25" t="s">
        <v>104</v>
      </c>
      <c r="F79" s="15">
        <v>7</v>
      </c>
      <c r="G79" s="15">
        <v>70</v>
      </c>
      <c r="H79" s="55">
        <v>1.88</v>
      </c>
    </row>
    <row r="80" spans="1:8">
      <c r="A80" s="11"/>
      <c r="B80" t="s">
        <v>195</v>
      </c>
      <c r="C80" s="48">
        <v>9.65</v>
      </c>
      <c r="D80" t="s">
        <v>143</v>
      </c>
      <c r="E80" s="25" t="s">
        <v>104</v>
      </c>
      <c r="F80" s="15">
        <v>5</v>
      </c>
      <c r="G80">
        <v>51.67</v>
      </c>
      <c r="H80" s="55">
        <v>1.39</v>
      </c>
    </row>
    <row r="81" spans="1:8">
      <c r="A81" s="11"/>
      <c r="B81" t="s">
        <v>209</v>
      </c>
      <c r="C81" s="48">
        <v>9.73</v>
      </c>
      <c r="D81" t="s">
        <v>106</v>
      </c>
      <c r="E81" s="25" t="s">
        <v>210</v>
      </c>
      <c r="F81" s="15">
        <v>16</v>
      </c>
      <c r="G81">
        <v>165.53</v>
      </c>
      <c r="H81" s="55">
        <v>4.45</v>
      </c>
    </row>
    <row r="82" spans="1:8">
      <c r="A82" s="11"/>
      <c r="B82" t="s">
        <v>211</v>
      </c>
      <c r="C82" s="17">
        <v>9.6999999999999993</v>
      </c>
      <c r="D82" t="s">
        <v>143</v>
      </c>
      <c r="E82" s="25" t="s">
        <v>104</v>
      </c>
      <c r="F82" s="15">
        <v>43</v>
      </c>
      <c r="G82">
        <v>436.25</v>
      </c>
      <c r="H82" s="55">
        <v>11.71</v>
      </c>
    </row>
    <row r="83" spans="1:8">
      <c r="A83" s="20"/>
      <c r="B83" s="60" t="s">
        <v>93</v>
      </c>
      <c r="C83" s="60"/>
      <c r="D83" s="20"/>
      <c r="E83" s="12"/>
      <c r="F83" s="12"/>
      <c r="G83" s="9">
        <f>SUM(G78:G82)</f>
        <v>744.84</v>
      </c>
      <c r="H83" s="9">
        <f>SUM(H78:H82)</f>
        <v>20</v>
      </c>
    </row>
    <row r="84" spans="1:8">
      <c r="A84" s="22"/>
      <c r="B84" s="68" t="s">
        <v>100</v>
      </c>
      <c r="C84" s="68"/>
      <c r="D84" s="68"/>
      <c r="E84" s="23"/>
      <c r="F84" s="24"/>
      <c r="G84" s="24" t="s">
        <v>95</v>
      </c>
      <c r="H84" s="24" t="s">
        <v>95</v>
      </c>
    </row>
    <row r="85" spans="1:8" s="10" customFormat="1" ht="12.75">
      <c r="A85" s="20"/>
      <c r="B85" s="60" t="s">
        <v>93</v>
      </c>
      <c r="C85" s="60"/>
      <c r="D85" s="20"/>
      <c r="E85" s="12"/>
      <c r="F85" s="12"/>
      <c r="G85" s="9">
        <v>0</v>
      </c>
      <c r="H85" s="9">
        <v>0</v>
      </c>
    </row>
    <row r="86" spans="1:8">
      <c r="A86" s="11"/>
      <c r="B86" s="67" t="s">
        <v>107</v>
      </c>
      <c r="C86" s="67"/>
      <c r="D86" s="67"/>
      <c r="E86" s="12"/>
      <c r="F86" s="12"/>
      <c r="G86" s="12"/>
      <c r="H86" s="12"/>
    </row>
    <row r="87" spans="1:8">
      <c r="A87" s="20"/>
      <c r="B87" s="60" t="s">
        <v>93</v>
      </c>
      <c r="C87" s="60"/>
      <c r="D87" s="20"/>
      <c r="E87" s="12"/>
      <c r="F87" s="12"/>
      <c r="G87" s="9">
        <v>0</v>
      </c>
      <c r="H87" s="9">
        <v>0</v>
      </c>
    </row>
    <row r="88" spans="1:8">
      <c r="A88" s="20"/>
      <c r="B88" s="60" t="s">
        <v>96</v>
      </c>
      <c r="C88" s="60"/>
      <c r="D88" s="20"/>
      <c r="E88" s="12"/>
      <c r="F88" s="12"/>
      <c r="G88" s="9">
        <f>+G83</f>
        <v>744.84</v>
      </c>
      <c r="H88" s="9">
        <f>+H83</f>
        <v>20</v>
      </c>
    </row>
    <row r="89" spans="1:8">
      <c r="A89" s="11"/>
      <c r="B89" s="67" t="s">
        <v>108</v>
      </c>
      <c r="C89" s="67"/>
      <c r="D89" s="67"/>
      <c r="E89" s="12"/>
      <c r="F89" s="12"/>
      <c r="G89" s="12"/>
      <c r="H89" s="12"/>
    </row>
    <row r="90" spans="1:8">
      <c r="A90" s="22"/>
      <c r="B90" s="68" t="s">
        <v>109</v>
      </c>
      <c r="C90" s="68"/>
      <c r="D90" s="68"/>
      <c r="E90" s="23"/>
      <c r="F90" s="24"/>
      <c r="G90" s="24" t="s">
        <v>95</v>
      </c>
      <c r="H90" s="24" t="s">
        <v>95</v>
      </c>
    </row>
    <row r="91" spans="1:8" s="10" customFormat="1" ht="12.75">
      <c r="A91" s="20"/>
      <c r="B91" s="60" t="s">
        <v>93</v>
      </c>
      <c r="C91" s="60"/>
      <c r="D91" s="20"/>
      <c r="E91" s="12"/>
      <c r="F91" s="12"/>
      <c r="G91" s="9">
        <v>0</v>
      </c>
      <c r="H91" s="9">
        <v>0</v>
      </c>
    </row>
    <row r="92" spans="1:8">
      <c r="A92" s="22"/>
      <c r="B92" s="68" t="s">
        <v>110</v>
      </c>
      <c r="C92" s="68"/>
      <c r="D92" s="68"/>
      <c r="E92" s="23"/>
      <c r="F92" s="24"/>
      <c r="G92" s="24"/>
      <c r="H92" s="24"/>
    </row>
    <row r="93" spans="1:8" s="10" customFormat="1">
      <c r="A93" s="22"/>
      <c r="B93"/>
      <c r="D93"/>
      <c r="E93" s="25"/>
      <c r="F93"/>
      <c r="G93" s="15"/>
      <c r="H93" s="55"/>
    </row>
    <row r="94" spans="1:8" s="10" customFormat="1" ht="12.75">
      <c r="A94" s="20"/>
      <c r="B94" s="60" t="s">
        <v>93</v>
      </c>
      <c r="C94" s="60"/>
      <c r="D94" s="20"/>
      <c r="E94" s="12"/>
      <c r="F94" s="12"/>
      <c r="G94" s="9">
        <f>SUM(G93)</f>
        <v>0</v>
      </c>
      <c r="H94" s="21">
        <f>SUM(H93)</f>
        <v>0</v>
      </c>
    </row>
    <row r="95" spans="1:8">
      <c r="A95" s="22"/>
      <c r="B95" s="68" t="s">
        <v>111</v>
      </c>
      <c r="C95" s="68"/>
      <c r="D95" s="68"/>
      <c r="E95" s="23"/>
      <c r="F95" s="24"/>
      <c r="G95" s="24" t="s">
        <v>95</v>
      </c>
      <c r="H95" s="24" t="s">
        <v>95</v>
      </c>
    </row>
    <row r="96" spans="1:8" s="10" customFormat="1" ht="12.75">
      <c r="A96" s="20"/>
      <c r="B96" s="60" t="s">
        <v>93</v>
      </c>
      <c r="C96" s="60"/>
      <c r="D96" s="20"/>
      <c r="E96" s="12"/>
      <c r="F96" s="12"/>
      <c r="G96" s="9">
        <v>0</v>
      </c>
      <c r="H96" s="9">
        <v>0</v>
      </c>
    </row>
    <row r="97" spans="1:8">
      <c r="A97" s="22"/>
      <c r="B97" s="68" t="s">
        <v>112</v>
      </c>
      <c r="C97" s="68"/>
      <c r="D97" s="68"/>
      <c r="E97" s="23"/>
      <c r="F97" s="24"/>
      <c r="G97" s="24" t="s">
        <v>95</v>
      </c>
      <c r="H97" s="24" t="s">
        <v>95</v>
      </c>
    </row>
    <row r="98" spans="1:8" s="10" customFormat="1" ht="12.75">
      <c r="A98" s="20"/>
      <c r="B98" s="60" t="s">
        <v>93</v>
      </c>
      <c r="C98" s="60"/>
      <c r="D98" s="20"/>
      <c r="E98" s="12"/>
      <c r="F98" s="12"/>
      <c r="G98" s="9">
        <v>0</v>
      </c>
      <c r="H98" s="9">
        <v>0</v>
      </c>
    </row>
    <row r="99" spans="1:8">
      <c r="A99" s="20"/>
      <c r="B99" s="60" t="s">
        <v>96</v>
      </c>
      <c r="C99" s="60"/>
      <c r="D99" s="20"/>
      <c r="E99" s="12"/>
      <c r="F99" s="12"/>
      <c r="G99" s="9">
        <f>+G94+G96+G98</f>
        <v>0</v>
      </c>
      <c r="H99" s="9">
        <f>+H94+H96+H98</f>
        <v>0</v>
      </c>
    </row>
    <row r="100" spans="1:8">
      <c r="A100" s="11"/>
      <c r="B100" s="67" t="s">
        <v>113</v>
      </c>
      <c r="C100" s="67"/>
      <c r="D100" s="67"/>
      <c r="E100" s="12"/>
      <c r="F100" s="12"/>
      <c r="G100" s="24"/>
      <c r="H100" s="15"/>
    </row>
    <row r="101" spans="1:8">
      <c r="A101" s="11"/>
      <c r="B101" s="60" t="s">
        <v>114</v>
      </c>
      <c r="C101" s="60"/>
      <c r="D101" s="60"/>
      <c r="E101" s="12"/>
      <c r="F101" s="12"/>
      <c r="G101" s="17">
        <v>117.18</v>
      </c>
      <c r="H101" s="26">
        <v>3.15</v>
      </c>
    </row>
    <row r="102" spans="1:8">
      <c r="A102" s="20"/>
      <c r="B102" s="60" t="s">
        <v>93</v>
      </c>
      <c r="C102" s="60"/>
      <c r="D102" s="20"/>
      <c r="E102" s="12"/>
      <c r="F102" s="12"/>
      <c r="G102" s="24">
        <f>+G101</f>
        <v>117.18</v>
      </c>
      <c r="H102" s="31">
        <f>+H101</f>
        <v>3.15</v>
      </c>
    </row>
    <row r="103" spans="1:8">
      <c r="A103" s="20"/>
      <c r="B103" s="60" t="s">
        <v>96</v>
      </c>
      <c r="C103" s="60"/>
      <c r="D103" s="20"/>
      <c r="E103" s="12"/>
      <c r="F103" s="12"/>
      <c r="G103" s="24">
        <v>0</v>
      </c>
      <c r="H103" s="15">
        <v>0</v>
      </c>
    </row>
    <row r="104" spans="1:8">
      <c r="A104" s="59"/>
      <c r="B104" s="59" t="s">
        <v>115</v>
      </c>
      <c r="C104" s="59"/>
      <c r="D104" s="59"/>
      <c r="E104" s="23"/>
      <c r="F104" s="23"/>
      <c r="G104" s="24">
        <f>+G68+G88+G99+G102</f>
        <v>3723.880000000001</v>
      </c>
      <c r="H104" s="31">
        <f>+H68+H88+H99+H102</f>
        <v>99.999999999999957</v>
      </c>
    </row>
    <row r="105" spans="1:8" s="10" customFormat="1">
      <c r="A105" s="56"/>
      <c r="B105" s="48"/>
      <c r="C105" s="48"/>
      <c r="D105" s="27" t="s">
        <v>116</v>
      </c>
      <c r="E105" s="27"/>
      <c r="F105" s="27"/>
      <c r="G105" s="28"/>
      <c r="H105" s="28"/>
    </row>
    <row r="106" spans="1:8" ht="15.75">
      <c r="A106" s="56"/>
      <c r="D106" s="32" t="s">
        <v>117</v>
      </c>
      <c r="E106" s="32"/>
      <c r="F106" s="32"/>
      <c r="G106" s="50"/>
      <c r="H106" s="53"/>
    </row>
    <row r="107" spans="1:8">
      <c r="A107" s="56"/>
      <c r="D107" s="32"/>
      <c r="E107" s="32"/>
      <c r="F107" s="32"/>
      <c r="G107" s="32"/>
      <c r="H107" s="32"/>
    </row>
    <row r="108" spans="1:8">
      <c r="A108" s="56"/>
      <c r="D108" s="32"/>
      <c r="E108" s="32"/>
      <c r="F108" s="32"/>
      <c r="G108" s="32"/>
      <c r="H108" s="32"/>
    </row>
    <row r="109" spans="1:8">
      <c r="A109" s="65"/>
      <c r="B109" s="69" t="s">
        <v>118</v>
      </c>
      <c r="C109" s="69"/>
      <c r="D109" s="69"/>
      <c r="E109" s="29"/>
      <c r="F109" s="29"/>
      <c r="G109" s="29"/>
      <c r="H109" s="29"/>
    </row>
    <row r="110" spans="1:8">
      <c r="A110" s="65"/>
      <c r="B110" s="64" t="s">
        <v>119</v>
      </c>
      <c r="C110" s="64"/>
      <c r="D110" s="64"/>
      <c r="E110" s="29"/>
      <c r="F110" s="29"/>
      <c r="G110" s="29"/>
      <c r="H110" s="30">
        <v>8.76</v>
      </c>
    </row>
    <row r="111" spans="1:8">
      <c r="A111" s="65"/>
      <c r="B111" s="64" t="s">
        <v>120</v>
      </c>
      <c r="C111" s="64"/>
      <c r="D111" s="64"/>
      <c r="E111" s="29"/>
      <c r="F111" s="29"/>
      <c r="G111" s="29"/>
      <c r="H111" s="30">
        <v>1.74</v>
      </c>
    </row>
    <row r="112" spans="1:8">
      <c r="A112" s="65"/>
      <c r="B112" s="64" t="s">
        <v>121</v>
      </c>
      <c r="C112" s="64"/>
      <c r="D112" s="64"/>
      <c r="E112" s="29"/>
      <c r="F112" s="29"/>
      <c r="G112" s="29"/>
      <c r="H112" s="30">
        <v>19.309999999999999</v>
      </c>
    </row>
    <row r="113" spans="1:8">
      <c r="A113" s="65"/>
      <c r="B113" s="64" t="s">
        <v>122</v>
      </c>
      <c r="C113" s="64"/>
      <c r="D113" s="64"/>
      <c r="E113" s="29"/>
      <c r="F113" s="29"/>
      <c r="G113" s="29"/>
      <c r="H113" s="30">
        <v>1.98</v>
      </c>
    </row>
    <row r="114" spans="1:8">
      <c r="A114" s="65"/>
      <c r="B114" s="64" t="s">
        <v>123</v>
      </c>
      <c r="C114" s="64"/>
      <c r="D114" s="64"/>
      <c r="E114" s="29"/>
      <c r="F114" s="29"/>
      <c r="G114" s="29"/>
      <c r="H114" s="30">
        <v>1.86</v>
      </c>
    </row>
    <row r="115" spans="1:8">
      <c r="A115" s="65"/>
      <c r="B115" s="64" t="s">
        <v>124</v>
      </c>
      <c r="C115" s="64"/>
      <c r="D115" s="64"/>
      <c r="E115" s="29"/>
      <c r="F115" s="29"/>
      <c r="G115" s="29"/>
      <c r="H115" s="30">
        <v>0.52</v>
      </c>
    </row>
    <row r="116" spans="1:8">
      <c r="A116" s="65"/>
      <c r="B116" s="64" t="s">
        <v>125</v>
      </c>
      <c r="C116" s="64"/>
      <c r="D116" s="64"/>
      <c r="E116" s="29"/>
      <c r="F116" s="29"/>
      <c r="G116" s="29"/>
      <c r="H116" s="30">
        <v>4.34</v>
      </c>
    </row>
    <row r="117" spans="1:8">
      <c r="A117" s="65"/>
      <c r="B117" s="64" t="s">
        <v>126</v>
      </c>
      <c r="C117" s="64"/>
      <c r="D117" s="64"/>
      <c r="E117" s="29"/>
      <c r="F117" s="29"/>
      <c r="G117" s="29"/>
      <c r="H117" s="30">
        <v>0.62</v>
      </c>
    </row>
    <row r="118" spans="1:8">
      <c r="A118" s="65"/>
      <c r="B118" s="64" t="s">
        <v>127</v>
      </c>
      <c r="C118" s="64"/>
      <c r="D118" s="64"/>
      <c r="E118" s="29"/>
      <c r="F118" s="29"/>
      <c r="G118" s="29"/>
      <c r="H118" s="30">
        <v>8.26</v>
      </c>
    </row>
    <row r="119" spans="1:8">
      <c r="A119" s="65"/>
      <c r="B119" s="64" t="s">
        <v>128</v>
      </c>
      <c r="C119" s="64"/>
      <c r="D119" s="64"/>
      <c r="E119" s="29"/>
      <c r="F119" s="29"/>
      <c r="G119" s="29"/>
      <c r="H119" s="30">
        <v>0.44</v>
      </c>
    </row>
    <row r="120" spans="1:8">
      <c r="A120" s="65"/>
      <c r="B120" s="64" t="s">
        <v>129</v>
      </c>
      <c r="C120" s="64"/>
      <c r="D120" s="64"/>
      <c r="E120" s="29"/>
      <c r="F120" s="29"/>
      <c r="G120" s="29"/>
      <c r="H120" s="30">
        <v>1.5</v>
      </c>
    </row>
    <row r="121" spans="1:8">
      <c r="A121" s="65"/>
      <c r="B121" s="64" t="s">
        <v>144</v>
      </c>
      <c r="C121" s="64"/>
      <c r="D121" s="64"/>
      <c r="E121" s="29"/>
      <c r="F121" s="29"/>
      <c r="G121" s="29"/>
      <c r="H121" s="30">
        <v>1.87</v>
      </c>
    </row>
    <row r="122" spans="1:8">
      <c r="A122" s="65"/>
      <c r="B122" s="57" t="s">
        <v>130</v>
      </c>
      <c r="C122" s="57"/>
      <c r="D122" s="57"/>
      <c r="E122" s="29"/>
      <c r="F122" s="29"/>
      <c r="G122" s="29"/>
      <c r="H122" s="30">
        <v>1.45</v>
      </c>
    </row>
    <row r="123" spans="1:8">
      <c r="A123" s="65"/>
      <c r="B123" s="64" t="s">
        <v>131</v>
      </c>
      <c r="C123" s="64"/>
      <c r="D123" s="64"/>
      <c r="E123" s="29"/>
      <c r="F123" s="29"/>
      <c r="G123" s="29"/>
      <c r="H123" s="30">
        <v>0.39</v>
      </c>
    </row>
    <row r="124" spans="1:8">
      <c r="A124" s="65"/>
      <c r="B124" s="57" t="s">
        <v>132</v>
      </c>
      <c r="C124" s="57"/>
      <c r="D124" s="57"/>
      <c r="E124" s="29"/>
      <c r="F124" s="29"/>
      <c r="G124" s="29"/>
      <c r="H124" s="30">
        <v>0.69</v>
      </c>
    </row>
    <row r="125" spans="1:8">
      <c r="B125" s="64" t="s">
        <v>133</v>
      </c>
      <c r="C125" s="64"/>
      <c r="D125" s="64"/>
      <c r="E125" s="29"/>
      <c r="F125" s="29"/>
      <c r="G125" s="29"/>
      <c r="H125" s="30">
        <v>2.79</v>
      </c>
    </row>
    <row r="126" spans="1:8">
      <c r="B126" s="64" t="s">
        <v>134</v>
      </c>
      <c r="C126" s="64"/>
      <c r="D126" s="64"/>
      <c r="E126" s="29"/>
      <c r="F126" s="29"/>
      <c r="G126" s="29"/>
      <c r="H126" s="30">
        <v>7.88</v>
      </c>
    </row>
    <row r="127" spans="1:8">
      <c r="B127" s="64" t="s">
        <v>135</v>
      </c>
      <c r="C127" s="64"/>
      <c r="D127" s="64"/>
      <c r="E127" s="29"/>
      <c r="F127" s="29"/>
      <c r="G127" s="29"/>
      <c r="H127" s="30">
        <v>0.72</v>
      </c>
    </row>
    <row r="128" spans="1:8">
      <c r="B128" s="64" t="s">
        <v>136</v>
      </c>
      <c r="C128" s="64"/>
      <c r="D128" s="64"/>
      <c r="E128" s="29"/>
      <c r="F128" s="29"/>
      <c r="G128" s="29"/>
      <c r="H128" s="30">
        <v>11.26</v>
      </c>
    </row>
    <row r="129" spans="2:8">
      <c r="B129" s="57" t="s">
        <v>212</v>
      </c>
      <c r="C129" s="57"/>
      <c r="D129" s="57"/>
      <c r="E129" s="29"/>
      <c r="F129" s="29"/>
      <c r="G129" s="29"/>
      <c r="H129" s="30">
        <v>0.2</v>
      </c>
    </row>
    <row r="130" spans="2:8">
      <c r="B130" s="64" t="s">
        <v>162</v>
      </c>
      <c r="C130" s="64"/>
      <c r="D130" s="64"/>
      <c r="E130" s="29"/>
      <c r="F130" s="29"/>
      <c r="G130" s="29"/>
      <c r="H130" s="30">
        <v>0.27</v>
      </c>
    </row>
    <row r="132" spans="2:8" ht="15.75">
      <c r="D132" s="70" t="s">
        <v>163</v>
      </c>
      <c r="E132" s="70"/>
      <c r="F132" s="70"/>
      <c r="G132" s="70"/>
      <c r="H132" s="70"/>
    </row>
    <row r="133" spans="2:8">
      <c r="D133" s="65" t="s">
        <v>164</v>
      </c>
      <c r="E133" s="65"/>
      <c r="F133" s="65"/>
      <c r="G133" s="65"/>
      <c r="H133" s="65"/>
    </row>
    <row r="134" spans="2:8">
      <c r="D134" s="65" t="s">
        <v>165</v>
      </c>
      <c r="E134" s="65"/>
      <c r="F134" s="65"/>
      <c r="G134" s="65"/>
      <c r="H134" s="65"/>
    </row>
    <row r="135" spans="2:8">
      <c r="D135" s="65" t="s">
        <v>166</v>
      </c>
      <c r="E135" s="65"/>
      <c r="F135" s="65"/>
      <c r="G135" s="65"/>
      <c r="H135" s="65"/>
    </row>
    <row r="136" spans="2:8">
      <c r="D136" s="35" t="s">
        <v>167</v>
      </c>
      <c r="E136" s="51">
        <v>42338</v>
      </c>
      <c r="F136" s="51">
        <v>42308</v>
      </c>
      <c r="G136" s="37"/>
      <c r="H136" s="48"/>
    </row>
    <row r="137" spans="2:8" ht="15.75">
      <c r="D137" s="58" t="s">
        <v>168</v>
      </c>
      <c r="E137" s="44">
        <v>12.811</v>
      </c>
      <c r="F137" s="58">
        <v>13.102499999999999</v>
      </c>
      <c r="G137" s="37"/>
      <c r="H137" s="48"/>
    </row>
    <row r="138" spans="2:8" ht="15.75">
      <c r="D138" s="58" t="s">
        <v>169</v>
      </c>
      <c r="E138" s="44">
        <v>10.2416</v>
      </c>
      <c r="F138" s="58">
        <v>11.6595</v>
      </c>
      <c r="G138" s="37"/>
      <c r="H138" s="48"/>
    </row>
    <row r="139" spans="2:8" ht="15.75">
      <c r="D139" s="58" t="s">
        <v>170</v>
      </c>
      <c r="E139" s="58">
        <v>12.954599999999999</v>
      </c>
      <c r="F139" s="58">
        <v>13.2425</v>
      </c>
      <c r="G139" s="37"/>
      <c r="H139" s="48"/>
    </row>
    <row r="140" spans="2:8" ht="15.75">
      <c r="D140" s="58" t="s">
        <v>171</v>
      </c>
      <c r="E140" s="58">
        <v>10.3408</v>
      </c>
      <c r="F140" s="58">
        <v>11.757099999999999</v>
      </c>
      <c r="G140" s="37"/>
      <c r="H140" s="48"/>
    </row>
    <row r="141" spans="2:8">
      <c r="F141" s="37"/>
      <c r="G141" s="37"/>
      <c r="H141" s="48"/>
    </row>
    <row r="142" spans="2:8">
      <c r="D142" s="38" t="s">
        <v>172</v>
      </c>
      <c r="E142" s="56"/>
      <c r="F142" s="39"/>
      <c r="G142" s="39"/>
      <c r="H142" s="56"/>
    </row>
    <row r="143" spans="2:8" ht="26.25">
      <c r="D143" s="40"/>
      <c r="E143" s="40"/>
      <c r="F143" s="41"/>
      <c r="G143" s="42"/>
      <c r="H143" s="43" t="s">
        <v>173</v>
      </c>
    </row>
    <row r="144" spans="2:8" ht="26.25">
      <c r="D144" s="47" t="s">
        <v>174</v>
      </c>
      <c r="E144" s="47"/>
      <c r="F144" s="47" t="s">
        <v>175</v>
      </c>
      <c r="G144" s="43" t="s">
        <v>176</v>
      </c>
      <c r="H144" s="36" t="s">
        <v>177</v>
      </c>
    </row>
    <row r="145" spans="4:8">
      <c r="D145" s="48" t="s">
        <v>178</v>
      </c>
      <c r="E145" s="48"/>
      <c r="F145" s="45">
        <v>41717</v>
      </c>
      <c r="G145" s="39">
        <v>10.4657</v>
      </c>
      <c r="H145" s="39">
        <v>0.25</v>
      </c>
    </row>
    <row r="146" spans="4:8">
      <c r="D146" s="48" t="s">
        <v>178</v>
      </c>
      <c r="E146" s="48"/>
      <c r="F146" s="46">
        <v>41939</v>
      </c>
      <c r="G146" s="37">
        <v>11.9236</v>
      </c>
      <c r="H146" s="37">
        <v>1.05</v>
      </c>
    </row>
    <row r="147" spans="4:8">
      <c r="D147" s="48" t="s">
        <v>178</v>
      </c>
      <c r="E147" s="48"/>
      <c r="F147" s="46">
        <v>42322</v>
      </c>
      <c r="G147" s="62">
        <v>11.41</v>
      </c>
      <c r="H147" s="37">
        <v>1.1499999999999999</v>
      </c>
    </row>
    <row r="148" spans="4:8">
      <c r="D148" s="48" t="s">
        <v>179</v>
      </c>
      <c r="E148" s="48"/>
      <c r="F148" s="45">
        <v>41717</v>
      </c>
      <c r="G148" s="63">
        <v>10.4529</v>
      </c>
      <c r="H148" s="37">
        <v>0.25</v>
      </c>
    </row>
    <row r="149" spans="4:8">
      <c r="D149" s="48" t="s">
        <v>179</v>
      </c>
      <c r="E149" s="48"/>
      <c r="F149" s="46">
        <v>41939</v>
      </c>
      <c r="G149" s="62">
        <v>11.8794</v>
      </c>
      <c r="H149" s="37">
        <v>1.05</v>
      </c>
    </row>
    <row r="150" spans="4:8">
      <c r="D150" s="48" t="s">
        <v>179</v>
      </c>
      <c r="E150" s="48"/>
      <c r="F150" s="46">
        <v>42322</v>
      </c>
      <c r="G150" s="62">
        <v>11.313000000000001</v>
      </c>
      <c r="H150" s="37">
        <v>1.1499999999999999</v>
      </c>
    </row>
    <row r="151" spans="4:8">
      <c r="E151" s="48"/>
      <c r="F151" s="37"/>
      <c r="G151" s="37"/>
      <c r="H151" s="48"/>
    </row>
    <row r="152" spans="4:8">
      <c r="D152" s="56" t="s">
        <v>213</v>
      </c>
      <c r="E152" s="48"/>
      <c r="F152" s="37"/>
      <c r="G152" s="37"/>
      <c r="H152" s="48"/>
    </row>
    <row r="153" spans="4:8">
      <c r="D153" s="56" t="s">
        <v>214</v>
      </c>
      <c r="E153" s="56"/>
      <c r="F153" s="56"/>
      <c r="G153" s="56"/>
      <c r="H153" s="48"/>
    </row>
    <row r="154" spans="4:8">
      <c r="D154" s="56" t="s">
        <v>181</v>
      </c>
      <c r="E154" s="56"/>
      <c r="F154" s="56"/>
      <c r="G154" s="56"/>
      <c r="H154" s="48"/>
    </row>
    <row r="155" spans="4:8">
      <c r="D155" s="52" t="s">
        <v>215</v>
      </c>
      <c r="E155" s="56"/>
      <c r="F155" s="56"/>
      <c r="G155" s="56"/>
      <c r="H155" s="48"/>
    </row>
    <row r="156" spans="4:8">
      <c r="D156" s="52" t="s">
        <v>216</v>
      </c>
    </row>
    <row r="157" spans="4:8">
      <c r="D157" s="52" t="s">
        <v>217</v>
      </c>
    </row>
    <row r="158" spans="4:8">
      <c r="D158" s="56" t="s">
        <v>182</v>
      </c>
    </row>
  </sheetData>
  <sheetProtection sheet="1" objects="1" scenarios="1" deleteColumns="0" deleteRows="0"/>
  <sortState ref="B9:H67">
    <sortCondition descending="1" ref="H9:H67"/>
  </sortState>
  <mergeCells count="43">
    <mergeCell ref="D133:H133"/>
    <mergeCell ref="D134:H134"/>
    <mergeCell ref="D135:H135"/>
    <mergeCell ref="B95:D95"/>
    <mergeCell ref="B118:D118"/>
    <mergeCell ref="B126:D126"/>
    <mergeCell ref="B117:D117"/>
    <mergeCell ref="B125:D125"/>
    <mergeCell ref="B123:D123"/>
    <mergeCell ref="B109:D109"/>
    <mergeCell ref="B97:D97"/>
    <mergeCell ref="B100:D100"/>
    <mergeCell ref="B120:D120"/>
    <mergeCell ref="D132:H132"/>
    <mergeCell ref="B119:D119"/>
    <mergeCell ref="B121:D121"/>
    <mergeCell ref="B70:D70"/>
    <mergeCell ref="B90:D90"/>
    <mergeCell ref="B86:D86"/>
    <mergeCell ref="B89:D89"/>
    <mergeCell ref="B92:D92"/>
    <mergeCell ref="B72:D72"/>
    <mergeCell ref="B74:D74"/>
    <mergeCell ref="B77:D77"/>
    <mergeCell ref="B84:D84"/>
    <mergeCell ref="B76:D76"/>
    <mergeCell ref="A1:H1"/>
    <mergeCell ref="B6:D6"/>
    <mergeCell ref="B7:D7"/>
    <mergeCell ref="B8:D8"/>
    <mergeCell ref="B69:D69"/>
    <mergeCell ref="B66:D66"/>
    <mergeCell ref="B130:D130"/>
    <mergeCell ref="B110:D110"/>
    <mergeCell ref="B111:D111"/>
    <mergeCell ref="B112:D112"/>
    <mergeCell ref="A109:A124"/>
    <mergeCell ref="B128:D128"/>
    <mergeCell ref="B127:D127"/>
    <mergeCell ref="B113:D113"/>
    <mergeCell ref="B114:D114"/>
    <mergeCell ref="B115:D115"/>
    <mergeCell ref="B116:D116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30.11.2015</vt:lpstr>
      <vt:lpstr>'30.11.2015'!Print_Titles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2015-12-07T08:56:26Z</dcterms:modified>
</cp:coreProperties>
</file>