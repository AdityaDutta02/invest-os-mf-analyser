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10.2014" sheetId="1" r:id="rId1"/>
  </sheets>
  <definedNames>
    <definedName name="_xlnm.Print_Titles" localSheetId="0">'31.10.2014'!$1:$5</definedName>
  </definedNames>
  <calcPr calcId="125725"/>
</workbook>
</file>

<file path=xl/calcChain.xml><?xml version="1.0" encoding="utf-8"?>
<calcChain xmlns="http://schemas.openxmlformats.org/spreadsheetml/2006/main">
  <c r="H102" i="1"/>
  <c r="H103" s="1"/>
  <c r="G102"/>
  <c r="G103" s="1"/>
  <c r="H95"/>
  <c r="H100" s="1"/>
  <c r="G95"/>
  <c r="G100" s="1"/>
  <c r="H84"/>
  <c r="H89" s="1"/>
  <c r="G84"/>
  <c r="G89" s="1"/>
  <c r="H69"/>
  <c r="H72" s="1"/>
  <c r="H105" s="1"/>
  <c r="G69"/>
  <c r="G72" s="1"/>
  <c r="G105" l="1"/>
</calcChain>
</file>

<file path=xl/sharedStrings.xml><?xml version="1.0" encoding="utf-8"?>
<sst xmlns="http://schemas.openxmlformats.org/spreadsheetml/2006/main" count="275" uniqueCount="203">
  <si>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</si>
  <si>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</si>
  <si>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</si>
  <si>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</si>
  <si>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</si>
  <si>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</si>
  <si>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</si>
  <si>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</si>
  <si>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</si>
  <si>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</si>
  <si>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</si>
  <si>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</si>
  <si>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</si>
  <si>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</si>
  <si>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</si>
  <si>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</si>
  <si>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</si>
  <si>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</si>
  <si>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</si>
  <si>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</si>
  <si>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</si>
  <si>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</si>
  <si>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</si>
  <si>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</si>
  <si>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</si>
  <si>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</si>
  <si>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</si>
  <si>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</si>
  <si>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</si>
  <si>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</si>
  <si>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</si>
  <si>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</si>
  <si>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</si>
  <si>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</si>
  <si>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</si>
  <si>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</si>
  <si>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</si>
  <si>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</si>
  <si>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</si>
  <si>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</si>
  <si>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</si>
  <si>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</si>
  <si>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</si>
  <si>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</si>
  <si>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</si>
  <si>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</si>
  <si>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</si>
  <si>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</si>
  <si>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</si>
  <si>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</si>
  <si>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</si>
  <si>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</si>
  <si>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</si>
  <si>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</si>
  <si>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</si>
  <si>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</si>
  <si>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</si>
  <si>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</si>
  <si>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</si>
  <si>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</si>
  <si>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</si>
  <si>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</si>
  <si>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</si>
  <si>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</si>
  <si>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</si>
  <si>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</si>
  <si>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</si>
  <si>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</si>
  <si>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</si>
  <si>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</si>
  <si>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</si>
  <si>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</si>
  <si>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</si>
  <si>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</si>
  <si>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</si>
  <si>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</si>
  <si>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</si>
  <si>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</si>
  <si>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</si>
  <si>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</si>
  <si>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</si>
  <si>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INE028A01013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</si>
  <si>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</si>
  <si>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</si>
  <si>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</si>
  <si>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</si>
  <si>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</si>
  <si>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</si>
  <si>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</si>
  <si>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</si>
  <si>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</si>
  <si>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</si>
  <si>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INE112A01015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</si>
  <si>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</si>
  <si>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</si>
  <si>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</si>
  <si>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</si>
  <si>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</si>
  <si>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</si>
  <si>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</si>
  <si>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</si>
  <si>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</si>
  <si>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</si>
  <si>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</si>
  <si>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</si>
  <si>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</si>
  <si>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</si>
  <si>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</si>
  <si>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</si>
  <si>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</si>
  <si>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</si>
  <si>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</si>
  <si>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</si>
  <si>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</si>
  <si>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INE787D01026</t>
  </si>
  <si>
    <t>BALKRISHNA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</si>
  <si>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</si>
  <si>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</si>
  <si>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</si>
  <si>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</si>
  <si>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</si>
  <si>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</si>
  <si>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</si>
  <si>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</si>
  <si>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</si>
  <si>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</si>
  <si>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</si>
  <si>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</si>
  <si>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</si>
  <si>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</si>
  <si>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</si>
  <si>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</si>
  <si>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</si>
  <si>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</si>
  <si>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</si>
  <si>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</si>
  <si>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</si>
  <si>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</si>
  <si>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</si>
  <si>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</si>
  <si>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</si>
  <si>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</si>
  <si>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</si>
  <si>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</si>
  <si>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</si>
  <si>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</si>
  <si>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</si>
  <si>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</si>
  <si>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</si>
  <si>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</si>
  <si>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</si>
  <si>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</si>
  <si>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</si>
  <si>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</si>
  <si>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</si>
  <si>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</si>
  <si>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</si>
  <si>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</si>
  <si>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</si>
  <si>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</si>
  <si>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</si>
  <si>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</si>
  <si>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</si>
  <si>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</si>
  <si>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</si>
  <si>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</si>
  <si>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</si>
  <si>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</si>
  <si>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</si>
  <si>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</si>
  <si>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</si>
  <si>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</si>
  <si>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</si>
  <si>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</si>
  <si>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</si>
  <si>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</si>
  <si>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</si>
  <si>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</si>
  <si>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</si>
  <si>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</si>
  <si>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</si>
  <si>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</si>
  <si>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</si>
  <si>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</si>
  <si>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</si>
  <si>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</si>
  <si>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</si>
  <si>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</si>
  <si>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</si>
  <si>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</si>
  <si>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</si>
  <si>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</si>
  <si>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</si>
  <si>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</si>
  <si>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</si>
  <si>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</si>
  <si>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</si>
  <si>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</si>
  <si>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</si>
  <si>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</si>
  <si>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Portfolio as on November 30,2014</t>
  </si>
  <si>
    <t>INE168A01041</t>
  </si>
  <si>
    <t>INE406A01037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</si>
</sst>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2" fontId="0" fillId="0" borderId="0" xfId="0" applyNumberFormat="1"/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/>
    <xf numFmtId="0" fontId="4" fillId="0" borderId="0" xfId="0" applyFont="1" applyAlignment="1"/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2" fontId="0" fillId="0" borderId="0" xfId="0" applyNumberFormat="1" applyFill="1" applyAlignment="1"/>
    <xf numFmtId="10" fontId="5" fillId="0" borderId="0" xfId="2" applyNumberFormat="1" applyFont="1" applyAlignment="1">
      <alignment horizontal="right"/>
    </xf>
    <xf numFmtId="10" fontId="4" fillId="0" borderId="0" xfId="2" applyNumberFormat="1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>
      <selection activeCell="J10" sqref="J10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4.85546875" style="1" customWidth="1"/>
    <col min="4" max="4" width="50.710937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9" width="9.28515625" style="1" bestFit="1" customWidth="1"/>
    <col min="10" max="16384" width="9.140625" style="1"/>
  </cols>
  <sheetData>
    <row r="1" spans="1:9" ht="21.75">
      <c r="A1" s="40" t="s">
        <v>0</v>
      </c>
      <c r="B1" s="40"/>
      <c r="C1" s="40"/>
      <c r="D1" s="40"/>
      <c r="E1" s="40"/>
      <c r="F1" s="40"/>
      <c r="G1" s="40"/>
      <c r="H1" s="40"/>
    </row>
    <row r="3" spans="1:9">
      <c r="B3" s="2"/>
      <c r="C3" s="2"/>
      <c r="D3" s="46" t="s">
        <v>200</v>
      </c>
      <c r="E3" s="1"/>
    </row>
    <row r="5" spans="1:9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9" s="11" customFormat="1" ht="12.75">
      <c r="A6" s="9"/>
      <c r="B6" s="41" t="s">
        <v>8</v>
      </c>
      <c r="C6" s="41"/>
      <c r="D6" s="41"/>
      <c r="E6" s="10"/>
      <c r="F6" s="10"/>
      <c r="G6" s="10"/>
      <c r="H6" s="10"/>
    </row>
    <row r="7" spans="1:9">
      <c r="A7" s="12"/>
      <c r="B7" s="41" t="s">
        <v>9</v>
      </c>
      <c r="C7" s="41"/>
      <c r="D7" s="41"/>
      <c r="E7" s="13"/>
      <c r="F7" s="13"/>
      <c r="G7" s="13"/>
      <c r="H7" s="13"/>
    </row>
    <row r="8" spans="1:9">
      <c r="A8" s="12"/>
      <c r="B8" s="41" t="s">
        <v>10</v>
      </c>
      <c r="C8" s="41"/>
      <c r="D8" s="41"/>
      <c r="E8" s="13"/>
      <c r="F8" s="13"/>
      <c r="G8" s="13"/>
      <c r="H8" s="13"/>
    </row>
    <row r="9" spans="1:9">
      <c r="A9" s="14"/>
      <c r="B9" t="s">
        <v>25</v>
      </c>
      <c r="C9"/>
      <c r="D9" s="15" t="s">
        <v>26</v>
      </c>
      <c r="E9" s="15" t="s">
        <v>27</v>
      </c>
      <c r="F9" s="16">
        <v>4129</v>
      </c>
      <c r="G9" s="18">
        <v>148.9</v>
      </c>
      <c r="H9" s="17">
        <v>4.63</v>
      </c>
      <c r="I9" s="32"/>
    </row>
    <row r="10" spans="1:9">
      <c r="A10" s="14"/>
      <c r="B10" t="s">
        <v>20</v>
      </c>
      <c r="C10"/>
      <c r="D10" s="15" t="s">
        <v>21</v>
      </c>
      <c r="E10" s="15" t="s">
        <v>16</v>
      </c>
      <c r="F10" s="16">
        <v>6814</v>
      </c>
      <c r="G10" s="47">
        <v>119.55000000000001</v>
      </c>
      <c r="H10" s="17">
        <v>3.72</v>
      </c>
      <c r="I10" s="32"/>
    </row>
    <row r="11" spans="1:9">
      <c r="A11" s="14"/>
      <c r="B11" t="s">
        <v>11</v>
      </c>
      <c r="C11"/>
      <c r="D11" s="15" t="s">
        <v>12</v>
      </c>
      <c r="E11" s="15" t="s">
        <v>13</v>
      </c>
      <c r="F11" s="16">
        <v>4420</v>
      </c>
      <c r="G11" s="18">
        <v>116.82</v>
      </c>
      <c r="H11" s="17">
        <v>3.63</v>
      </c>
      <c r="I11" s="32"/>
    </row>
    <row r="12" spans="1:9">
      <c r="A12" s="14"/>
      <c r="B12" t="s">
        <v>17</v>
      </c>
      <c r="C12"/>
      <c r="D12" s="15" t="s">
        <v>18</v>
      </c>
      <c r="E12" s="15" t="s">
        <v>19</v>
      </c>
      <c r="F12" s="16">
        <v>9265</v>
      </c>
      <c r="G12" s="18">
        <v>107.53</v>
      </c>
      <c r="H12" s="17">
        <v>3.34</v>
      </c>
      <c r="I12" s="32"/>
    </row>
    <row r="13" spans="1:9">
      <c r="A13" s="14"/>
      <c r="B13" t="s">
        <v>14</v>
      </c>
      <c r="C13"/>
      <c r="D13" s="15" t="s">
        <v>15</v>
      </c>
      <c r="E13" s="15" t="s">
        <v>16</v>
      </c>
      <c r="F13" s="16">
        <v>10575</v>
      </c>
      <c r="G13" s="18">
        <v>101.22</v>
      </c>
      <c r="H13" s="17">
        <v>3.14</v>
      </c>
      <c r="I13" s="32"/>
    </row>
    <row r="14" spans="1:9">
      <c r="A14" s="14"/>
      <c r="B14" t="s">
        <v>181</v>
      </c>
      <c r="C14"/>
      <c r="D14" s="15" t="s">
        <v>32</v>
      </c>
      <c r="E14" s="15" t="s">
        <v>16</v>
      </c>
      <c r="F14" s="16">
        <v>21013</v>
      </c>
      <c r="G14" s="18">
        <v>101.11</v>
      </c>
      <c r="H14" s="17">
        <v>3.14</v>
      </c>
      <c r="I14" s="32"/>
    </row>
    <row r="15" spans="1:9">
      <c r="A15" s="14"/>
      <c r="B15" t="s">
        <v>30</v>
      </c>
      <c r="C15"/>
      <c r="D15" s="15" t="s">
        <v>31</v>
      </c>
      <c r="E15" s="15" t="s">
        <v>13</v>
      </c>
      <c r="F15" s="16">
        <v>6016</v>
      </c>
      <c r="G15" s="18">
        <v>100.01</v>
      </c>
      <c r="H15" s="17">
        <v>3.11</v>
      </c>
      <c r="I15" s="32"/>
    </row>
    <row r="16" spans="1:9">
      <c r="A16" s="14"/>
      <c r="B16" t="s">
        <v>65</v>
      </c>
      <c r="C16"/>
      <c r="D16" s="15" t="s">
        <v>66</v>
      </c>
      <c r="E16" s="15" t="s">
        <v>13</v>
      </c>
      <c r="F16" s="16">
        <v>2268</v>
      </c>
      <c r="G16" s="18">
        <v>98.88</v>
      </c>
      <c r="H16" s="17">
        <v>3.07</v>
      </c>
      <c r="I16" s="32"/>
    </row>
    <row r="17" spans="1:9">
      <c r="A17" s="14"/>
      <c r="B17" t="s">
        <v>197</v>
      </c>
      <c r="C17"/>
      <c r="D17" s="15" t="s">
        <v>57</v>
      </c>
      <c r="E17" s="15" t="s">
        <v>16</v>
      </c>
      <c r="F17" s="16">
        <v>25210</v>
      </c>
      <c r="G17" s="18">
        <v>81.03</v>
      </c>
      <c r="H17" s="17">
        <v>2.52</v>
      </c>
      <c r="I17" s="32"/>
    </row>
    <row r="18" spans="1:9">
      <c r="A18" s="19"/>
      <c r="B18" t="s">
        <v>36</v>
      </c>
      <c r="C18"/>
      <c r="D18" s="15" t="s">
        <v>37</v>
      </c>
      <c r="E18" s="15" t="s">
        <v>38</v>
      </c>
      <c r="F18" s="16">
        <v>7464</v>
      </c>
      <c r="G18" s="18">
        <v>74.010000000000005</v>
      </c>
      <c r="H18" s="17">
        <v>2.2999999999999998</v>
      </c>
      <c r="I18" s="32"/>
    </row>
    <row r="19" spans="1:9">
      <c r="A19" s="20"/>
      <c r="B19" t="s">
        <v>54</v>
      </c>
      <c r="C19"/>
      <c r="D19" s="15" t="s">
        <v>55</v>
      </c>
      <c r="E19" s="15" t="s">
        <v>56</v>
      </c>
      <c r="F19" s="16">
        <v>46214</v>
      </c>
      <c r="G19" s="18">
        <v>73.34</v>
      </c>
      <c r="H19" s="17">
        <v>2.2799999999999998</v>
      </c>
      <c r="I19" s="32"/>
    </row>
    <row r="20" spans="1:9">
      <c r="A20" s="14"/>
      <c r="B20" t="s">
        <v>83</v>
      </c>
      <c r="C20"/>
      <c r="D20" s="15" t="s">
        <v>84</v>
      </c>
      <c r="E20" s="15" t="s">
        <v>16</v>
      </c>
      <c r="F20" s="16">
        <v>47392</v>
      </c>
      <c r="G20" s="18">
        <v>71.94</v>
      </c>
      <c r="H20" s="17">
        <v>2.2400000000000002</v>
      </c>
      <c r="I20" s="32"/>
    </row>
    <row r="21" spans="1:9">
      <c r="A21" s="20"/>
      <c r="B21" t="s">
        <v>110</v>
      </c>
      <c r="C21"/>
      <c r="D21" s="15" t="s">
        <v>111</v>
      </c>
      <c r="E21" s="15" t="s">
        <v>19</v>
      </c>
      <c r="F21" s="16">
        <v>16448</v>
      </c>
      <c r="G21" s="18">
        <v>69.48</v>
      </c>
      <c r="H21" s="17">
        <v>2.16</v>
      </c>
      <c r="I21" s="32"/>
    </row>
    <row r="22" spans="1:9">
      <c r="A22" s="20"/>
      <c r="B22" t="s">
        <v>81</v>
      </c>
      <c r="C22"/>
      <c r="D22" s="15" t="s">
        <v>82</v>
      </c>
      <c r="E22" s="15" t="s">
        <v>16</v>
      </c>
      <c r="F22" s="16">
        <v>6265</v>
      </c>
      <c r="G22" s="18">
        <v>68.11</v>
      </c>
      <c r="H22" s="17">
        <v>2.12</v>
      </c>
      <c r="I22" s="32"/>
    </row>
    <row r="23" spans="1:9">
      <c r="A23" s="20"/>
      <c r="B23" t="s">
        <v>58</v>
      </c>
      <c r="C23"/>
      <c r="D23" s="15" t="s">
        <v>59</v>
      </c>
      <c r="E23" s="15" t="s">
        <v>60</v>
      </c>
      <c r="F23" s="16">
        <v>13220</v>
      </c>
      <c r="G23" s="18">
        <v>62.58</v>
      </c>
      <c r="H23" s="17">
        <v>1.94</v>
      </c>
      <c r="I23" s="32"/>
    </row>
    <row r="24" spans="1:9">
      <c r="A24" s="20"/>
      <c r="B24" t="s">
        <v>118</v>
      </c>
      <c r="D24" s="15" t="s">
        <v>119</v>
      </c>
      <c r="E24" s="15" t="s">
        <v>19</v>
      </c>
      <c r="F24" s="16">
        <v>36593</v>
      </c>
      <c r="G24" s="18">
        <v>58.33</v>
      </c>
      <c r="H24" s="17">
        <v>1.81</v>
      </c>
      <c r="I24" s="32"/>
    </row>
    <row r="25" spans="1:9">
      <c r="A25" s="20"/>
      <c r="B25" t="s">
        <v>22</v>
      </c>
      <c r="C25"/>
      <c r="D25" s="15" t="s">
        <v>23</v>
      </c>
      <c r="E25" s="15" t="s">
        <v>24</v>
      </c>
      <c r="F25" s="16">
        <v>3366</v>
      </c>
      <c r="G25" s="18">
        <v>55.18</v>
      </c>
      <c r="H25" s="17">
        <v>1.71</v>
      </c>
      <c r="I25" s="32"/>
    </row>
    <row r="26" spans="1:9">
      <c r="A26" s="20"/>
      <c r="B26" t="s">
        <v>71</v>
      </c>
      <c r="C26"/>
      <c r="D26" s="15" t="s">
        <v>72</v>
      </c>
      <c r="E26" s="15" t="s">
        <v>41</v>
      </c>
      <c r="F26" s="16">
        <v>32572</v>
      </c>
      <c r="G26" s="18">
        <v>52.54</v>
      </c>
      <c r="H26" s="17">
        <v>1.63</v>
      </c>
      <c r="I26" s="32"/>
    </row>
    <row r="27" spans="1:9">
      <c r="A27" s="20"/>
      <c r="B27" t="s">
        <v>39</v>
      </c>
      <c r="C27"/>
      <c r="D27" s="15" t="s">
        <v>40</v>
      </c>
      <c r="E27" s="15" t="s">
        <v>41</v>
      </c>
      <c r="F27" s="16">
        <v>14296</v>
      </c>
      <c r="G27" s="18">
        <v>51.92</v>
      </c>
      <c r="H27" s="17">
        <v>1.61</v>
      </c>
      <c r="I27" s="32"/>
    </row>
    <row r="28" spans="1:9">
      <c r="A28" s="20"/>
      <c r="B28" t="s">
        <v>28</v>
      </c>
      <c r="C28"/>
      <c r="D28" s="15" t="s">
        <v>29</v>
      </c>
      <c r="E28" s="15" t="s">
        <v>13</v>
      </c>
      <c r="F28" s="16">
        <v>1848</v>
      </c>
      <c r="G28" s="18">
        <v>48.79</v>
      </c>
      <c r="H28" s="17">
        <v>1.52</v>
      </c>
      <c r="I28" s="32"/>
    </row>
    <row r="29" spans="1:9">
      <c r="A29" s="20"/>
      <c r="B29" t="s">
        <v>108</v>
      </c>
      <c r="D29" s="15" t="s">
        <v>109</v>
      </c>
      <c r="E29" s="15" t="s">
        <v>16</v>
      </c>
      <c r="F29" s="16">
        <v>6475</v>
      </c>
      <c r="G29" s="18">
        <v>48.59</v>
      </c>
      <c r="H29" s="17">
        <v>1.51</v>
      </c>
      <c r="I29" s="32"/>
    </row>
    <row r="30" spans="1:9">
      <c r="A30" s="20"/>
      <c r="B30" t="s">
        <v>106</v>
      </c>
      <c r="C30"/>
      <c r="D30" s="15" t="s">
        <v>107</v>
      </c>
      <c r="E30" s="15" t="s">
        <v>16</v>
      </c>
      <c r="F30" s="16">
        <v>5418</v>
      </c>
      <c r="G30" s="18">
        <v>44.35</v>
      </c>
      <c r="H30" s="17">
        <v>1.38</v>
      </c>
      <c r="I30" s="32"/>
    </row>
    <row r="31" spans="1:9">
      <c r="A31" s="20"/>
      <c r="B31" t="s">
        <v>75</v>
      </c>
      <c r="C31"/>
      <c r="D31" s="15" t="s">
        <v>76</v>
      </c>
      <c r="E31" s="15" t="s">
        <v>77</v>
      </c>
      <c r="F31" s="16">
        <v>3717</v>
      </c>
      <c r="G31" s="18">
        <v>43.34</v>
      </c>
      <c r="H31" s="17">
        <v>1.35</v>
      </c>
      <c r="I31" s="32"/>
    </row>
    <row r="32" spans="1:9">
      <c r="A32" s="20"/>
      <c r="B32" t="s">
        <v>48</v>
      </c>
      <c r="C32"/>
      <c r="D32" s="15" t="s">
        <v>49</v>
      </c>
      <c r="E32" s="15" t="s">
        <v>38</v>
      </c>
      <c r="F32" s="16">
        <v>5532</v>
      </c>
      <c r="G32" s="18">
        <v>41.28</v>
      </c>
      <c r="H32" s="17">
        <v>1.28</v>
      </c>
      <c r="I32" s="32"/>
    </row>
    <row r="33" spans="1:9">
      <c r="A33" s="20"/>
      <c r="B33" t="s">
        <v>100</v>
      </c>
      <c r="C33"/>
      <c r="D33" s="15" t="s">
        <v>101</v>
      </c>
      <c r="E33" s="15" t="s">
        <v>44</v>
      </c>
      <c r="F33" s="16">
        <v>6526</v>
      </c>
      <c r="G33" s="18">
        <v>38.64</v>
      </c>
      <c r="H33" s="17">
        <v>1.2</v>
      </c>
      <c r="I33" s="32"/>
    </row>
    <row r="34" spans="1:9">
      <c r="A34" s="20"/>
      <c r="B34" t="s">
        <v>33</v>
      </c>
      <c r="C34"/>
      <c r="D34" s="15" t="s">
        <v>34</v>
      </c>
      <c r="E34" s="15" t="s">
        <v>35</v>
      </c>
      <c r="F34" s="16">
        <v>1037</v>
      </c>
      <c r="G34" s="18">
        <v>34.700000000000003</v>
      </c>
      <c r="H34" s="17">
        <v>1.08</v>
      </c>
      <c r="I34" s="32"/>
    </row>
    <row r="35" spans="1:9">
      <c r="A35" s="20"/>
      <c r="B35" t="s">
        <v>112</v>
      </c>
      <c r="C35"/>
      <c r="D35" s="15" t="s">
        <v>113</v>
      </c>
      <c r="E35" s="15" t="s">
        <v>41</v>
      </c>
      <c r="F35" s="16">
        <v>2048</v>
      </c>
      <c r="G35" s="18">
        <v>33.75</v>
      </c>
      <c r="H35" s="17">
        <v>1.05</v>
      </c>
      <c r="I35" s="32"/>
    </row>
    <row r="36" spans="1:9">
      <c r="A36" s="20"/>
      <c r="B36" t="s">
        <v>202</v>
      </c>
      <c r="D36" s="15" t="s">
        <v>122</v>
      </c>
      <c r="E36" s="15" t="s">
        <v>27</v>
      </c>
      <c r="F36" s="16">
        <v>3053</v>
      </c>
      <c r="G36" s="18">
        <v>33.299999999999997</v>
      </c>
      <c r="H36" s="17">
        <v>1.04</v>
      </c>
      <c r="I36" s="32"/>
    </row>
    <row r="37" spans="1:9">
      <c r="A37" s="20"/>
      <c r="B37" t="s">
        <v>182</v>
      </c>
      <c r="C37"/>
      <c r="D37" s="15" t="s">
        <v>183</v>
      </c>
      <c r="E37" s="15" t="s">
        <v>80</v>
      </c>
      <c r="F37" s="16">
        <v>13472</v>
      </c>
      <c r="G37" s="18">
        <v>30.77</v>
      </c>
      <c r="H37" s="17">
        <v>0.96</v>
      </c>
      <c r="I37" s="32"/>
    </row>
    <row r="38" spans="1:9">
      <c r="A38" s="20"/>
      <c r="B38" t="s">
        <v>85</v>
      </c>
      <c r="C38"/>
      <c r="D38" s="15" t="s">
        <v>86</v>
      </c>
      <c r="E38" s="15" t="s">
        <v>16</v>
      </c>
      <c r="F38" s="16">
        <v>9868</v>
      </c>
      <c r="G38" s="18">
        <v>28.5</v>
      </c>
      <c r="H38" s="17">
        <v>0.88</v>
      </c>
      <c r="I38" s="32"/>
    </row>
    <row r="39" spans="1:9">
      <c r="A39" s="20"/>
      <c r="B39" t="s">
        <v>78</v>
      </c>
      <c r="C39"/>
      <c r="D39" s="15" t="s">
        <v>79</v>
      </c>
      <c r="E39" s="15" t="s">
        <v>80</v>
      </c>
      <c r="F39" s="16">
        <v>3797</v>
      </c>
      <c r="G39" s="18">
        <v>28.38</v>
      </c>
      <c r="H39" s="17">
        <v>0.88</v>
      </c>
      <c r="I39" s="32"/>
    </row>
    <row r="40" spans="1:9">
      <c r="A40" s="20"/>
      <c r="B40" t="s">
        <v>52</v>
      </c>
      <c r="C40"/>
      <c r="D40" s="15" t="s">
        <v>53</v>
      </c>
      <c r="E40" s="15" t="s">
        <v>27</v>
      </c>
      <c r="F40" s="16">
        <v>3209</v>
      </c>
      <c r="G40" s="18">
        <v>26.95</v>
      </c>
      <c r="H40" s="17">
        <v>0.84</v>
      </c>
      <c r="I40" s="32"/>
    </row>
    <row r="41" spans="1:9">
      <c r="A41" s="20"/>
      <c r="B41" t="s">
        <v>104</v>
      </c>
      <c r="C41"/>
      <c r="D41" s="15" t="s">
        <v>105</v>
      </c>
      <c r="E41" s="15" t="s">
        <v>27</v>
      </c>
      <c r="F41" s="16">
        <v>3905</v>
      </c>
      <c r="G41" s="18">
        <v>26.72</v>
      </c>
      <c r="H41" s="17">
        <v>0.83</v>
      </c>
      <c r="I41" s="32"/>
    </row>
    <row r="42" spans="1:9">
      <c r="A42" s="20"/>
      <c r="B42" t="s">
        <v>50</v>
      </c>
      <c r="C42"/>
      <c r="D42" s="15" t="s">
        <v>51</v>
      </c>
      <c r="E42" s="15" t="s">
        <v>35</v>
      </c>
      <c r="F42" s="16">
        <v>2010</v>
      </c>
      <c r="G42" s="18">
        <v>26.61</v>
      </c>
      <c r="H42" s="17">
        <v>0.83</v>
      </c>
      <c r="I42" s="32"/>
    </row>
    <row r="43" spans="1:9">
      <c r="A43" s="20"/>
      <c r="B43" t="s">
        <v>69</v>
      </c>
      <c r="C43"/>
      <c r="D43" s="15" t="s">
        <v>70</v>
      </c>
      <c r="E43" s="15" t="s">
        <v>35</v>
      </c>
      <c r="F43" s="16">
        <v>181</v>
      </c>
      <c r="G43" s="18">
        <v>26.28</v>
      </c>
      <c r="H43" s="17">
        <v>0.82</v>
      </c>
      <c r="I43" s="32"/>
    </row>
    <row r="44" spans="1:9">
      <c r="A44" s="20"/>
      <c r="B44" t="s">
        <v>42</v>
      </c>
      <c r="C44"/>
      <c r="D44" s="15" t="s">
        <v>43</v>
      </c>
      <c r="E44" s="15" t="s">
        <v>44</v>
      </c>
      <c r="F44" s="16">
        <v>6876</v>
      </c>
      <c r="G44" s="18">
        <v>26.09</v>
      </c>
      <c r="H44" s="17">
        <v>0.81</v>
      </c>
      <c r="I44" s="32"/>
    </row>
    <row r="45" spans="1:9">
      <c r="A45" s="20"/>
      <c r="B45" t="s">
        <v>45</v>
      </c>
      <c r="C45"/>
      <c r="D45" s="15" t="s">
        <v>46</v>
      </c>
      <c r="E45" s="15" t="s">
        <v>47</v>
      </c>
      <c r="F45" s="16">
        <v>1030</v>
      </c>
      <c r="G45" s="18">
        <v>25.59</v>
      </c>
      <c r="H45" s="17">
        <v>0.8</v>
      </c>
      <c r="I45" s="32"/>
    </row>
    <row r="46" spans="1:9">
      <c r="A46" s="20"/>
      <c r="B46" t="s">
        <v>67</v>
      </c>
      <c r="C46"/>
      <c r="D46" s="15" t="s">
        <v>68</v>
      </c>
      <c r="E46" s="15" t="s">
        <v>41</v>
      </c>
      <c r="F46" s="16">
        <v>3359</v>
      </c>
      <c r="G46" s="18">
        <v>25.01</v>
      </c>
      <c r="H46" s="17">
        <v>0.78</v>
      </c>
      <c r="I46" s="32"/>
    </row>
    <row r="47" spans="1:9">
      <c r="A47" s="20"/>
      <c r="B47" t="s">
        <v>87</v>
      </c>
      <c r="C47"/>
      <c r="D47" s="15" t="s">
        <v>88</v>
      </c>
      <c r="E47" s="15" t="s">
        <v>89</v>
      </c>
      <c r="F47" s="16">
        <v>17129</v>
      </c>
      <c r="G47" s="18">
        <v>24.44</v>
      </c>
      <c r="H47" s="17">
        <v>0.76</v>
      </c>
      <c r="I47" s="32"/>
    </row>
    <row r="48" spans="1:9">
      <c r="A48" s="20"/>
      <c r="B48" t="s">
        <v>94</v>
      </c>
      <c r="C48"/>
      <c r="D48" s="15" t="s">
        <v>95</v>
      </c>
      <c r="E48" s="15" t="s">
        <v>96</v>
      </c>
      <c r="F48" s="16">
        <v>1945</v>
      </c>
      <c r="G48" s="18">
        <v>24.33</v>
      </c>
      <c r="H48" s="17">
        <v>0.76</v>
      </c>
      <c r="I48" s="32"/>
    </row>
    <row r="49" spans="1:9">
      <c r="A49" s="20"/>
      <c r="B49" t="s">
        <v>61</v>
      </c>
      <c r="C49"/>
      <c r="D49" s="15" t="s">
        <v>62</v>
      </c>
      <c r="E49" s="15" t="s">
        <v>27</v>
      </c>
      <c r="F49" s="16">
        <v>1629</v>
      </c>
      <c r="G49" s="18">
        <v>24.12</v>
      </c>
      <c r="H49" s="17">
        <v>0.75</v>
      </c>
      <c r="I49" s="32"/>
    </row>
    <row r="50" spans="1:9">
      <c r="A50" s="20"/>
      <c r="B50" t="s">
        <v>198</v>
      </c>
      <c r="D50" s="15" t="s">
        <v>199</v>
      </c>
      <c r="E50" s="15" t="s">
        <v>35</v>
      </c>
      <c r="F50" s="16">
        <v>4358</v>
      </c>
      <c r="G50" s="18">
        <v>23.25</v>
      </c>
      <c r="H50" s="17">
        <v>0.72</v>
      </c>
      <c r="I50" s="32"/>
    </row>
    <row r="51" spans="1:9">
      <c r="A51" s="20"/>
      <c r="B51" t="s">
        <v>102</v>
      </c>
      <c r="C51"/>
      <c r="D51" s="15" t="s">
        <v>103</v>
      </c>
      <c r="E51" s="15" t="s">
        <v>16</v>
      </c>
      <c r="F51" s="16">
        <v>7550</v>
      </c>
      <c r="G51" s="18">
        <v>23.05</v>
      </c>
      <c r="H51" s="17">
        <v>0.72</v>
      </c>
      <c r="I51" s="32"/>
    </row>
    <row r="52" spans="1:9">
      <c r="A52" s="20"/>
      <c r="B52" t="s">
        <v>184</v>
      </c>
      <c r="D52" s="15" t="s">
        <v>185</v>
      </c>
      <c r="E52" s="15" t="s">
        <v>186</v>
      </c>
      <c r="F52" s="16">
        <v>987</v>
      </c>
      <c r="G52" s="18">
        <v>22.91</v>
      </c>
      <c r="H52" s="17">
        <v>0.71</v>
      </c>
      <c r="I52" s="32"/>
    </row>
    <row r="53" spans="1:9">
      <c r="A53" s="20"/>
      <c r="B53" t="s">
        <v>73</v>
      </c>
      <c r="C53"/>
      <c r="D53" s="15" t="s">
        <v>74</v>
      </c>
      <c r="E53" s="15" t="s">
        <v>47</v>
      </c>
      <c r="F53" s="16">
        <v>252</v>
      </c>
      <c r="G53" s="18">
        <v>22.62</v>
      </c>
      <c r="H53" s="17">
        <v>0.7</v>
      </c>
      <c r="I53" s="32"/>
    </row>
    <row r="54" spans="1:9">
      <c r="A54" s="20"/>
      <c r="B54" t="s">
        <v>97</v>
      </c>
      <c r="D54" s="15" t="s">
        <v>98</v>
      </c>
      <c r="E54" s="15" t="s">
        <v>99</v>
      </c>
      <c r="F54" s="16">
        <v>4481</v>
      </c>
      <c r="G54" s="18">
        <v>21.88</v>
      </c>
      <c r="H54" s="17">
        <v>0.68</v>
      </c>
      <c r="I54" s="32"/>
    </row>
    <row r="55" spans="1:9">
      <c r="A55" s="20"/>
      <c r="B55" t="s">
        <v>92</v>
      </c>
      <c r="C55"/>
      <c r="D55" s="15" t="s">
        <v>93</v>
      </c>
      <c r="E55" s="15" t="s">
        <v>16</v>
      </c>
      <c r="F55" s="16">
        <v>6624</v>
      </c>
      <c r="G55" s="18">
        <v>21.64</v>
      </c>
      <c r="H55" s="17">
        <v>0.67</v>
      </c>
      <c r="I55" s="32"/>
    </row>
    <row r="56" spans="1:9">
      <c r="A56" s="20"/>
      <c r="B56" t="s">
        <v>126</v>
      </c>
      <c r="D56" s="15" t="s">
        <v>127</v>
      </c>
      <c r="E56" s="15" t="s">
        <v>128</v>
      </c>
      <c r="F56" s="16">
        <v>2206</v>
      </c>
      <c r="G56" s="18">
        <v>21.29</v>
      </c>
      <c r="H56" s="17">
        <v>0.66</v>
      </c>
      <c r="I56" s="32"/>
    </row>
    <row r="57" spans="1:9">
      <c r="A57" s="20"/>
      <c r="B57" t="s">
        <v>116</v>
      </c>
      <c r="D57" s="15" t="s">
        <v>117</v>
      </c>
      <c r="E57" s="15" t="s">
        <v>16</v>
      </c>
      <c r="F57" s="16">
        <v>1631</v>
      </c>
      <c r="G57" s="18">
        <v>19.61</v>
      </c>
      <c r="H57" s="17">
        <v>0.61</v>
      </c>
      <c r="I57" s="32"/>
    </row>
    <row r="58" spans="1:9">
      <c r="A58" s="20"/>
      <c r="B58" t="s">
        <v>63</v>
      </c>
      <c r="C58"/>
      <c r="D58" s="15" t="s">
        <v>64</v>
      </c>
      <c r="E58" s="15" t="s">
        <v>35</v>
      </c>
      <c r="F58" s="16">
        <v>692</v>
      </c>
      <c r="G58" s="18">
        <v>18.27</v>
      </c>
      <c r="H58" s="17">
        <v>0.56999999999999995</v>
      </c>
      <c r="I58" s="32"/>
    </row>
    <row r="59" spans="1:9">
      <c r="A59" s="20"/>
      <c r="B59" t="s">
        <v>132</v>
      </c>
      <c r="D59" s="15" t="s">
        <v>133</v>
      </c>
      <c r="E59" s="15" t="s">
        <v>186</v>
      </c>
      <c r="F59" s="16">
        <v>1502</v>
      </c>
      <c r="G59" s="18">
        <v>18.16</v>
      </c>
      <c r="H59" s="17">
        <v>0.56000000000000005</v>
      </c>
      <c r="I59" s="32"/>
    </row>
    <row r="60" spans="1:9">
      <c r="A60" s="20"/>
      <c r="B60" t="s">
        <v>120</v>
      </c>
      <c r="D60" s="15" t="s">
        <v>121</v>
      </c>
      <c r="E60" s="15" t="s">
        <v>27</v>
      </c>
      <c r="F60" s="16">
        <v>1112</v>
      </c>
      <c r="G60" s="18">
        <v>15.16</v>
      </c>
      <c r="H60" s="17">
        <v>0.47</v>
      </c>
      <c r="I60" s="32"/>
    </row>
    <row r="61" spans="1:9">
      <c r="A61" s="20"/>
      <c r="B61" t="s">
        <v>90</v>
      </c>
      <c r="D61" s="15" t="s">
        <v>91</v>
      </c>
      <c r="E61" s="15" t="s">
        <v>89</v>
      </c>
      <c r="F61" s="16">
        <v>10290</v>
      </c>
      <c r="G61" s="18">
        <v>14.68</v>
      </c>
      <c r="H61" s="17">
        <v>0.46</v>
      </c>
      <c r="I61" s="32"/>
    </row>
    <row r="62" spans="1:9">
      <c r="A62" s="20"/>
      <c r="B62" t="s">
        <v>123</v>
      </c>
      <c r="D62" s="15" t="s">
        <v>124</v>
      </c>
      <c r="E62" s="15" t="s">
        <v>125</v>
      </c>
      <c r="F62" s="16">
        <v>3841</v>
      </c>
      <c r="G62" s="18">
        <v>13.28</v>
      </c>
      <c r="H62" s="17">
        <v>0.41</v>
      </c>
      <c r="I62" s="32"/>
    </row>
    <row r="63" spans="1:9">
      <c r="A63" s="20"/>
      <c r="B63" t="s">
        <v>191</v>
      </c>
      <c r="D63" s="15" t="s">
        <v>192</v>
      </c>
      <c r="E63" s="15" t="s">
        <v>13</v>
      </c>
      <c r="F63" s="16">
        <v>485</v>
      </c>
      <c r="G63" s="18">
        <v>5.82</v>
      </c>
      <c r="H63" s="17">
        <v>0.18</v>
      </c>
      <c r="I63" s="32"/>
    </row>
    <row r="64" spans="1:9">
      <c r="A64" s="20"/>
      <c r="B64" t="s">
        <v>193</v>
      </c>
      <c r="D64" s="15" t="s">
        <v>194</v>
      </c>
      <c r="E64" s="15" t="s">
        <v>13</v>
      </c>
      <c r="F64" s="16">
        <v>357</v>
      </c>
      <c r="G64" s="18">
        <v>5.43</v>
      </c>
      <c r="H64" s="17">
        <v>0.17</v>
      </c>
      <c r="I64" s="32"/>
    </row>
    <row r="65" spans="1:9">
      <c r="A65" s="20"/>
      <c r="B65" t="s">
        <v>129</v>
      </c>
      <c r="D65" s="15" t="s">
        <v>130</v>
      </c>
      <c r="E65" s="15" t="s">
        <v>131</v>
      </c>
      <c r="F65" s="16">
        <v>2958</v>
      </c>
      <c r="G65" s="18">
        <v>4.01</v>
      </c>
      <c r="H65" s="17">
        <v>0.12</v>
      </c>
      <c r="I65" s="32"/>
    </row>
    <row r="66" spans="1:9">
      <c r="A66" s="20"/>
      <c r="B66" t="s">
        <v>114</v>
      </c>
      <c r="C66"/>
      <c r="D66" s="15" t="s">
        <v>115</v>
      </c>
      <c r="E66" s="15" t="s">
        <v>80</v>
      </c>
      <c r="F66" s="16">
        <v>585</v>
      </c>
      <c r="G66" s="18">
        <v>3.68</v>
      </c>
      <c r="H66" s="17">
        <v>0.11</v>
      </c>
      <c r="I66" s="32"/>
    </row>
    <row r="67" spans="1:9">
      <c r="A67" s="20"/>
      <c r="B67" t="s">
        <v>195</v>
      </c>
      <c r="D67" s="15" t="s">
        <v>196</v>
      </c>
      <c r="E67" s="15" t="s">
        <v>35</v>
      </c>
      <c r="F67" s="16">
        <v>9</v>
      </c>
      <c r="G67" s="18">
        <v>0.28000000000000003</v>
      </c>
      <c r="H67" s="17">
        <v>0.01</v>
      </c>
      <c r="I67" s="32"/>
    </row>
    <row r="68" spans="1:9">
      <c r="A68" s="20"/>
      <c r="B68" t="s">
        <v>201</v>
      </c>
      <c r="D68" s="15" t="s">
        <v>134</v>
      </c>
      <c r="E68" s="15" t="s">
        <v>16</v>
      </c>
      <c r="F68" s="16">
        <v>200</v>
      </c>
      <c r="G68" s="18">
        <v>0.28000000000000003</v>
      </c>
      <c r="H68" s="17">
        <v>0.01</v>
      </c>
      <c r="I68" s="32"/>
    </row>
    <row r="69" spans="1:9">
      <c r="A69" s="21"/>
      <c r="B69" s="37" t="s">
        <v>135</v>
      </c>
      <c r="C69" s="37"/>
      <c r="D69" s="21"/>
      <c r="E69" s="13"/>
      <c r="F69" s="13"/>
      <c r="G69" s="22">
        <f>SUM(G9:G68)</f>
        <v>2598.3100000000004</v>
      </c>
      <c r="H69" s="22">
        <f>SUM(H9:H68)</f>
        <v>80.750000000000014</v>
      </c>
      <c r="I69" s="32"/>
    </row>
    <row r="70" spans="1:9" s="11" customFormat="1">
      <c r="A70" s="23"/>
      <c r="B70" s="42" t="s">
        <v>136</v>
      </c>
      <c r="C70" s="42"/>
      <c r="D70" s="42"/>
      <c r="E70" s="24"/>
      <c r="F70" s="25"/>
      <c r="G70" s="25" t="s">
        <v>137</v>
      </c>
      <c r="H70" s="25" t="s">
        <v>137</v>
      </c>
      <c r="I70" s="32"/>
    </row>
    <row r="71" spans="1:9">
      <c r="A71" s="21"/>
      <c r="B71" s="37" t="s">
        <v>135</v>
      </c>
      <c r="C71" s="37"/>
      <c r="D71" s="21"/>
      <c r="E71" s="13"/>
      <c r="F71" s="13"/>
      <c r="G71" s="10">
        <v>0</v>
      </c>
      <c r="H71" s="10">
        <v>0</v>
      </c>
      <c r="I71" s="32"/>
    </row>
    <row r="72" spans="1:9">
      <c r="A72" s="21"/>
      <c r="B72" s="37" t="s">
        <v>138</v>
      </c>
      <c r="C72" s="37"/>
      <c r="D72" s="21"/>
      <c r="E72" s="13"/>
      <c r="F72" s="13"/>
      <c r="G72" s="10">
        <f>+G69</f>
        <v>2598.3100000000004</v>
      </c>
      <c r="H72" s="10">
        <f>+H69</f>
        <v>80.750000000000014</v>
      </c>
      <c r="I72" s="32"/>
    </row>
    <row r="73" spans="1:9">
      <c r="A73" s="12"/>
      <c r="B73" s="41" t="s">
        <v>139</v>
      </c>
      <c r="C73" s="41"/>
      <c r="D73" s="41"/>
      <c r="E73" s="13"/>
      <c r="F73" s="13"/>
      <c r="G73" s="13"/>
      <c r="H73" s="13"/>
    </row>
    <row r="74" spans="1:9">
      <c r="A74" s="12"/>
      <c r="B74" s="41" t="s">
        <v>140</v>
      </c>
      <c r="C74" s="41"/>
      <c r="D74" s="41"/>
      <c r="E74" s="13"/>
      <c r="F74" s="13"/>
      <c r="G74" s="25" t="s">
        <v>137</v>
      </c>
      <c r="H74" s="25" t="s">
        <v>137</v>
      </c>
    </row>
    <row r="75" spans="1:9">
      <c r="A75" s="21"/>
      <c r="B75" s="37" t="s">
        <v>135</v>
      </c>
      <c r="C75" s="37"/>
      <c r="D75" s="21"/>
      <c r="E75" s="13"/>
      <c r="F75" s="13"/>
      <c r="G75" s="10">
        <v>0</v>
      </c>
      <c r="H75" s="10">
        <v>0</v>
      </c>
    </row>
    <row r="76" spans="1:9">
      <c r="A76" s="12"/>
      <c r="B76" s="41" t="s">
        <v>141</v>
      </c>
      <c r="C76" s="41"/>
      <c r="D76" s="41"/>
      <c r="E76" s="13"/>
      <c r="F76" s="13"/>
      <c r="G76" s="25" t="s">
        <v>137</v>
      </c>
      <c r="H76" s="25" t="s">
        <v>137</v>
      </c>
    </row>
    <row r="77" spans="1:9">
      <c r="A77" s="21"/>
      <c r="B77" s="37" t="s">
        <v>135</v>
      </c>
      <c r="C77" s="37"/>
      <c r="D77" s="21"/>
      <c r="E77" s="13"/>
      <c r="F77" s="13"/>
      <c r="G77" s="10">
        <v>0</v>
      </c>
      <c r="H77" s="10">
        <v>0</v>
      </c>
    </row>
    <row r="78" spans="1:9" s="11" customFormat="1" ht="12.75">
      <c r="A78" s="23"/>
      <c r="B78" s="42" t="s">
        <v>142</v>
      </c>
      <c r="C78" s="42"/>
      <c r="D78" s="42"/>
      <c r="E78" s="24"/>
      <c r="F78" s="25"/>
      <c r="G78" s="25" t="s">
        <v>137</v>
      </c>
      <c r="H78" s="25" t="s">
        <v>137</v>
      </c>
    </row>
    <row r="79" spans="1:9">
      <c r="A79" s="21"/>
      <c r="B79" s="37" t="s">
        <v>135</v>
      </c>
      <c r="C79" s="37"/>
      <c r="D79" s="21"/>
      <c r="E79" s="13"/>
      <c r="F79" s="13"/>
      <c r="G79" s="10">
        <v>0</v>
      </c>
      <c r="H79" s="10">
        <v>0</v>
      </c>
    </row>
    <row r="80" spans="1:9">
      <c r="A80" s="12"/>
      <c r="B80" s="41" t="s">
        <v>143</v>
      </c>
      <c r="C80" s="41"/>
      <c r="D80" s="41"/>
      <c r="E80" s="13"/>
      <c r="F80" s="13"/>
      <c r="G80" s="13"/>
      <c r="H80" s="13"/>
    </row>
    <row r="81" spans="1:9">
      <c r="A81" s="12"/>
      <c r="B81" s="41" t="s">
        <v>141</v>
      </c>
      <c r="C81" s="41"/>
      <c r="D81" s="41"/>
      <c r="E81" s="13"/>
      <c r="F81" s="13"/>
      <c r="G81" s="25"/>
      <c r="H81" s="25"/>
    </row>
    <row r="82" spans="1:9">
      <c r="A82" s="12"/>
      <c r="B82" t="s">
        <v>144</v>
      </c>
      <c r="C82" s="1">
        <v>9.74</v>
      </c>
      <c r="D82" t="s">
        <v>145</v>
      </c>
      <c r="E82" s="26" t="s">
        <v>146</v>
      </c>
      <c r="F82" s="16">
        <v>2</v>
      </c>
      <c r="G82" s="35">
        <v>21.05</v>
      </c>
      <c r="H82" s="32">
        <v>0.65</v>
      </c>
    </row>
    <row r="83" spans="1:9">
      <c r="A83" s="12"/>
      <c r="B83" t="s">
        <v>147</v>
      </c>
      <c r="C83" s="1">
        <v>9.39</v>
      </c>
      <c r="D83" t="s">
        <v>148</v>
      </c>
      <c r="E83" s="26" t="s">
        <v>146</v>
      </c>
      <c r="F83" s="16">
        <v>7</v>
      </c>
      <c r="G83" s="35">
        <v>70.39</v>
      </c>
      <c r="H83" s="32">
        <v>2.19</v>
      </c>
    </row>
    <row r="84" spans="1:9">
      <c r="A84" s="21"/>
      <c r="B84" s="37" t="s">
        <v>135</v>
      </c>
      <c r="C84" s="37"/>
      <c r="D84" s="21"/>
      <c r="E84" s="13"/>
      <c r="F84" s="13"/>
      <c r="G84" s="10">
        <f>SUM(G82:G83)</f>
        <v>91.44</v>
      </c>
      <c r="H84" s="22">
        <f>SUM(H82:H83)</f>
        <v>2.84</v>
      </c>
      <c r="I84" s="48"/>
    </row>
    <row r="85" spans="1:9" s="11" customFormat="1" ht="12.75">
      <c r="A85" s="23"/>
      <c r="B85" s="42" t="s">
        <v>142</v>
      </c>
      <c r="C85" s="42"/>
      <c r="D85" s="42"/>
      <c r="E85" s="24"/>
      <c r="F85" s="25"/>
      <c r="G85" s="25" t="s">
        <v>137</v>
      </c>
      <c r="H85" s="25" t="s">
        <v>137</v>
      </c>
    </row>
    <row r="86" spans="1:9">
      <c r="A86" s="21"/>
      <c r="B86" s="37" t="s">
        <v>135</v>
      </c>
      <c r="C86" s="37"/>
      <c r="D86" s="21"/>
      <c r="E86" s="13"/>
      <c r="F86" s="13"/>
      <c r="G86" s="10">
        <v>0</v>
      </c>
      <c r="H86" s="10">
        <v>0</v>
      </c>
    </row>
    <row r="87" spans="1:9">
      <c r="A87" s="12"/>
      <c r="B87" s="41" t="s">
        <v>149</v>
      </c>
      <c r="C87" s="41"/>
      <c r="D87" s="41"/>
      <c r="E87" s="13"/>
      <c r="F87" s="13"/>
      <c r="G87" s="13"/>
      <c r="H87" s="13"/>
    </row>
    <row r="88" spans="1:9">
      <c r="A88" s="21"/>
      <c r="B88" s="37" t="s">
        <v>135</v>
      </c>
      <c r="C88" s="37"/>
      <c r="D88" s="21"/>
      <c r="E88" s="13"/>
      <c r="F88" s="13"/>
      <c r="G88" s="10">
        <v>0</v>
      </c>
      <c r="H88" s="10">
        <v>0</v>
      </c>
    </row>
    <row r="89" spans="1:9">
      <c r="A89" s="21"/>
      <c r="B89" s="37" t="s">
        <v>138</v>
      </c>
      <c r="C89" s="37"/>
      <c r="D89" s="21"/>
      <c r="E89" s="13"/>
      <c r="F89" s="13"/>
      <c r="G89" s="10">
        <f>+G84</f>
        <v>91.44</v>
      </c>
      <c r="H89" s="10">
        <f>+H84</f>
        <v>2.84</v>
      </c>
      <c r="I89" s="48"/>
    </row>
    <row r="90" spans="1:9">
      <c r="A90" s="12"/>
      <c r="B90" s="41" t="s">
        <v>150</v>
      </c>
      <c r="C90" s="41"/>
      <c r="D90" s="41"/>
      <c r="E90" s="13"/>
      <c r="F90" s="13"/>
      <c r="G90" s="13"/>
      <c r="H90" s="13"/>
    </row>
    <row r="91" spans="1:9" s="11" customFormat="1" ht="12.75">
      <c r="A91" s="23"/>
      <c r="B91" s="42" t="s">
        <v>151</v>
      </c>
      <c r="C91" s="42"/>
      <c r="D91" s="42"/>
      <c r="E91" s="24"/>
      <c r="F91" s="25"/>
      <c r="G91" s="25" t="s">
        <v>137</v>
      </c>
      <c r="H91" s="25" t="s">
        <v>137</v>
      </c>
    </row>
    <row r="92" spans="1:9">
      <c r="A92" s="21"/>
      <c r="B92" s="37" t="s">
        <v>135</v>
      </c>
      <c r="C92" s="37"/>
      <c r="D92" s="21"/>
      <c r="E92" s="13"/>
      <c r="F92" s="13"/>
      <c r="G92" s="10">
        <v>0</v>
      </c>
      <c r="H92" s="10">
        <v>0</v>
      </c>
    </row>
    <row r="93" spans="1:9" s="11" customFormat="1" ht="12.75">
      <c r="A93" s="23"/>
      <c r="B93" s="42" t="s">
        <v>152</v>
      </c>
      <c r="C93" s="42"/>
      <c r="D93" s="42"/>
      <c r="E93" s="24"/>
      <c r="F93" s="25"/>
      <c r="G93" s="25"/>
      <c r="H93" s="25"/>
    </row>
    <row r="94" spans="1:9" s="11" customFormat="1">
      <c r="A94" s="23"/>
      <c r="B94" t="s">
        <v>187</v>
      </c>
      <c r="D94" t="s">
        <v>188</v>
      </c>
      <c r="E94" s="26" t="s">
        <v>189</v>
      </c>
      <c r="F94">
        <v>100</v>
      </c>
      <c r="G94" s="35">
        <v>482.2</v>
      </c>
      <c r="H94" s="32">
        <v>14.99</v>
      </c>
    </row>
    <row r="95" spans="1:9">
      <c r="A95" s="21"/>
      <c r="B95" s="37" t="s">
        <v>135</v>
      </c>
      <c r="C95" s="37"/>
      <c r="D95" s="21"/>
      <c r="E95" s="13"/>
      <c r="F95" s="13"/>
      <c r="G95" s="10">
        <f>SUM(G94)</f>
        <v>482.2</v>
      </c>
      <c r="H95" s="22">
        <f>SUM(H94)</f>
        <v>14.99</v>
      </c>
      <c r="I95" s="48"/>
    </row>
    <row r="96" spans="1:9" s="11" customFormat="1" ht="12.75">
      <c r="A96" s="23"/>
      <c r="B96" s="42" t="s">
        <v>153</v>
      </c>
      <c r="C96" s="42"/>
      <c r="D96" s="42"/>
      <c r="E96" s="24"/>
      <c r="F96" s="25"/>
      <c r="G96" s="25" t="s">
        <v>137</v>
      </c>
      <c r="H96" s="25" t="s">
        <v>137</v>
      </c>
    </row>
    <row r="97" spans="1:9">
      <c r="A97" s="21"/>
      <c r="B97" s="37" t="s">
        <v>135</v>
      </c>
      <c r="C97" s="37"/>
      <c r="D97" s="21"/>
      <c r="E97" s="13"/>
      <c r="F97" s="13"/>
      <c r="G97" s="10">
        <v>0</v>
      </c>
      <c r="H97" s="10">
        <v>0</v>
      </c>
    </row>
    <row r="98" spans="1:9" s="11" customFormat="1" ht="12.75">
      <c r="A98" s="23"/>
      <c r="B98" s="42" t="s">
        <v>154</v>
      </c>
      <c r="C98" s="42"/>
      <c r="D98" s="42"/>
      <c r="E98" s="24"/>
      <c r="F98" s="25"/>
      <c r="G98" s="25" t="s">
        <v>137</v>
      </c>
      <c r="H98" s="25" t="s">
        <v>137</v>
      </c>
    </row>
    <row r="99" spans="1:9">
      <c r="A99" s="21"/>
      <c r="B99" s="37" t="s">
        <v>135</v>
      </c>
      <c r="C99" s="37"/>
      <c r="D99" s="21"/>
      <c r="E99" s="13"/>
      <c r="F99" s="13"/>
      <c r="G99" s="10">
        <v>0</v>
      </c>
      <c r="H99" s="10">
        <v>0</v>
      </c>
    </row>
    <row r="100" spans="1:9">
      <c r="A100" s="21"/>
      <c r="B100" s="37" t="s">
        <v>138</v>
      </c>
      <c r="C100" s="37"/>
      <c r="D100" s="21"/>
      <c r="E100" s="13"/>
      <c r="F100" s="13"/>
      <c r="G100" s="10">
        <f>+G95+G97+G99</f>
        <v>482.2</v>
      </c>
      <c r="H100" s="10">
        <f>+H95+H97+H99</f>
        <v>14.99</v>
      </c>
      <c r="I100" s="48"/>
    </row>
    <row r="101" spans="1:9">
      <c r="A101" s="12"/>
      <c r="B101" s="41" t="s">
        <v>155</v>
      </c>
      <c r="C101" s="41"/>
      <c r="D101" s="41"/>
      <c r="E101" s="13"/>
      <c r="F101" s="13"/>
      <c r="G101" s="25"/>
      <c r="H101" s="16"/>
    </row>
    <row r="102" spans="1:9">
      <c r="A102" s="12"/>
      <c r="B102" s="37" t="s">
        <v>156</v>
      </c>
      <c r="C102" s="37"/>
      <c r="D102" s="37"/>
      <c r="E102" s="13"/>
      <c r="F102" s="13"/>
      <c r="G102" s="18">
        <f>21+24.79</f>
        <v>45.79</v>
      </c>
      <c r="H102" s="27">
        <f>0.65+0.77</f>
        <v>1.42</v>
      </c>
    </row>
    <row r="103" spans="1:9">
      <c r="A103" s="21"/>
      <c r="B103" s="37" t="s">
        <v>135</v>
      </c>
      <c r="C103" s="37"/>
      <c r="D103" s="21"/>
      <c r="E103" s="13"/>
      <c r="F103" s="13"/>
      <c r="G103" s="25">
        <f>+G102</f>
        <v>45.79</v>
      </c>
      <c r="H103" s="33">
        <f>+H102</f>
        <v>1.42</v>
      </c>
      <c r="I103" s="48"/>
    </row>
    <row r="104" spans="1:9">
      <c r="A104" s="21"/>
      <c r="B104" s="37" t="s">
        <v>138</v>
      </c>
      <c r="C104" s="37"/>
      <c r="D104" s="21"/>
      <c r="E104" s="13"/>
      <c r="F104" s="13"/>
      <c r="G104" s="25">
        <v>0</v>
      </c>
      <c r="H104" s="16">
        <v>0</v>
      </c>
    </row>
    <row r="105" spans="1:9" s="11" customFormat="1" ht="12.75">
      <c r="A105" s="39"/>
      <c r="B105" s="39" t="s">
        <v>157</v>
      </c>
      <c r="C105" s="39"/>
      <c r="D105" s="39"/>
      <c r="E105" s="24"/>
      <c r="F105" s="24"/>
      <c r="G105" s="25">
        <f>+G72+G89+G100+G103</f>
        <v>3217.7400000000002</v>
      </c>
      <c r="H105" s="33">
        <f>+H72+H89+H100+H103</f>
        <v>100.00000000000001</v>
      </c>
      <c r="I105" s="49"/>
    </row>
    <row r="106" spans="1:9">
      <c r="A106" s="38"/>
      <c r="D106" s="28" t="s">
        <v>158</v>
      </c>
      <c r="E106" s="28"/>
      <c r="F106" s="28"/>
      <c r="G106" s="29"/>
      <c r="H106" s="29"/>
    </row>
    <row r="107" spans="1:9">
      <c r="A107" s="38"/>
      <c r="D107" s="34" t="s">
        <v>159</v>
      </c>
      <c r="E107" s="34"/>
      <c r="F107" s="34"/>
      <c r="G107" s="34"/>
      <c r="H107" s="34"/>
      <c r="I107" s="34"/>
    </row>
    <row r="108" spans="1:9">
      <c r="A108" s="44"/>
      <c r="B108" s="45" t="s">
        <v>160</v>
      </c>
      <c r="C108" s="45"/>
      <c r="D108" s="45"/>
      <c r="E108" s="30"/>
      <c r="F108" s="30"/>
      <c r="G108" s="30"/>
      <c r="H108" s="30"/>
    </row>
    <row r="109" spans="1:9">
      <c r="A109" s="44"/>
      <c r="B109" s="43" t="s">
        <v>161</v>
      </c>
      <c r="C109" s="43"/>
      <c r="D109" s="43"/>
      <c r="E109" s="30"/>
      <c r="F109" s="30"/>
      <c r="G109" s="30"/>
      <c r="H109" s="31">
        <v>4.03</v>
      </c>
      <c r="I109" s="35"/>
    </row>
    <row r="110" spans="1:9">
      <c r="A110" s="44"/>
      <c r="B110" s="43" t="s">
        <v>162</v>
      </c>
      <c r="C110" s="43"/>
      <c r="D110" s="43"/>
      <c r="E110" s="30"/>
      <c r="F110" s="30"/>
      <c r="G110" s="30"/>
      <c r="H110" s="31">
        <v>1.95</v>
      </c>
      <c r="I110" s="35"/>
    </row>
    <row r="111" spans="1:9">
      <c r="A111" s="44"/>
      <c r="B111" s="43" t="s">
        <v>163</v>
      </c>
      <c r="C111" s="43"/>
      <c r="D111" s="43"/>
      <c r="E111" s="30"/>
      <c r="F111" s="30"/>
      <c r="G111" s="30"/>
      <c r="H111" s="31">
        <v>22.66</v>
      </c>
      <c r="I111" s="35"/>
    </row>
    <row r="112" spans="1:9">
      <c r="A112" s="44"/>
      <c r="B112" s="43" t="s">
        <v>164</v>
      </c>
      <c r="C112" s="43"/>
      <c r="D112" s="43"/>
      <c r="E112" s="30"/>
      <c r="F112" s="30"/>
      <c r="G112" s="30"/>
      <c r="H112" s="31">
        <v>1.5</v>
      </c>
      <c r="I112" s="35"/>
    </row>
    <row r="113" spans="1:9">
      <c r="A113" s="44"/>
      <c r="B113" s="43" t="s">
        <v>165</v>
      </c>
      <c r="C113" s="43"/>
      <c r="D113" s="43"/>
      <c r="E113" s="30"/>
      <c r="F113" s="30"/>
      <c r="G113" s="30"/>
      <c r="H113" s="31">
        <v>1.71</v>
      </c>
      <c r="I113" s="35"/>
    </row>
    <row r="114" spans="1:9">
      <c r="A114" s="44"/>
      <c r="B114" s="43" t="s">
        <v>166</v>
      </c>
      <c r="C114" s="43"/>
      <c r="D114" s="43"/>
      <c r="E114" s="30"/>
      <c r="F114" s="30"/>
      <c r="G114" s="30"/>
      <c r="H114" s="31">
        <v>0.76</v>
      </c>
      <c r="I114" s="35"/>
    </row>
    <row r="115" spans="1:9">
      <c r="A115" s="44"/>
      <c r="B115" s="43" t="s">
        <v>167</v>
      </c>
      <c r="C115" s="43"/>
      <c r="D115" s="43"/>
      <c r="E115" s="30"/>
      <c r="F115" s="30"/>
      <c r="G115" s="30"/>
      <c r="H115" s="31">
        <v>5.07</v>
      </c>
      <c r="I115" s="35"/>
    </row>
    <row r="116" spans="1:9">
      <c r="A116" s="44"/>
      <c r="B116" s="43" t="s">
        <v>168</v>
      </c>
      <c r="C116" s="43"/>
      <c r="D116" s="43"/>
      <c r="E116" s="30"/>
      <c r="F116" s="30"/>
      <c r="G116" s="30"/>
      <c r="H116" s="31">
        <v>1.94</v>
      </c>
      <c r="I116" s="35"/>
    </row>
    <row r="117" spans="1:9">
      <c r="A117" s="44"/>
      <c r="B117" s="43" t="s">
        <v>169</v>
      </c>
      <c r="C117" s="43"/>
      <c r="D117" s="43"/>
      <c r="E117" s="30"/>
      <c r="F117" s="30"/>
      <c r="G117" s="30"/>
      <c r="H117" s="31">
        <v>7.3100000000000005</v>
      </c>
      <c r="I117" s="35"/>
    </row>
    <row r="118" spans="1:9">
      <c r="A118" s="44"/>
      <c r="B118" s="43" t="s">
        <v>170</v>
      </c>
      <c r="C118" s="43"/>
      <c r="D118" s="43"/>
      <c r="E118" s="30"/>
      <c r="F118" s="30"/>
      <c r="G118" s="30"/>
      <c r="H118" s="31">
        <v>0.68</v>
      </c>
      <c r="I118" s="35"/>
    </row>
    <row r="119" spans="1:9">
      <c r="A119" s="44"/>
      <c r="B119" s="43" t="s">
        <v>171</v>
      </c>
      <c r="C119" s="43"/>
      <c r="D119" s="43"/>
      <c r="E119" s="30"/>
      <c r="F119" s="30"/>
      <c r="G119" s="30"/>
      <c r="H119" s="31">
        <v>1.35</v>
      </c>
      <c r="I119" s="35"/>
    </row>
    <row r="120" spans="1:9">
      <c r="A120" s="44"/>
      <c r="B120" s="43" t="s">
        <v>190</v>
      </c>
      <c r="C120" s="43"/>
      <c r="D120" s="43"/>
      <c r="E120" s="30"/>
      <c r="F120" s="30"/>
      <c r="G120" s="30"/>
      <c r="H120" s="31">
        <v>1.27</v>
      </c>
      <c r="I120" s="35"/>
    </row>
    <row r="121" spans="1:9">
      <c r="A121" s="44"/>
      <c r="B121" s="36" t="s">
        <v>172</v>
      </c>
      <c r="C121" s="36"/>
      <c r="D121" s="36"/>
      <c r="E121" s="30"/>
      <c r="F121" s="30"/>
      <c r="G121" s="30"/>
      <c r="H121" s="31">
        <v>0.66</v>
      </c>
      <c r="I121" s="35"/>
    </row>
    <row r="122" spans="1:9">
      <c r="A122" s="44"/>
      <c r="B122" s="43" t="s">
        <v>173</v>
      </c>
      <c r="C122" s="43"/>
      <c r="D122" s="43"/>
      <c r="E122" s="30"/>
      <c r="F122" s="30"/>
      <c r="G122" s="30"/>
      <c r="H122" s="31">
        <v>2.0099999999999998</v>
      </c>
      <c r="I122" s="35"/>
    </row>
    <row r="123" spans="1:9">
      <c r="A123" s="44"/>
      <c r="B123" s="36" t="s">
        <v>174</v>
      </c>
      <c r="C123" s="36"/>
      <c r="D123" s="36"/>
      <c r="E123" s="30"/>
      <c r="F123" s="30"/>
      <c r="G123" s="30"/>
      <c r="H123" s="31">
        <v>0.12</v>
      </c>
      <c r="I123" s="35"/>
    </row>
    <row r="124" spans="1:9">
      <c r="A124" s="44"/>
      <c r="B124" s="36" t="s">
        <v>175</v>
      </c>
      <c r="C124" s="36"/>
      <c r="D124" s="36"/>
      <c r="E124" s="30"/>
      <c r="F124" s="30"/>
      <c r="G124" s="30"/>
      <c r="H124" s="31">
        <v>0.41</v>
      </c>
      <c r="I124" s="35"/>
    </row>
    <row r="125" spans="1:9">
      <c r="B125" s="43" t="s">
        <v>176</v>
      </c>
      <c r="C125" s="43"/>
      <c r="D125" s="43"/>
      <c r="E125" s="30"/>
      <c r="F125" s="30"/>
      <c r="G125" s="30"/>
      <c r="H125" s="31">
        <v>3.58</v>
      </c>
      <c r="I125" s="35"/>
    </row>
    <row r="126" spans="1:9">
      <c r="B126" s="43" t="s">
        <v>177</v>
      </c>
      <c r="C126" s="43"/>
      <c r="D126" s="43"/>
      <c r="E126" s="30"/>
      <c r="F126" s="30"/>
      <c r="G126" s="30"/>
      <c r="H126" s="31">
        <v>8.56</v>
      </c>
      <c r="I126" s="35"/>
    </row>
    <row r="127" spans="1:9">
      <c r="B127" s="43" t="s">
        <v>178</v>
      </c>
      <c r="C127" s="43"/>
      <c r="D127" s="43"/>
      <c r="E127" s="30"/>
      <c r="F127" s="30"/>
      <c r="G127" s="30"/>
      <c r="H127" s="31">
        <v>1.22</v>
      </c>
      <c r="I127" s="35"/>
    </row>
    <row r="128" spans="1:9">
      <c r="B128" s="43" t="s">
        <v>179</v>
      </c>
      <c r="C128" s="43"/>
      <c r="D128" s="43"/>
      <c r="E128" s="30"/>
      <c r="F128" s="30"/>
      <c r="G128" s="30"/>
      <c r="H128" s="31">
        <v>11.68</v>
      </c>
      <c r="I128" s="35"/>
    </row>
    <row r="129" spans="2:9">
      <c r="B129" s="43" t="s">
        <v>180</v>
      </c>
      <c r="C129" s="43"/>
      <c r="D129" s="43"/>
      <c r="E129" s="30"/>
      <c r="F129" s="30"/>
      <c r="G129" s="30"/>
      <c r="H129" s="31">
        <v>2.2799999999999998</v>
      </c>
      <c r="I129" s="35"/>
    </row>
  </sheetData>
  <sheetProtection sheet="1" objects="1" scenarios="1" deleteColumns="0" deleteRows="0"/>
  <mergeCells count="39">
    <mergeCell ref="B129:D129"/>
    <mergeCell ref="B87:D87"/>
    <mergeCell ref="B91:D91"/>
    <mergeCell ref="B93:D93"/>
    <mergeCell ref="B96:D96"/>
    <mergeCell ref="B98:D98"/>
    <mergeCell ref="B127:D127"/>
    <mergeCell ref="B128:D128"/>
    <mergeCell ref="B117:D117"/>
    <mergeCell ref="B119:D119"/>
    <mergeCell ref="B126:D126"/>
    <mergeCell ref="B115:D115"/>
    <mergeCell ref="B118:D118"/>
    <mergeCell ref="B108:D108"/>
    <mergeCell ref="B109:D109"/>
    <mergeCell ref="B101:D101"/>
    <mergeCell ref="A108:A124"/>
    <mergeCell ref="B120:D120"/>
    <mergeCell ref="B125:D125"/>
    <mergeCell ref="B110:D110"/>
    <mergeCell ref="B111:D111"/>
    <mergeCell ref="B112:D112"/>
    <mergeCell ref="B113:D113"/>
    <mergeCell ref="B114:D114"/>
    <mergeCell ref="B116:D116"/>
    <mergeCell ref="B90:D90"/>
    <mergeCell ref="B122:D122"/>
    <mergeCell ref="B73:D73"/>
    <mergeCell ref="B80:D80"/>
    <mergeCell ref="B70:D70"/>
    <mergeCell ref="B74:D74"/>
    <mergeCell ref="B76:D76"/>
    <mergeCell ref="B78:D78"/>
    <mergeCell ref="B81:D81"/>
    <mergeCell ref="B85:D85"/>
    <mergeCell ref="A1:H1"/>
    <mergeCell ref="B6:D6"/>
    <mergeCell ref="B7:D7"/>
    <mergeCell ref="B8:D8"/>
  </mergeCells>
  <pageMargins left="0.2" right="0" top="0.75" bottom="0.7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31.10.2014</vt:lpstr>
      <vt:lpstr>'31.10.2014'!Print_Titles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2014-09-09T06:26:20Z</cp:lastPrinted>
  <dcterms:created xsi:type="dcterms:W3CDTF">2014-07-05T08:25:15Z</dcterms:created>
  <dcterms:modified xsi:type="dcterms:W3CDTF">2014-12-02T10:06:29Z</dcterms:modified>
</cp:coreProperties>
</file>