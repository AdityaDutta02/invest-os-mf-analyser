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5.2014" sheetId="1" r:id="rId1"/>
  </sheets>
  <definedNames>
    <definedName name="_xlnm.Print_Titles" localSheetId="0">'31.05.2014'!$1:$5</definedName>
  </definedNames>
  <calcPr calcId="125725"/>
</workbook>
</file>

<file path=xl/calcChain.xml><?xml version="1.0" encoding="utf-8"?>
<calcChain xmlns="http://schemas.openxmlformats.org/spreadsheetml/2006/main">
  <c r="H91" i="1"/>
  <c r="G91"/>
  <c r="H83"/>
  <c r="H88" s="1"/>
  <c r="G83"/>
  <c r="G88" s="1"/>
  <c r="H72"/>
  <c r="H77" s="1"/>
  <c r="G72"/>
  <c r="G77" s="1"/>
  <c r="H56"/>
  <c r="H59" s="1"/>
  <c r="H93" s="1"/>
  <c r="G56"/>
  <c r="G59" s="1"/>
  <c r="G93" s="1"/>
</calcChain>
</file>

<file path=xl/sharedStrings.xml><?xml version="1.0" encoding="utf-8"?>
<sst xmlns="http://schemas.openxmlformats.org/spreadsheetml/2006/main" count="236" uniqueCount="173">
  <si>
    <t> SHRIRAM EQUITY AND DEBT OPPORTUNITIES FUND</t>
  </si>
  <si>
    <t>Portfolio as on May 31, 2014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</si>
  <si>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</si>
  <si>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</si>
  <si>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</si>
  <si>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</si>
  <si>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</si>
  <si>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</si>
  <si>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</si>
  <si>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</si>
  <si>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</si>
  <si>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</si>
  <si>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</si>
  <si>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</si>
  <si>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</si>
  <si>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</si>
  <si>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</si>
  <si>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</si>
  <si>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</si>
  <si>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</si>
  <si>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</si>
  <si>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</si>
  <si>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</si>
  <si>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</si>
  <si>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</si>
  <si>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</si>
  <si>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</si>
  <si>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</si>
  <si>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</si>
  <si>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INE044A01036</t>
  </si>
  <si>
    <t>SUN PHARMACEUTICALS INDUSTRIES LTD.</t>
  </si>
  <si>
    <t>INE860A01027</t>
  </si>
  <si>
    <t>HCL TECHNOLOGIES LTD.</t>
  </si>
  <si>
    <t>INE669C01028</t>
  </si>
  <si>
    <t>TECH MAHINDRA LTD.</t>
  </si>
  <si>
    <t>INE238A01026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</si>
  <si>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</si>
  <si>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</si>
  <si>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</si>
  <si>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</si>
  <si>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</si>
  <si>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</si>
  <si>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</si>
  <si>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</si>
  <si>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</si>
  <si>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</si>
  <si>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INE101A01026</t>
  </si>
  <si>
    <t>MAHINDRA &amp; MAHINDRA LTD.</t>
  </si>
  <si>
    <t>INE481G01011</t>
  </si>
  <si>
    <t>ULTRATECH CEMENT LTD.</t>
  </si>
  <si>
    <t>CEMENT</t>
  </si>
  <si>
    <t>INE213A01029</t>
  </si>
  <si>
    <t>OIL &amp; NATURAL GAS CORPORATION LTD.</t>
  </si>
  <si>
    <t>OIL</t>
  </si>
  <si>
    <t>INE669E01016</t>
  </si>
  <si>
    <t>IDEA CELLULAR LTD.</t>
  </si>
  <si>
    <t>TELECOM - SERVICES</t>
  </si>
  <si>
    <t>INE192A01025</t>
  </si>
  <si>
    <t>TATA GLOBAL BEVERAGES LTD. (EX- TATA TEA LTD)</t>
  </si>
  <si>
    <t>INE029A01011</t>
  </si>
  <si>
    <t>BHARAT PETROLEUM CORPORATION LTD.</t>
  </si>
  <si>
    <t>INE081A01012</t>
  </si>
  <si>
    <t>TATA STEEL EQUITY</t>
  </si>
  <si>
    <t>FERROUS METALS</t>
  </si>
  <si>
    <t>INE326A01037</t>
  </si>
  <si>
    <t>LUPIN LTD (EX LUPIN LABORATORIES LTD)</t>
  </si>
  <si>
    <t>INE917I01010</t>
  </si>
  <si>
    <t>BAJAJ AUTO LTD.</t>
  </si>
  <si>
    <t>INE009A01021</t>
  </si>
  <si>
    <t>INFOSYS LTD.</t>
  </si>
  <si>
    <t>INE062A01012</t>
  </si>
  <si>
    <t>SBI - EQUITY SHARES</t>
  </si>
  <si>
    <t>INE021A01026</t>
  </si>
  <si>
    <t>ASIAN PAINTS LTD.</t>
  </si>
  <si>
    <t>INE070A01015</t>
  </si>
  <si>
    <t>SHREE CEMENTS LTD.</t>
  </si>
  <si>
    <t>INE066A01013</t>
  </si>
  <si>
    <t>EICHER MOTORS LTD.</t>
  </si>
  <si>
    <t>INE437A01024</t>
  </si>
  <si>
    <t>APOLLO HOSPITALS ENTERPRISE LTD.</t>
  </si>
  <si>
    <t>HEALTHCARE SERVICES</t>
  </si>
  <si>
    <t>INE463A01020</t>
  </si>
  <si>
    <t>BERGER PAINTS (I) LTD.</t>
  </si>
  <si>
    <t>INE885A01032</t>
  </si>
  <si>
    <t>AMARA RAJA BATTERIES LTD.</t>
  </si>
  <si>
    <t>AUTO ANCILLARIES</t>
  </si>
  <si>
    <t>INE216A01022</t>
  </si>
  <si>
    <t>BRITANNIA INDUSTRIES LTD.</t>
  </si>
  <si>
    <t>INE733E01010</t>
  </si>
  <si>
    <t>NTPC LIMITED</t>
  </si>
  <si>
    <t>POWER</t>
  </si>
  <si>
    <t>INE752E01010</t>
  </si>
  <si>
    <t>POWER GRID CORPORATION OF INDIA LIMITED</t>
  </si>
  <si>
    <t>INE274J01014</t>
  </si>
  <si>
    <t>OIL INDIA LTD.</t>
  </si>
  <si>
    <t>INE176A01010</t>
  </si>
  <si>
    <t>BATA INDIA LTD.</t>
  </si>
  <si>
    <t>CONSUMER DURABLES</t>
  </si>
  <si>
    <t>INE571A01020</t>
  </si>
  <si>
    <t>IPCA LABORATORIES LTD.</t>
  </si>
  <si>
    <t>INE129A01019</t>
  </si>
  <si>
    <t>GAIL (INDIA) LTD-EQ</t>
  </si>
  <si>
    <t>GAS</t>
  </si>
  <si>
    <t>INE166A01011</t>
  </si>
  <si>
    <t>ING VYSYA BANK LTD.</t>
  </si>
  <si>
    <t>INE095A01012</t>
  </si>
  <si>
    <t>INDUSIND BANK LTD</t>
  </si>
  <si>
    <t>INE987B01018</t>
  </si>
  <si>
    <t>NATCO PHARMA LTD.</t>
  </si>
  <si>
    <t>INE237A01028</t>
  </si>
  <si>
    <t>KOTAK MAHINDRA BANK LTD.</t>
  </si>
  <si>
    <t>INE043D01016</t>
  </si>
  <si>
    <t>IDFC LIMITED</t>
  </si>
  <si>
    <t>INE787D01026</t>
  </si>
  <si>
    <t>BALKRISHNA INDUSTRIES LTD.</t>
  </si>
  <si>
    <t>INE115A01026</t>
  </si>
  <si>
    <t>LIC HOUSING FINANCE LIMITED</t>
  </si>
  <si>
    <t>INE318A01026</t>
  </si>
  <si>
    <t>PIDILITE INDUSTRIES LTD.</t>
  </si>
  <si>
    <t>CHEMICALS</t>
  </si>
  <si>
    <t>INE028A01013</t>
  </si>
  <si>
    <t>BANK OF BARODA EQTY</t>
  </si>
  <si>
    <t>INE168A01017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</si>
  <si>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</si>
  <si>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</si>
  <si>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</si>
  <si>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</si>
  <si>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</si>
  <si>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</si>
  <si>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</si>
  <si>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</si>
  <si>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</si>
  <si>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</si>
  <si>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</si>
  <si>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</si>
  <si>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</si>
  <si>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INE001A07EX1</t>
  </si>
  <si>
    <t>HOUSING DEVELOPMENT FINANCE CORP LTD **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</si>
  <si>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</si>
  <si>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</si>
  <si>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</si>
  <si>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</si>
  <si>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</si>
  <si>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</si>
  <si>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INE654A16DZ5</t>
  </si>
  <si>
    <t xml:space="preserve">STATE BANK OF TRAVANCORE CD </t>
  </si>
  <si>
    <t>CRISIL - A1+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</si>
  <si>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</si>
  <si>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</si>
  <si>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</si>
  <si>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</si>
  <si>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</si>
  <si>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</si>
  <si>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</si>
  <si>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</si>
  <si>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</si>
  <si>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</si>
  <si>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</si>
  <si>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</si>
  <si>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Chemicals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</si>
  <si>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</si>
  <si>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</si>
  <si>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</si>
  <si>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</si>
  <si>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</si>
  <si>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</si>
  <si>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</si>
  <si>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Oil</t>
  </si>
  <si>
    <t>Petroleum Products</t>
  </si>
  <si>
    <t>Pharmaceuticals</t>
  </si>
  <si>
    <t>Power</t>
  </si>
  <si>
    <t>Software</t>
  </si>
  <si>
    <t>Telecom - Services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</si>
</sst>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Fill="1" applyAlignme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9" fillId="0" borderId="0" xfId="0" applyFont="1" applyFill="1" applyAlignment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2" fontId="0" fillId="0" borderId="0" xfId="0" applyNumberFormat="1" applyAlignment="1"/>
    <xf numFmtId="0" fontId="0" fillId="0" borderId="0" xfId="0" applyFill="1"/>
    <xf numFmtId="2" fontId="0" fillId="0" borderId="0" xfId="0" applyNumberFormat="1"/>
    <xf numFmtId="43" fontId="9" fillId="0" borderId="0" xfId="1" applyFont="1" applyAlignment="1"/>
    <xf numFmtId="43" fontId="4" fillId="0" borderId="0" xfId="2" applyNumberFormat="1" applyFont="1" applyAlignment="1">
      <alignment horizontal="right"/>
    </xf>
    <xf numFmtId="0" fontId="4" fillId="0" borderId="0" xfId="0" applyFont="1" applyAlignment="1"/>
    <xf numFmtId="0" fontId="9" fillId="0" borderId="0" xfId="0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0" fontId="4" fillId="0" borderId="0" xfId="0" applyFont="1" applyAlignment="1"/>
    <xf numFmtId="0" fontId="2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>
      <selection activeCell="E14" sqref="E14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6.7109375" style="1" customWidth="1"/>
    <col min="4" max="4" width="45.5703125" style="1" customWidth="1"/>
    <col min="5" max="5" width="2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16384" width="9.140625" style="1"/>
  </cols>
  <sheetData>
    <row r="1" spans="1:8" ht="21.75">
      <c r="A1" s="46" t="s">
        <v>0</v>
      </c>
      <c r="B1" s="46"/>
      <c r="C1" s="46"/>
      <c r="D1" s="46"/>
      <c r="E1" s="46"/>
      <c r="F1" s="46"/>
      <c r="G1" s="46"/>
      <c r="H1" s="46"/>
    </row>
    <row r="3" spans="1:8">
      <c r="B3" s="2"/>
      <c r="C3" s="2"/>
      <c r="D3" s="2" t="s">
        <v>1</v>
      </c>
    </row>
    <row r="5" spans="1:8" ht="39">
      <c r="A5" s="4"/>
      <c r="B5" s="4" t="s">
        <v>2</v>
      </c>
      <c r="C5" s="5" t="s">
        <v>3</v>
      </c>
      <c r="D5" s="4" t="s">
        <v>4</v>
      </c>
      <c r="E5" s="5" t="s">
        <v>5</v>
      </c>
      <c r="F5" s="6" t="s">
        <v>6</v>
      </c>
      <c r="G5" s="7" t="s">
        <v>7</v>
      </c>
      <c r="H5" s="8" t="s">
        <v>8</v>
      </c>
    </row>
    <row r="6" spans="1:8" s="11" customFormat="1" ht="12.75">
      <c r="A6" s="9"/>
      <c r="B6" s="41" t="s">
        <v>9</v>
      </c>
      <c r="C6" s="41"/>
      <c r="D6" s="41"/>
      <c r="E6" s="10"/>
      <c r="F6" s="10"/>
      <c r="G6" s="10"/>
      <c r="H6" s="10"/>
    </row>
    <row r="7" spans="1:8">
      <c r="A7" s="12"/>
      <c r="B7" s="41" t="s">
        <v>10</v>
      </c>
      <c r="C7" s="41"/>
      <c r="D7" s="41"/>
      <c r="E7" s="13"/>
      <c r="F7" s="13"/>
      <c r="G7" s="13"/>
      <c r="H7" s="13"/>
    </row>
    <row r="8" spans="1:8">
      <c r="A8" s="12"/>
      <c r="B8" s="41" t="s">
        <v>11</v>
      </c>
      <c r="C8" s="41"/>
      <c r="D8" s="41"/>
      <c r="E8" s="13"/>
      <c r="F8" s="13"/>
      <c r="G8" s="13"/>
      <c r="H8" s="13"/>
    </row>
    <row r="9" spans="1:8">
      <c r="A9" s="14"/>
      <c r="B9" t="s">
        <v>12</v>
      </c>
      <c r="C9"/>
      <c r="D9" s="15" t="s">
        <v>13</v>
      </c>
      <c r="E9" s="16" t="s">
        <v>14</v>
      </c>
      <c r="F9" s="17">
        <v>6406</v>
      </c>
      <c r="G9" s="17">
        <v>137.16999999999999</v>
      </c>
      <c r="H9" s="18">
        <v>5.43</v>
      </c>
    </row>
    <row r="10" spans="1:8">
      <c r="A10" s="14"/>
      <c r="B10" t="s">
        <v>15</v>
      </c>
      <c r="C10"/>
      <c r="D10" s="15" t="s">
        <v>16</v>
      </c>
      <c r="E10" s="16" t="s">
        <v>17</v>
      </c>
      <c r="F10" s="17">
        <v>13177</v>
      </c>
      <c r="G10" s="17">
        <v>104.46</v>
      </c>
      <c r="H10" s="18">
        <v>4.13</v>
      </c>
    </row>
    <row r="11" spans="1:8">
      <c r="A11" s="14"/>
      <c r="B11" t="s">
        <v>18</v>
      </c>
      <c r="C11"/>
      <c r="D11" s="15" t="s">
        <v>19</v>
      </c>
      <c r="E11" s="16" t="s">
        <v>20</v>
      </c>
      <c r="F11" s="17">
        <v>10829</v>
      </c>
      <c r="G11" s="17">
        <v>94.95</v>
      </c>
      <c r="H11" s="18">
        <v>3.76</v>
      </c>
    </row>
    <row r="12" spans="1:8">
      <c r="A12" s="14"/>
      <c r="B12" t="s">
        <v>21</v>
      </c>
      <c r="C12"/>
      <c r="D12" s="15" t="s">
        <v>22</v>
      </c>
      <c r="E12" s="16" t="s">
        <v>17</v>
      </c>
      <c r="F12" s="17">
        <v>6407</v>
      </c>
      <c r="G12" s="17">
        <v>90.85</v>
      </c>
      <c r="H12" s="18">
        <v>3.6</v>
      </c>
    </row>
    <row r="13" spans="1:8">
      <c r="A13" s="14"/>
      <c r="B13" t="s">
        <v>23</v>
      </c>
      <c r="C13"/>
      <c r="D13" s="15" t="s">
        <v>24</v>
      </c>
      <c r="E13" s="16" t="s">
        <v>25</v>
      </c>
      <c r="F13" s="17">
        <v>5378</v>
      </c>
      <c r="G13" s="17">
        <v>83.12</v>
      </c>
      <c r="H13" s="18">
        <v>3.29</v>
      </c>
    </row>
    <row r="14" spans="1:8">
      <c r="A14" s="14"/>
      <c r="B14" t="s">
        <v>26</v>
      </c>
      <c r="C14"/>
      <c r="D14" s="15" t="s">
        <v>27</v>
      </c>
      <c r="E14" s="16" t="s">
        <v>28</v>
      </c>
      <c r="F14" s="17">
        <v>3149</v>
      </c>
      <c r="G14" s="17">
        <v>77.489999999999995</v>
      </c>
      <c r="H14" s="18">
        <v>3.07</v>
      </c>
    </row>
    <row r="15" spans="1:8">
      <c r="A15" s="14"/>
      <c r="B15" t="s">
        <v>29</v>
      </c>
      <c r="C15"/>
      <c r="D15" s="15" t="s">
        <v>30</v>
      </c>
      <c r="E15" s="16" t="s">
        <v>28</v>
      </c>
      <c r="F15" s="17">
        <v>12477</v>
      </c>
      <c r="G15" s="17">
        <v>76.19</v>
      </c>
      <c r="H15" s="18">
        <v>3.02</v>
      </c>
    </row>
    <row r="16" spans="1:8">
      <c r="A16" s="14"/>
      <c r="B16" t="s">
        <v>31</v>
      </c>
      <c r="C16"/>
      <c r="D16" s="15" t="s">
        <v>32</v>
      </c>
      <c r="E16" s="16" t="s">
        <v>14</v>
      </c>
      <c r="F16" s="17">
        <v>5286</v>
      </c>
      <c r="G16" s="17">
        <v>74.98</v>
      </c>
      <c r="H16" s="18">
        <v>2.96</v>
      </c>
    </row>
    <row r="17" spans="1:8">
      <c r="A17" s="14"/>
      <c r="B17" t="s">
        <v>33</v>
      </c>
      <c r="C17"/>
      <c r="D17" s="15" t="s">
        <v>34</v>
      </c>
      <c r="E17" s="16" t="s">
        <v>14</v>
      </c>
      <c r="F17" s="17">
        <v>3793</v>
      </c>
      <c r="G17" s="17">
        <v>72.94</v>
      </c>
      <c r="H17" s="18">
        <v>2.89</v>
      </c>
    </row>
    <row r="18" spans="1:8">
      <c r="A18" s="19"/>
      <c r="B18" t="s">
        <v>35</v>
      </c>
      <c r="C18"/>
      <c r="D18" s="15" t="s">
        <v>36</v>
      </c>
      <c r="E18" s="16" t="s">
        <v>17</v>
      </c>
      <c r="F18" s="17">
        <v>3907</v>
      </c>
      <c r="G18" s="17">
        <v>71.739999999999995</v>
      </c>
      <c r="H18" s="18">
        <v>2.84</v>
      </c>
    </row>
    <row r="19" spans="1:8">
      <c r="A19" s="20"/>
      <c r="B19" t="s">
        <v>37</v>
      </c>
      <c r="C19"/>
      <c r="D19" s="15" t="s">
        <v>38</v>
      </c>
      <c r="E19" s="16" t="s">
        <v>39</v>
      </c>
      <c r="F19" s="17">
        <v>2885</v>
      </c>
      <c r="G19" s="17">
        <v>65.540000000000006</v>
      </c>
      <c r="H19" s="18">
        <v>2.59</v>
      </c>
    </row>
    <row r="20" spans="1:8">
      <c r="A20" s="14"/>
      <c r="B20" t="s">
        <v>40</v>
      </c>
      <c r="C20"/>
      <c r="D20" s="15" t="s">
        <v>41</v>
      </c>
      <c r="E20" s="16" t="s">
        <v>42</v>
      </c>
      <c r="F20" s="17">
        <v>5200</v>
      </c>
      <c r="G20" s="17">
        <v>55.36</v>
      </c>
      <c r="H20" s="18">
        <v>2.19</v>
      </c>
    </row>
    <row r="21" spans="1:8">
      <c r="A21" s="20"/>
      <c r="B21" t="s">
        <v>43</v>
      </c>
      <c r="C21"/>
      <c r="D21" s="15" t="s">
        <v>44</v>
      </c>
      <c r="E21" s="16" t="s">
        <v>45</v>
      </c>
      <c r="F21" s="17">
        <v>15928</v>
      </c>
      <c r="G21" s="17">
        <v>54.43</v>
      </c>
      <c r="H21" s="18">
        <v>2.15</v>
      </c>
    </row>
    <row r="22" spans="1:8">
      <c r="A22" s="20"/>
      <c r="B22" t="s">
        <v>46</v>
      </c>
      <c r="C22"/>
      <c r="D22" s="15" t="s">
        <v>47</v>
      </c>
      <c r="E22" s="16" t="s">
        <v>39</v>
      </c>
      <c r="F22" s="17">
        <v>3673</v>
      </c>
      <c r="G22" s="17">
        <v>45.38</v>
      </c>
      <c r="H22" s="18">
        <v>1.8</v>
      </c>
    </row>
    <row r="23" spans="1:8">
      <c r="A23" s="20"/>
      <c r="B23" t="s">
        <v>48</v>
      </c>
      <c r="C23"/>
      <c r="D23" s="15" t="s">
        <v>49</v>
      </c>
      <c r="E23" s="16" t="s">
        <v>50</v>
      </c>
      <c r="F23" s="17">
        <v>1852</v>
      </c>
      <c r="G23" s="17">
        <v>44.12</v>
      </c>
      <c r="H23" s="18">
        <v>1.75</v>
      </c>
    </row>
    <row r="24" spans="1:8">
      <c r="A24" s="20"/>
      <c r="B24" t="s">
        <v>51</v>
      </c>
      <c r="C24"/>
      <c r="D24" s="15" t="s">
        <v>52</v>
      </c>
      <c r="E24" s="16" t="s">
        <v>53</v>
      </c>
      <c r="F24" s="17">
        <v>11301</v>
      </c>
      <c r="G24" s="17">
        <v>42.73</v>
      </c>
      <c r="H24" s="18">
        <v>1.69</v>
      </c>
    </row>
    <row r="25" spans="1:8">
      <c r="A25" s="20"/>
      <c r="B25" t="s">
        <v>54</v>
      </c>
      <c r="C25"/>
      <c r="D25" s="15" t="s">
        <v>55</v>
      </c>
      <c r="E25" s="16" t="s">
        <v>56</v>
      </c>
      <c r="F25" s="17">
        <v>29766</v>
      </c>
      <c r="G25" s="17">
        <v>41.03</v>
      </c>
      <c r="H25" s="18">
        <v>1.62</v>
      </c>
    </row>
    <row r="26" spans="1:8">
      <c r="A26" s="20"/>
      <c r="B26" t="s">
        <v>57</v>
      </c>
      <c r="C26"/>
      <c r="D26" s="21" t="s">
        <v>58</v>
      </c>
      <c r="E26" s="16" t="s">
        <v>45</v>
      </c>
      <c r="F26" s="17">
        <v>26335</v>
      </c>
      <c r="G26" s="17">
        <v>39.270000000000003</v>
      </c>
      <c r="H26" s="18">
        <v>1.55</v>
      </c>
    </row>
    <row r="27" spans="1:8">
      <c r="A27" s="20"/>
      <c r="B27" t="s">
        <v>59</v>
      </c>
      <c r="C27"/>
      <c r="D27" s="15" t="s">
        <v>60</v>
      </c>
      <c r="E27" s="16" t="s">
        <v>42</v>
      </c>
      <c r="F27" s="17">
        <v>7154</v>
      </c>
      <c r="G27" s="17">
        <v>37.340000000000003</v>
      </c>
      <c r="H27" s="18">
        <v>1.48</v>
      </c>
    </row>
    <row r="28" spans="1:8">
      <c r="A28" s="20"/>
      <c r="B28" t="s">
        <v>61</v>
      </c>
      <c r="C28"/>
      <c r="D28" s="15" t="s">
        <v>62</v>
      </c>
      <c r="E28" s="16" t="s">
        <v>63</v>
      </c>
      <c r="F28" s="17">
        <v>7276</v>
      </c>
      <c r="G28" s="17">
        <v>34.57</v>
      </c>
      <c r="H28" s="18">
        <v>1.37</v>
      </c>
    </row>
    <row r="29" spans="1:8">
      <c r="A29" s="20"/>
      <c r="B29" t="s">
        <v>64</v>
      </c>
      <c r="C29"/>
      <c r="D29" s="21" t="s">
        <v>65</v>
      </c>
      <c r="E29" s="16" t="s">
        <v>28</v>
      </c>
      <c r="F29" s="17">
        <v>3544</v>
      </c>
      <c r="G29" s="17">
        <v>33.17</v>
      </c>
      <c r="H29" s="18">
        <v>1.31</v>
      </c>
    </row>
    <row r="30" spans="1:8">
      <c r="A30" s="20"/>
      <c r="B30" t="s">
        <v>66</v>
      </c>
      <c r="C30"/>
      <c r="D30" s="15" t="s">
        <v>67</v>
      </c>
      <c r="E30" s="16" t="s">
        <v>39</v>
      </c>
      <c r="F30" s="17">
        <v>1500</v>
      </c>
      <c r="G30" s="17">
        <v>29.16</v>
      </c>
      <c r="H30" s="18">
        <v>1.1499999999999999</v>
      </c>
    </row>
    <row r="31" spans="1:8">
      <c r="A31" s="20"/>
      <c r="B31" t="s">
        <v>68</v>
      </c>
      <c r="C31"/>
      <c r="D31" s="15" t="s">
        <v>69</v>
      </c>
      <c r="E31" s="16" t="s">
        <v>14</v>
      </c>
      <c r="F31" s="17">
        <v>947</v>
      </c>
      <c r="G31" s="17">
        <v>27.84</v>
      </c>
      <c r="H31" s="18">
        <v>1.1000000000000001</v>
      </c>
    </row>
    <row r="32" spans="1:8">
      <c r="A32" s="20"/>
      <c r="B32" t="s">
        <v>70</v>
      </c>
      <c r="C32"/>
      <c r="D32" s="15" t="s">
        <v>71</v>
      </c>
      <c r="E32" s="16" t="s">
        <v>17</v>
      </c>
      <c r="F32" s="17">
        <v>1069</v>
      </c>
      <c r="G32" s="17">
        <v>27.18</v>
      </c>
      <c r="H32" s="18">
        <v>1.08</v>
      </c>
    </row>
    <row r="33" spans="1:8">
      <c r="A33" s="20"/>
      <c r="B33" t="s">
        <v>72</v>
      </c>
      <c r="C33"/>
      <c r="D33" s="15" t="s">
        <v>73</v>
      </c>
      <c r="E33" s="16" t="s">
        <v>45</v>
      </c>
      <c r="F33" s="17">
        <v>5120</v>
      </c>
      <c r="G33" s="17">
        <v>25.99</v>
      </c>
      <c r="H33" s="18">
        <v>1.03</v>
      </c>
    </row>
    <row r="34" spans="1:8">
      <c r="A34" s="20"/>
      <c r="B34" t="s">
        <v>74</v>
      </c>
      <c r="C34"/>
      <c r="D34" s="15" t="s">
        <v>75</v>
      </c>
      <c r="E34" s="16" t="s">
        <v>50</v>
      </c>
      <c r="F34" s="17">
        <v>310</v>
      </c>
      <c r="G34" s="17">
        <v>21.24</v>
      </c>
      <c r="H34" s="18">
        <v>0.84</v>
      </c>
    </row>
    <row r="35" spans="1:8">
      <c r="A35" s="20"/>
      <c r="B35" t="s">
        <v>76</v>
      </c>
      <c r="C35"/>
      <c r="D35" s="15" t="s">
        <v>77</v>
      </c>
      <c r="E35" s="16" t="s">
        <v>39</v>
      </c>
      <c r="F35" s="17">
        <v>294</v>
      </c>
      <c r="G35" s="17">
        <v>19.63</v>
      </c>
      <c r="H35" s="18">
        <v>0.78</v>
      </c>
    </row>
    <row r="36" spans="1:8">
      <c r="A36" s="20"/>
      <c r="B36" t="s">
        <v>78</v>
      </c>
      <c r="C36"/>
      <c r="D36" s="15" t="s">
        <v>79</v>
      </c>
      <c r="E36" s="16" t="s">
        <v>80</v>
      </c>
      <c r="F36" s="17">
        <v>2145</v>
      </c>
      <c r="G36" s="17">
        <v>19.47</v>
      </c>
      <c r="H36" s="18">
        <v>0.77</v>
      </c>
    </row>
    <row r="37" spans="1:8">
      <c r="A37" s="20"/>
      <c r="B37" t="s">
        <v>81</v>
      </c>
      <c r="C37"/>
      <c r="D37" s="15" t="s">
        <v>82</v>
      </c>
      <c r="E37" s="16" t="s">
        <v>45</v>
      </c>
      <c r="F37" s="17">
        <v>7262</v>
      </c>
      <c r="G37" s="17">
        <v>17.97</v>
      </c>
      <c r="H37" s="18">
        <v>0.71</v>
      </c>
    </row>
    <row r="38" spans="1:8">
      <c r="A38" s="20"/>
      <c r="B38" t="s">
        <v>83</v>
      </c>
      <c r="C38"/>
      <c r="D38" s="15" t="s">
        <v>84</v>
      </c>
      <c r="E38" s="16" t="s">
        <v>85</v>
      </c>
      <c r="F38" s="17">
        <v>4302</v>
      </c>
      <c r="G38" s="17">
        <v>17.52</v>
      </c>
      <c r="H38" s="18">
        <v>0.69</v>
      </c>
    </row>
    <row r="39" spans="1:8">
      <c r="A39" s="20"/>
      <c r="B39" t="s">
        <v>86</v>
      </c>
      <c r="C39"/>
      <c r="D39" s="15" t="s">
        <v>87</v>
      </c>
      <c r="E39" s="16" t="s">
        <v>45</v>
      </c>
      <c r="F39" s="17">
        <v>1843</v>
      </c>
      <c r="G39" s="17">
        <v>16.239999999999998</v>
      </c>
      <c r="H39" s="18">
        <v>0.64</v>
      </c>
    </row>
    <row r="40" spans="1:8">
      <c r="A40" s="20"/>
      <c r="B40" t="s">
        <v>88</v>
      </c>
      <c r="C40"/>
      <c r="D40" s="15" t="s">
        <v>89</v>
      </c>
      <c r="E40" s="16" t="s">
        <v>90</v>
      </c>
      <c r="F40" s="17">
        <v>9435</v>
      </c>
      <c r="G40" s="17">
        <v>15.14</v>
      </c>
      <c r="H40" s="18">
        <v>0.6</v>
      </c>
    </row>
    <row r="41" spans="1:8">
      <c r="A41" s="20"/>
      <c r="B41" t="s">
        <v>91</v>
      </c>
      <c r="C41"/>
      <c r="D41" s="15" t="s">
        <v>92</v>
      </c>
      <c r="E41" s="16" t="s">
        <v>90</v>
      </c>
      <c r="F41" s="17">
        <v>11627</v>
      </c>
      <c r="G41" s="17">
        <v>14.18</v>
      </c>
      <c r="H41" s="18">
        <v>0.56000000000000005</v>
      </c>
    </row>
    <row r="42" spans="1:8">
      <c r="A42" s="20"/>
      <c r="B42" t="s">
        <v>93</v>
      </c>
      <c r="C42"/>
      <c r="D42" s="15" t="s">
        <v>94</v>
      </c>
      <c r="E42" s="16" t="s">
        <v>53</v>
      </c>
      <c r="F42" s="17">
        <v>2401</v>
      </c>
      <c r="G42" s="17">
        <v>13.69</v>
      </c>
      <c r="H42" s="18">
        <v>0.54</v>
      </c>
    </row>
    <row r="43" spans="1:8">
      <c r="A43" s="20"/>
      <c r="B43" t="s">
        <v>95</v>
      </c>
      <c r="C43"/>
      <c r="D43" s="15" t="s">
        <v>96</v>
      </c>
      <c r="E43" s="16" t="s">
        <v>97</v>
      </c>
      <c r="F43" s="17">
        <v>1105</v>
      </c>
      <c r="G43" s="17">
        <v>12.79</v>
      </c>
      <c r="H43" s="18">
        <v>0.51</v>
      </c>
    </row>
    <row r="44" spans="1:8">
      <c r="A44" s="20"/>
      <c r="B44" t="s">
        <v>98</v>
      </c>
      <c r="C44"/>
      <c r="D44" s="15" t="s">
        <v>99</v>
      </c>
      <c r="E44" s="16" t="s">
        <v>28</v>
      </c>
      <c r="F44" s="17">
        <v>1499</v>
      </c>
      <c r="G44" s="17">
        <v>11.82</v>
      </c>
      <c r="H44" s="18">
        <v>0.47</v>
      </c>
    </row>
    <row r="45" spans="1:8">
      <c r="A45" s="20"/>
      <c r="B45" t="s">
        <v>100</v>
      </c>
      <c r="C45"/>
      <c r="D45" s="15" t="s">
        <v>101</v>
      </c>
      <c r="E45" s="16" t="s">
        <v>102</v>
      </c>
      <c r="F45" s="17">
        <v>3058</v>
      </c>
      <c r="G45" s="17">
        <v>11.55</v>
      </c>
      <c r="H45" s="18">
        <v>0.46</v>
      </c>
    </row>
    <row r="46" spans="1:8">
      <c r="A46" s="20"/>
      <c r="B46" t="s">
        <v>103</v>
      </c>
      <c r="C46"/>
      <c r="D46" s="15" t="s">
        <v>104</v>
      </c>
      <c r="E46" s="16" t="s">
        <v>17</v>
      </c>
      <c r="F46" s="17">
        <v>1612</v>
      </c>
      <c r="G46" s="17">
        <v>10.14</v>
      </c>
      <c r="H46" s="18">
        <v>0.4</v>
      </c>
    </row>
    <row r="47" spans="1:8">
      <c r="A47" s="20"/>
      <c r="B47" t="s">
        <v>105</v>
      </c>
      <c r="C47"/>
      <c r="D47" s="15" t="s">
        <v>106</v>
      </c>
      <c r="E47" s="16" t="s">
        <v>17</v>
      </c>
      <c r="F47" s="17">
        <v>1785</v>
      </c>
      <c r="G47" s="17">
        <v>9.5299999999999994</v>
      </c>
      <c r="H47" s="18">
        <v>0.38</v>
      </c>
    </row>
    <row r="48" spans="1:8">
      <c r="A48" s="20"/>
      <c r="B48" t="s">
        <v>107</v>
      </c>
      <c r="C48"/>
      <c r="D48" s="15" t="s">
        <v>108</v>
      </c>
      <c r="E48" s="16" t="s">
        <v>28</v>
      </c>
      <c r="F48" s="17">
        <v>1224</v>
      </c>
      <c r="G48" s="17">
        <v>9.25</v>
      </c>
      <c r="H48" s="18">
        <v>0.37</v>
      </c>
    </row>
    <row r="49" spans="1:8">
      <c r="A49" s="20"/>
      <c r="B49" t="s">
        <v>109</v>
      </c>
      <c r="C49"/>
      <c r="D49" s="15" t="s">
        <v>110</v>
      </c>
      <c r="E49" s="16" t="s">
        <v>17</v>
      </c>
      <c r="F49" s="17">
        <v>839</v>
      </c>
      <c r="G49" s="17">
        <v>7.29</v>
      </c>
      <c r="H49" s="18">
        <v>0.28999999999999998</v>
      </c>
    </row>
    <row r="50" spans="1:8">
      <c r="A50" s="20"/>
      <c r="B50" t="s">
        <v>111</v>
      </c>
      <c r="C50"/>
      <c r="D50" s="15" t="s">
        <v>112</v>
      </c>
      <c r="E50" s="16" t="s">
        <v>20</v>
      </c>
      <c r="F50" s="17">
        <v>5281</v>
      </c>
      <c r="G50" s="17">
        <v>6.67</v>
      </c>
      <c r="H50" s="18">
        <v>0.26</v>
      </c>
    </row>
    <row r="51" spans="1:8">
      <c r="A51" s="20"/>
      <c r="B51" t="s">
        <v>113</v>
      </c>
      <c r="C51"/>
      <c r="D51" s="15" t="s">
        <v>114</v>
      </c>
      <c r="E51" s="16" t="s">
        <v>85</v>
      </c>
      <c r="F51" s="17">
        <v>1101</v>
      </c>
      <c r="G51" s="17">
        <v>6.19</v>
      </c>
      <c r="H51" s="18">
        <v>0.24</v>
      </c>
    </row>
    <row r="52" spans="1:8">
      <c r="A52" s="20"/>
      <c r="B52" t="s">
        <v>115</v>
      </c>
      <c r="D52" s="15" t="s">
        <v>116</v>
      </c>
      <c r="E52" s="16" t="s">
        <v>20</v>
      </c>
      <c r="F52" s="17">
        <v>1846</v>
      </c>
      <c r="G52" s="17">
        <v>5.88</v>
      </c>
      <c r="H52" s="18">
        <v>0.23</v>
      </c>
    </row>
    <row r="53" spans="1:8">
      <c r="A53" s="20"/>
      <c r="B53" t="s">
        <v>117</v>
      </c>
      <c r="D53" s="15" t="s">
        <v>118</v>
      </c>
      <c r="E53" s="16" t="s">
        <v>119</v>
      </c>
      <c r="F53" s="17">
        <v>1558</v>
      </c>
      <c r="G53" s="17">
        <v>4.72</v>
      </c>
      <c r="H53" s="18">
        <v>0.19</v>
      </c>
    </row>
    <row r="54" spans="1:8">
      <c r="A54" s="20"/>
      <c r="B54" t="s">
        <v>120</v>
      </c>
      <c r="D54" s="15" t="s">
        <v>121</v>
      </c>
      <c r="E54" s="16" t="s">
        <v>17</v>
      </c>
      <c r="F54" s="17">
        <v>318</v>
      </c>
      <c r="G54" s="17">
        <v>2.68</v>
      </c>
      <c r="H54" s="18">
        <v>0.11</v>
      </c>
    </row>
    <row r="55" spans="1:8">
      <c r="A55" s="20"/>
      <c r="B55" t="s">
        <v>122</v>
      </c>
      <c r="D55" s="15" t="s">
        <v>123</v>
      </c>
      <c r="E55" s="16" t="s">
        <v>17</v>
      </c>
      <c r="F55" s="17">
        <v>20</v>
      </c>
      <c r="G55" s="17">
        <v>0.3</v>
      </c>
      <c r="H55" s="18">
        <v>0.01</v>
      </c>
    </row>
    <row r="56" spans="1:8">
      <c r="A56" s="22"/>
      <c r="B56" s="23" t="s">
        <v>124</v>
      </c>
      <c r="C56" s="23"/>
      <c r="D56" s="22"/>
      <c r="E56" s="13"/>
      <c r="F56" s="13"/>
      <c r="G56" s="24">
        <f>SUM(G9:G55)</f>
        <v>1740.8900000000006</v>
      </c>
      <c r="H56" s="24">
        <f>SUM(H9:H55)</f>
        <v>68.900000000000006</v>
      </c>
    </row>
    <row r="57" spans="1:8" s="11" customFormat="1" ht="12.75">
      <c r="A57" s="25"/>
      <c r="B57" s="45" t="s">
        <v>125</v>
      </c>
      <c r="C57" s="45"/>
      <c r="D57" s="45"/>
      <c r="E57" s="26"/>
      <c r="F57" s="27"/>
      <c r="G57" s="27" t="s">
        <v>126</v>
      </c>
      <c r="H57" s="27" t="s">
        <v>126</v>
      </c>
    </row>
    <row r="58" spans="1:8">
      <c r="A58" s="22"/>
      <c r="B58" s="23" t="s">
        <v>124</v>
      </c>
      <c r="C58" s="23"/>
      <c r="D58" s="22"/>
      <c r="E58" s="13"/>
      <c r="F58" s="13"/>
      <c r="G58" s="10">
        <v>0</v>
      </c>
      <c r="H58" s="10">
        <v>0</v>
      </c>
    </row>
    <row r="59" spans="1:8">
      <c r="A59" s="22"/>
      <c r="B59" s="23" t="s">
        <v>127</v>
      </c>
      <c r="C59" s="23"/>
      <c r="D59" s="22"/>
      <c r="E59" s="13"/>
      <c r="F59" s="13"/>
      <c r="G59" s="10">
        <f>+G56</f>
        <v>1740.8900000000006</v>
      </c>
      <c r="H59" s="10">
        <f>+H56</f>
        <v>68.900000000000006</v>
      </c>
    </row>
    <row r="60" spans="1:8">
      <c r="A60" s="12"/>
      <c r="B60" s="41" t="s">
        <v>128</v>
      </c>
      <c r="C60" s="41"/>
      <c r="D60" s="41"/>
      <c r="E60" s="13"/>
      <c r="F60" s="13"/>
      <c r="G60" s="13"/>
      <c r="H60" s="13"/>
    </row>
    <row r="61" spans="1:8">
      <c r="A61" s="12"/>
      <c r="B61" s="41" t="s">
        <v>129</v>
      </c>
      <c r="C61" s="41"/>
      <c r="D61" s="41"/>
      <c r="E61" s="13"/>
      <c r="F61" s="13"/>
      <c r="G61" s="27" t="s">
        <v>126</v>
      </c>
      <c r="H61" s="27" t="s">
        <v>126</v>
      </c>
    </row>
    <row r="62" spans="1:8">
      <c r="A62" s="22"/>
      <c r="B62" s="23" t="s">
        <v>124</v>
      </c>
      <c r="C62" s="23"/>
      <c r="D62" s="22"/>
      <c r="E62" s="13"/>
      <c r="F62" s="13"/>
      <c r="G62" s="10">
        <v>0</v>
      </c>
      <c r="H62" s="10">
        <v>0</v>
      </c>
    </row>
    <row r="63" spans="1:8">
      <c r="A63" s="12"/>
      <c r="B63" s="41" t="s">
        <v>130</v>
      </c>
      <c r="C63" s="41"/>
      <c r="D63" s="41"/>
      <c r="E63" s="13"/>
      <c r="F63" s="13"/>
      <c r="G63" s="27" t="s">
        <v>126</v>
      </c>
      <c r="H63" s="27" t="s">
        <v>126</v>
      </c>
    </row>
    <row r="64" spans="1:8">
      <c r="A64" s="22"/>
      <c r="B64" s="23" t="s">
        <v>124</v>
      </c>
      <c r="C64" s="23"/>
      <c r="D64" s="22"/>
      <c r="E64" s="13"/>
      <c r="F64" s="13"/>
      <c r="G64" s="10">
        <v>0</v>
      </c>
      <c r="H64" s="10">
        <v>0</v>
      </c>
    </row>
    <row r="65" spans="1:8" s="11" customFormat="1" ht="12.75">
      <c r="A65" s="25"/>
      <c r="B65" s="45" t="s">
        <v>131</v>
      </c>
      <c r="C65" s="45"/>
      <c r="D65" s="45"/>
      <c r="E65" s="26"/>
      <c r="F65" s="27"/>
      <c r="G65" s="27" t="s">
        <v>126</v>
      </c>
      <c r="H65" s="27" t="s">
        <v>126</v>
      </c>
    </row>
    <row r="66" spans="1:8">
      <c r="A66" s="22"/>
      <c r="B66" s="23" t="s">
        <v>124</v>
      </c>
      <c r="C66" s="23"/>
      <c r="D66" s="22"/>
      <c r="E66" s="13"/>
      <c r="F66" s="13"/>
      <c r="G66" s="10">
        <v>0</v>
      </c>
      <c r="H66" s="10">
        <v>0</v>
      </c>
    </row>
    <row r="67" spans="1:8">
      <c r="A67" s="12"/>
      <c r="B67" s="41" t="s">
        <v>132</v>
      </c>
      <c r="C67" s="41"/>
      <c r="D67" s="41"/>
      <c r="E67" s="13"/>
      <c r="F67" s="13"/>
      <c r="G67" s="13"/>
      <c r="H67" s="13"/>
    </row>
    <row r="68" spans="1:8">
      <c r="A68" s="12"/>
      <c r="B68" s="41" t="s">
        <v>130</v>
      </c>
      <c r="C68" s="41"/>
      <c r="D68" s="41"/>
      <c r="E68" s="13"/>
      <c r="F68" s="13"/>
      <c r="G68" s="27"/>
      <c r="H68" s="27"/>
    </row>
    <row r="69" spans="1:8">
      <c r="A69" s="12"/>
      <c r="B69" t="s">
        <v>133</v>
      </c>
      <c r="C69" s="1">
        <v>9.74</v>
      </c>
      <c r="D69" t="s">
        <v>134</v>
      </c>
      <c r="E69" s="28" t="s">
        <v>135</v>
      </c>
      <c r="F69" s="17">
        <v>2</v>
      </c>
      <c r="G69" s="29">
        <v>20.329999999999998</v>
      </c>
      <c r="H69" s="18">
        <v>0.8</v>
      </c>
    </row>
    <row r="70" spans="1:8">
      <c r="A70" s="12"/>
      <c r="B70" t="s">
        <v>136</v>
      </c>
      <c r="C70" s="29">
        <v>8.4</v>
      </c>
      <c r="D70" t="s">
        <v>137</v>
      </c>
      <c r="E70" s="28" t="s">
        <v>135</v>
      </c>
      <c r="F70" s="17">
        <v>25</v>
      </c>
      <c r="G70" s="29">
        <v>249</v>
      </c>
      <c r="H70" s="18">
        <v>9.86</v>
      </c>
    </row>
    <row r="71" spans="1:8">
      <c r="A71" s="12"/>
      <c r="B71" t="s">
        <v>138</v>
      </c>
      <c r="C71" s="1">
        <v>9.39</v>
      </c>
      <c r="D71" t="s">
        <v>139</v>
      </c>
      <c r="E71" s="28" t="s">
        <v>135</v>
      </c>
      <c r="F71" s="17">
        <v>7</v>
      </c>
      <c r="G71" s="29">
        <v>70.12</v>
      </c>
      <c r="H71" s="18">
        <v>2.78</v>
      </c>
    </row>
    <row r="72" spans="1:8">
      <c r="A72" s="22"/>
      <c r="B72" s="23" t="s">
        <v>124</v>
      </c>
      <c r="C72" s="23"/>
      <c r="D72" s="22"/>
      <c r="E72" s="13"/>
      <c r="F72" s="13"/>
      <c r="G72" s="10">
        <f>SUM(G69:G71)</f>
        <v>339.45</v>
      </c>
      <c r="H72" s="10">
        <f>SUM(H69:H71)</f>
        <v>13.44</v>
      </c>
    </row>
    <row r="73" spans="1:8" s="11" customFormat="1" ht="12.75">
      <c r="A73" s="25"/>
      <c r="B73" s="45" t="s">
        <v>131</v>
      </c>
      <c r="C73" s="45"/>
      <c r="D73" s="45"/>
      <c r="E73" s="26"/>
      <c r="F73" s="27"/>
      <c r="G73" s="27" t="s">
        <v>126</v>
      </c>
      <c r="H73" s="27" t="s">
        <v>126</v>
      </c>
    </row>
    <row r="74" spans="1:8">
      <c r="A74" s="22"/>
      <c r="B74" s="23" t="s">
        <v>124</v>
      </c>
      <c r="C74" s="23"/>
      <c r="D74" s="22"/>
      <c r="E74" s="13"/>
      <c r="F74" s="13"/>
      <c r="G74" s="10">
        <v>0</v>
      </c>
      <c r="H74" s="10">
        <v>0</v>
      </c>
    </row>
    <row r="75" spans="1:8">
      <c r="A75" s="12"/>
      <c r="B75" s="41" t="s">
        <v>140</v>
      </c>
      <c r="C75" s="41"/>
      <c r="D75" s="41"/>
      <c r="E75" s="13"/>
      <c r="F75" s="13"/>
      <c r="G75" s="13"/>
      <c r="H75" s="13"/>
    </row>
    <row r="76" spans="1:8">
      <c r="A76" s="22"/>
      <c r="B76" s="23" t="s">
        <v>124</v>
      </c>
      <c r="C76" s="23"/>
      <c r="D76" s="22"/>
      <c r="E76" s="13"/>
      <c r="F76" s="13"/>
      <c r="G76" s="10">
        <v>0</v>
      </c>
      <c r="H76" s="10">
        <v>0</v>
      </c>
    </row>
    <row r="77" spans="1:8">
      <c r="A77" s="22"/>
      <c r="B77" s="23" t="s">
        <v>127</v>
      </c>
      <c r="C77" s="23"/>
      <c r="D77" s="22"/>
      <c r="E77" s="13"/>
      <c r="F77" s="13"/>
      <c r="G77" s="10">
        <f>+G72</f>
        <v>339.45</v>
      </c>
      <c r="H77" s="10">
        <f>+H72</f>
        <v>13.44</v>
      </c>
    </row>
    <row r="78" spans="1:8">
      <c r="A78" s="12"/>
      <c r="B78" s="41" t="s">
        <v>141</v>
      </c>
      <c r="C78" s="41"/>
      <c r="D78" s="41"/>
      <c r="E78" s="13"/>
      <c r="F78" s="13"/>
      <c r="G78" s="13"/>
      <c r="H78" s="13"/>
    </row>
    <row r="79" spans="1:8" s="11" customFormat="1" ht="12.75">
      <c r="A79" s="25"/>
      <c r="B79" s="45" t="s">
        <v>142</v>
      </c>
      <c r="C79" s="45"/>
      <c r="D79" s="45"/>
      <c r="E79" s="26"/>
      <c r="F79" s="27"/>
      <c r="G79" s="27" t="s">
        <v>126</v>
      </c>
      <c r="H79" s="27" t="s">
        <v>126</v>
      </c>
    </row>
    <row r="80" spans="1:8">
      <c r="A80" s="22"/>
      <c r="B80" s="23" t="s">
        <v>124</v>
      </c>
      <c r="C80" s="23"/>
      <c r="D80" s="22"/>
      <c r="E80" s="13"/>
      <c r="F80" s="13"/>
      <c r="G80" s="10">
        <v>0</v>
      </c>
      <c r="H80" s="10">
        <v>0</v>
      </c>
    </row>
    <row r="81" spans="1:9" s="11" customFormat="1" ht="12.75">
      <c r="A81" s="25"/>
      <c r="B81" s="45" t="s">
        <v>143</v>
      </c>
      <c r="C81" s="45"/>
      <c r="D81" s="45"/>
      <c r="E81" s="26"/>
      <c r="F81" s="27"/>
      <c r="G81" s="27"/>
      <c r="H81" s="27"/>
    </row>
    <row r="82" spans="1:9" s="11" customFormat="1">
      <c r="A82" s="25"/>
      <c r="B82" t="s">
        <v>144</v>
      </c>
      <c r="D82" s="30" t="s">
        <v>145</v>
      </c>
      <c r="E82" s="28" t="s">
        <v>146</v>
      </c>
      <c r="F82" s="17">
        <v>200</v>
      </c>
      <c r="G82" s="31">
        <v>194.86</v>
      </c>
      <c r="H82" s="17">
        <v>7.71</v>
      </c>
    </row>
    <row r="83" spans="1:9">
      <c r="A83" s="22"/>
      <c r="B83" s="23" t="s">
        <v>124</v>
      </c>
      <c r="C83" s="23"/>
      <c r="D83" s="22"/>
      <c r="E83" s="13"/>
      <c r="F83" s="13"/>
      <c r="G83" s="10">
        <f>SUM(G82)</f>
        <v>194.86</v>
      </c>
      <c r="H83" s="10">
        <f>SUM(H82)</f>
        <v>7.71</v>
      </c>
    </row>
    <row r="84" spans="1:9" s="11" customFormat="1" ht="12.75">
      <c r="A84" s="25"/>
      <c r="B84" s="45" t="s">
        <v>147</v>
      </c>
      <c r="C84" s="45"/>
      <c r="D84" s="45"/>
      <c r="E84" s="26"/>
      <c r="F84" s="27"/>
      <c r="G84" s="27" t="s">
        <v>126</v>
      </c>
      <c r="H84" s="27" t="s">
        <v>126</v>
      </c>
    </row>
    <row r="85" spans="1:9">
      <c r="A85" s="22"/>
      <c r="B85" s="23" t="s">
        <v>124</v>
      </c>
      <c r="C85" s="23"/>
      <c r="D85" s="22"/>
      <c r="E85" s="13"/>
      <c r="F85" s="13"/>
      <c r="G85" s="10">
        <v>0</v>
      </c>
      <c r="H85" s="10">
        <v>0</v>
      </c>
    </row>
    <row r="86" spans="1:9" s="11" customFormat="1" ht="12.75">
      <c r="A86" s="25"/>
      <c r="B86" s="45" t="s">
        <v>148</v>
      </c>
      <c r="C86" s="45"/>
      <c r="D86" s="45"/>
      <c r="E86" s="26"/>
      <c r="F86" s="27"/>
      <c r="G86" s="27" t="s">
        <v>126</v>
      </c>
      <c r="H86" s="27" t="s">
        <v>126</v>
      </c>
    </row>
    <row r="87" spans="1:9">
      <c r="A87" s="22"/>
      <c r="B87" s="23" t="s">
        <v>124</v>
      </c>
      <c r="C87" s="23"/>
      <c r="D87" s="22"/>
      <c r="E87" s="13"/>
      <c r="F87" s="13"/>
      <c r="G87" s="10">
        <v>0</v>
      </c>
      <c r="H87" s="10">
        <v>0</v>
      </c>
    </row>
    <row r="88" spans="1:9">
      <c r="A88" s="22"/>
      <c r="B88" s="23" t="s">
        <v>127</v>
      </c>
      <c r="C88" s="23"/>
      <c r="D88" s="22"/>
      <c r="E88" s="13"/>
      <c r="F88" s="13"/>
      <c r="G88" s="10">
        <f>+G83+G85+G87</f>
        <v>194.86</v>
      </c>
      <c r="H88" s="10">
        <f>+H83+H85+H87</f>
        <v>7.71</v>
      </c>
    </row>
    <row r="89" spans="1:9">
      <c r="A89" s="12"/>
      <c r="B89" s="41" t="s">
        <v>149</v>
      </c>
      <c r="C89" s="41"/>
      <c r="D89" s="41"/>
      <c r="E89" s="13"/>
      <c r="F89" s="13"/>
      <c r="G89" s="27"/>
      <c r="H89" s="17"/>
    </row>
    <row r="90" spans="1:9">
      <c r="A90" s="12"/>
      <c r="B90" s="23" t="s">
        <v>150</v>
      </c>
      <c r="C90" s="23"/>
      <c r="D90" s="23"/>
      <c r="E90" s="13"/>
      <c r="F90" s="13"/>
      <c r="G90" s="17">
        <v>251.27</v>
      </c>
      <c r="H90" s="32">
        <v>9.9499999999999993</v>
      </c>
    </row>
    <row r="91" spans="1:9">
      <c r="A91" s="22"/>
      <c r="B91" s="23" t="s">
        <v>124</v>
      </c>
      <c r="C91" s="23"/>
      <c r="D91" s="22"/>
      <c r="E91" s="13"/>
      <c r="F91" s="13"/>
      <c r="G91" s="27">
        <f>+G90</f>
        <v>251.27</v>
      </c>
      <c r="H91" s="33">
        <f>+H90</f>
        <v>9.9499999999999993</v>
      </c>
    </row>
    <row r="92" spans="1:9">
      <c r="A92" s="22"/>
      <c r="B92" s="23" t="s">
        <v>127</v>
      </c>
      <c r="C92" s="23"/>
      <c r="D92" s="22"/>
      <c r="E92" s="13"/>
      <c r="F92" s="13"/>
      <c r="G92" s="27">
        <v>0</v>
      </c>
      <c r="H92" s="17">
        <v>0</v>
      </c>
    </row>
    <row r="93" spans="1:9" s="11" customFormat="1" ht="12.75">
      <c r="A93" s="34"/>
      <c r="B93" s="34" t="s">
        <v>151</v>
      </c>
      <c r="C93" s="34"/>
      <c r="D93" s="34"/>
      <c r="E93" s="26"/>
      <c r="F93" s="26"/>
      <c r="G93" s="27">
        <f>+G59+G77+G88+G91</f>
        <v>2526.4700000000007</v>
      </c>
      <c r="H93" s="27">
        <f>+H59+H77+H88+H91</f>
        <v>100</v>
      </c>
    </row>
    <row r="94" spans="1:9">
      <c r="A94" s="35"/>
      <c r="D94" s="36" t="s">
        <v>152</v>
      </c>
      <c r="E94" s="36"/>
      <c r="F94" s="36"/>
      <c r="G94" s="37"/>
      <c r="H94" s="37"/>
    </row>
    <row r="95" spans="1:9">
      <c r="A95" s="35"/>
      <c r="D95" s="42" t="s">
        <v>153</v>
      </c>
      <c r="E95" s="42"/>
      <c r="F95" s="42"/>
      <c r="G95" s="42"/>
      <c r="H95" s="42"/>
      <c r="I95" s="42"/>
    </row>
    <row r="96" spans="1:9">
      <c r="A96" s="43"/>
      <c r="B96" s="44" t="s">
        <v>154</v>
      </c>
      <c r="C96" s="44"/>
      <c r="D96" s="44"/>
      <c r="E96" s="38"/>
      <c r="F96" s="38"/>
      <c r="G96" s="38"/>
      <c r="H96" s="38"/>
    </row>
    <row r="97" spans="1:9">
      <c r="A97" s="43"/>
      <c r="B97" s="40" t="s">
        <v>155</v>
      </c>
      <c r="C97" s="40"/>
      <c r="D97" s="40"/>
      <c r="E97" s="38"/>
      <c r="F97" s="38"/>
      <c r="G97" s="38"/>
      <c r="H97" s="39">
        <v>6.32</v>
      </c>
      <c r="I97" s="31"/>
    </row>
    <row r="98" spans="1:9">
      <c r="A98" s="43"/>
      <c r="B98" s="40" t="s">
        <v>156</v>
      </c>
      <c r="C98" s="40"/>
      <c r="D98" s="40"/>
      <c r="E98" s="38"/>
      <c r="F98" s="38"/>
      <c r="G98" s="38"/>
      <c r="H98" s="39">
        <v>0.93</v>
      </c>
      <c r="I98" s="31"/>
    </row>
    <row r="99" spans="1:9">
      <c r="A99" s="43"/>
      <c r="B99" s="40" t="s">
        <v>157</v>
      </c>
      <c r="C99" s="40"/>
      <c r="D99" s="40"/>
      <c r="E99" s="38"/>
      <c r="F99" s="38"/>
      <c r="G99" s="38"/>
      <c r="H99" s="39">
        <v>12.84</v>
      </c>
      <c r="I99" s="31"/>
    </row>
    <row r="100" spans="1:9">
      <c r="A100" s="43"/>
      <c r="B100" s="40" t="s">
        <v>158</v>
      </c>
      <c r="C100" s="40"/>
      <c r="D100" s="40"/>
      <c r="E100" s="38"/>
      <c r="F100" s="38"/>
      <c r="G100" s="38"/>
      <c r="H100" s="39">
        <v>2.59</v>
      </c>
      <c r="I100" s="31"/>
    </row>
    <row r="101" spans="1:9">
      <c r="A101" s="43"/>
      <c r="B101" s="40" t="s">
        <v>159</v>
      </c>
      <c r="C101" s="40"/>
      <c r="D101" s="40"/>
      <c r="E101" s="38"/>
      <c r="F101" s="38"/>
      <c r="G101" s="38"/>
      <c r="H101" s="39">
        <v>0.19</v>
      </c>
      <c r="I101" s="31"/>
    </row>
    <row r="102" spans="1:9">
      <c r="A102" s="43"/>
      <c r="B102" s="40" t="s">
        <v>160</v>
      </c>
      <c r="C102" s="40"/>
      <c r="D102" s="40"/>
      <c r="E102" s="38"/>
      <c r="F102" s="38"/>
      <c r="G102" s="38"/>
      <c r="H102" s="39">
        <v>3.29</v>
      </c>
      <c r="I102" s="31"/>
    </row>
    <row r="103" spans="1:9">
      <c r="A103" s="43"/>
      <c r="B103" s="40" t="s">
        <v>161</v>
      </c>
      <c r="C103" s="40"/>
      <c r="D103" s="40"/>
      <c r="E103" s="38"/>
      <c r="F103" s="38"/>
      <c r="G103" s="38"/>
      <c r="H103" s="39">
        <v>0.51</v>
      </c>
      <c r="I103" s="31"/>
    </row>
    <row r="104" spans="1:9">
      <c r="A104" s="43"/>
      <c r="B104" s="40" t="s">
        <v>162</v>
      </c>
      <c r="C104" s="40"/>
      <c r="D104" s="40"/>
      <c r="E104" s="38"/>
      <c r="F104" s="38"/>
      <c r="G104" s="38"/>
      <c r="H104" s="39">
        <v>6.08</v>
      </c>
      <c r="I104" s="31"/>
    </row>
    <row r="105" spans="1:9">
      <c r="A105" s="43"/>
      <c r="B105" s="40" t="s">
        <v>163</v>
      </c>
      <c r="C105" s="40"/>
      <c r="D105" s="40"/>
      <c r="E105" s="38"/>
      <c r="F105" s="38"/>
      <c r="G105" s="38"/>
      <c r="H105" s="39">
        <v>1.37</v>
      </c>
      <c r="I105" s="31"/>
    </row>
    <row r="106" spans="1:9">
      <c r="A106" s="43"/>
      <c r="B106" s="40" t="s">
        <v>164</v>
      </c>
      <c r="C106" s="40"/>
      <c r="D106" s="40"/>
      <c r="E106" s="38"/>
      <c r="F106" s="38"/>
      <c r="G106" s="38"/>
      <c r="H106" s="39">
        <v>4.25</v>
      </c>
      <c r="I106" s="31"/>
    </row>
    <row r="107" spans="1:9">
      <c r="A107" s="43"/>
      <c r="B107" s="40" t="s">
        <v>165</v>
      </c>
      <c r="C107" s="40"/>
      <c r="D107" s="40"/>
      <c r="E107" s="38"/>
      <c r="F107" s="38"/>
      <c r="G107" s="38"/>
      <c r="H107" s="39">
        <v>0.46</v>
      </c>
      <c r="I107" s="31"/>
    </row>
    <row r="108" spans="1:9">
      <c r="A108" s="43"/>
      <c r="B108" s="40" t="s">
        <v>166</v>
      </c>
      <c r="C108" s="40"/>
      <c r="D108" s="40"/>
      <c r="E108" s="38"/>
      <c r="F108" s="38"/>
      <c r="G108" s="38"/>
      <c r="H108" s="39">
        <v>0.77</v>
      </c>
      <c r="I108" s="31"/>
    </row>
    <row r="109" spans="1:9">
      <c r="A109" s="43"/>
      <c r="B109" s="40" t="s">
        <v>167</v>
      </c>
      <c r="C109" s="40"/>
      <c r="D109" s="40"/>
      <c r="E109" s="38"/>
      <c r="F109" s="38"/>
      <c r="G109" s="38"/>
      <c r="H109" s="39">
        <v>2.23</v>
      </c>
      <c r="I109" s="31"/>
    </row>
    <row r="110" spans="1:9">
      <c r="A110" s="43"/>
      <c r="B110" s="40" t="s">
        <v>168</v>
      </c>
      <c r="C110" s="40"/>
      <c r="D110" s="40"/>
      <c r="E110" s="38"/>
      <c r="F110" s="38"/>
      <c r="G110" s="38"/>
      <c r="H110" s="39">
        <v>3.67</v>
      </c>
      <c r="I110" s="31"/>
    </row>
    <row r="111" spans="1:9">
      <c r="A111" s="43"/>
      <c r="B111" s="40" t="s">
        <v>169</v>
      </c>
      <c r="C111" s="40"/>
      <c r="D111" s="40"/>
      <c r="E111" s="38"/>
      <c r="F111" s="38"/>
      <c r="G111" s="38"/>
      <c r="H111" s="39">
        <v>8.24</v>
      </c>
      <c r="I111" s="31"/>
    </row>
    <row r="112" spans="1:9">
      <c r="A112" s="43"/>
      <c r="B112" s="40" t="s">
        <v>170</v>
      </c>
      <c r="C112" s="40"/>
      <c r="D112" s="40"/>
      <c r="E112" s="38"/>
      <c r="F112" s="38"/>
      <c r="G112" s="38"/>
      <c r="H112" s="39">
        <v>1.1599999999999999</v>
      </c>
      <c r="I112" s="31"/>
    </row>
    <row r="113" spans="2:9">
      <c r="B113" s="40" t="s">
        <v>171</v>
      </c>
      <c r="C113" s="40"/>
      <c r="D113" s="40"/>
      <c r="E113" s="38"/>
      <c r="F113" s="38"/>
      <c r="G113" s="38"/>
      <c r="H113" s="39">
        <v>12.38</v>
      </c>
      <c r="I113" s="31"/>
    </row>
    <row r="114" spans="2:9">
      <c r="B114" s="40" t="s">
        <v>172</v>
      </c>
      <c r="C114" s="40"/>
      <c r="D114" s="40"/>
      <c r="E114" s="38"/>
      <c r="F114" s="38"/>
      <c r="G114" s="38"/>
      <c r="H114" s="39">
        <v>1.62</v>
      </c>
      <c r="I114" s="31"/>
    </row>
  </sheetData>
  <sheetProtection sheet="1" objects="1" scenarios="1"/>
  <mergeCells count="40">
    <mergeCell ref="B60:D60"/>
    <mergeCell ref="A1:H1"/>
    <mergeCell ref="B6:D6"/>
    <mergeCell ref="B7:D7"/>
    <mergeCell ref="B8:D8"/>
    <mergeCell ref="B57:D57"/>
    <mergeCell ref="B86:D86"/>
    <mergeCell ref="B61:D61"/>
    <mergeCell ref="B63:D63"/>
    <mergeCell ref="B65:D65"/>
    <mergeCell ref="B67:D67"/>
    <mergeCell ref="B68:D68"/>
    <mergeCell ref="B73:D73"/>
    <mergeCell ref="B75:D75"/>
    <mergeCell ref="B78:D78"/>
    <mergeCell ref="B79:D79"/>
    <mergeCell ref="B81:D81"/>
    <mergeCell ref="B84:D84"/>
    <mergeCell ref="B89:D89"/>
    <mergeCell ref="D95:I95"/>
    <mergeCell ref="A96:A112"/>
    <mergeCell ref="B96:D96"/>
    <mergeCell ref="B97:D97"/>
    <mergeCell ref="B98:D98"/>
    <mergeCell ref="B99:D99"/>
    <mergeCell ref="B100:D100"/>
    <mergeCell ref="B101:D101"/>
    <mergeCell ref="B102:D102"/>
    <mergeCell ref="B114:D114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</mergeCells>
  <pageMargins left="0.2" right="0" top="0.25" bottom="0.25" header="0.3" footer="0.3"/>
  <pageSetup paperSize="9" scale="7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31.05.2014</vt:lpstr>
      <vt:lpstr>'31.05.2014'!Print_Titles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2014-06-04T10:48:00Z</cp:lastPrinted>
  <dcterms:created xsi:type="dcterms:W3CDTF">2014-06-04T06:54:57Z</dcterms:created>
  <dcterms:modified xsi:type="dcterms:W3CDTF">2014-06-04T10:49:55Z</dcterms:modified>
</cp:coreProperties>
</file>