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23250" windowHeight="12450" activeTab="3"/>
  </bookViews>
  <sheets>
    <sheet name="YO06" sheetId="1" r:id="rId1"/>
    <sheet name="YO15" sheetId="2" r:id="rId2"/>
    <sheet name="YO25" sheetId="3" r:id="rId3"/>
    <sheet name="YO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7" i="2" l="1"/>
  <c r="A17" i="2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17" i="1"/>
  <c r="A18" i="1" s="1"/>
  <c r="A19" i="1" s="1"/>
  <c r="A20" i="1" s="1"/>
  <c r="A21" i="1" s="1"/>
  <c r="A22" i="1" s="1"/>
  <c r="A23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<sst xmlns="http://schemas.openxmlformats.org/spreadsheetml/2006/main" count="573" uniqueCount="249">
  <si>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</si>
  <si>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</si>
  <si>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</si>
  <si>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</si>
  <si>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>Motilal Oswal Ultra Short Term Fund</t>
  </si>
  <si>
    <t>(An open ended ultra-short term debt scheme investing in instruments such that the Macaulay duration of the portfolio is between 3 months and 6 months)</t>
  </si>
  <si>
    <t>Sr. No.</t>
  </si>
  <si>
    <t>Name of the Instrument</t>
  </si>
  <si>
    <t>ISIN Code</t>
  </si>
  <si>
    <t>Industry Classification* / Rating</t>
  </si>
  <si>
    <t>Quantity</t>
  </si>
  <si>
    <t>Market Value 
(Rs. in Lakhs)</t>
  </si>
  <si>
    <t xml:space="preserve">% to NAV </t>
  </si>
  <si>
    <t>Money Market Instruments</t>
  </si>
  <si>
    <t>(a)</t>
  </si>
  <si>
    <t>364 Days Tbill (MD 30/07/2026)</t>
  </si>
  <si>
    <t>IN002025Z187</t>
  </si>
  <si>
    <t>SOVEREIGN</t>
  </si>
  <si>
    <t>182 Days Tbill (MD 14/05/2026)</t>
  </si>
  <si>
    <t>IN002025Y339</t>
  </si>
  <si>
    <t>364 Days Tbill (MD 10/09/2026)</t>
  </si>
  <si>
    <t>IN002025Z245</t>
  </si>
  <si>
    <t>Sub Total</t>
  </si>
  <si>
    <t>(b)</t>
  </si>
  <si>
    <t>Certificate of Deposit</t>
  </si>
  <si>
    <t>INE556F16BH3</t>
  </si>
  <si>
    <t>CRISIL A1+</t>
  </si>
  <si>
    <t>FITCH A1+</t>
  </si>
  <si>
    <t>INE514E16CM3</t>
  </si>
  <si>
    <t>INE562A16PB5</t>
  </si>
  <si>
    <t>INE692A16JQ1</t>
  </si>
  <si>
    <t>ICRA A1+</t>
  </si>
  <si>
    <t>INE238AD6BD9</t>
  </si>
  <si>
    <t>INE040A16HN4</t>
  </si>
  <si>
    <t>(c)</t>
  </si>
  <si>
    <t>Commercial Paper</t>
  </si>
  <si>
    <t>INE976I14PZ4</t>
  </si>
  <si>
    <t>INE660A14YR0</t>
  </si>
  <si>
    <t>INE296A14D21</t>
  </si>
  <si>
    <t>CBLO/REPO</t>
  </si>
  <si>
    <t>Collateralized Borrowing &amp; Lending Obligation</t>
  </si>
  <si>
    <t>Total</t>
  </si>
  <si>
    <t>(d)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</si>
  <si>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</si>
  <si>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</si>
  <si>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</si>
  <si>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</si>
  <si>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</si>
  <si>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NOTES :</t>
  </si>
  <si>
    <t xml:space="preserve">1 Details of security in default beyond its maturity date </t>
  </si>
  <si>
    <t>Nil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</si>
  <si>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</si>
  <si>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</si>
  <si>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</si>
  <si>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</si>
  <si>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</si>
  <si>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</si>
  <si>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</si>
  <si>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</si>
  <si>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</si>
  <si>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</si>
  <si>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</si>
  <si>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</si>
  <si>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6.   Average Portfolio Maturity</t>
  </si>
  <si>
    <t>(Rs. per unit)</t>
  </si>
  <si>
    <t>Option Name</t>
  </si>
  <si>
    <t>Individual &amp; HUF</t>
  </si>
  <si>
    <t>Others</t>
  </si>
  <si>
    <t>YO06-ZF</t>
  </si>
  <si>
    <t>Direct Fortnightly IDCW</t>
  </si>
  <si>
    <t>YO06-ZM</t>
  </si>
  <si>
    <t>Direct Monthly IDCW</t>
  </si>
  <si>
    <t>YO06-ZQ</t>
  </si>
  <si>
    <t>Direct Quarterly IDCW</t>
  </si>
  <si>
    <t>YO06-ZW</t>
  </si>
  <si>
    <t>Direct Weekly IDCW</t>
  </si>
  <si>
    <t>YO06-ZD</t>
  </si>
  <si>
    <t>Direct-IDCW Option-Daily</t>
  </si>
  <si>
    <t>YO06-RDD</t>
  </si>
  <si>
    <t>Regular Daily IDCW</t>
  </si>
  <si>
    <t>YO06-RFD</t>
  </si>
  <si>
    <t>Regular Fortnightly IDCW</t>
  </si>
  <si>
    <t>YO06-RM</t>
  </si>
  <si>
    <t>Regular Monthly IDCW</t>
  </si>
  <si>
    <t>YO06-RQD</t>
  </si>
  <si>
    <t>Regular Quarterly IDCW</t>
  </si>
  <si>
    <t>YO06-RW</t>
  </si>
  <si>
    <t>Regular Weekly IDCW</t>
  </si>
  <si>
    <t>SCHEME RISK-O-METER</t>
  </si>
  <si>
    <t>BENCHMARK RISK-O-METER</t>
  </si>
  <si>
    <t>YO15</t>
  </si>
  <si>
    <t>Motilal Oswal Liquid Fund</t>
  </si>
  <si>
    <t>(An open ended liquid fund)</t>
  </si>
  <si>
    <t>182 Days Tbill (MD 11/06/2026)</t>
  </si>
  <si>
    <t>IN002025Y370</t>
  </si>
  <si>
    <t>INE562A16PQ3</t>
  </si>
  <si>
    <t>INE238AD6BK4</t>
  </si>
  <si>
    <t>INE476A16G51</t>
  </si>
  <si>
    <t>INE084A16FM8</t>
  </si>
  <si>
    <t>INE237AD6059</t>
  </si>
  <si>
    <t>INE040A16GW7</t>
  </si>
  <si>
    <t>INE556F16BI1</t>
  </si>
  <si>
    <t>CARE A1+</t>
  </si>
  <si>
    <t>INE171A16ND6</t>
  </si>
  <si>
    <t>INE514E16CL5</t>
  </si>
  <si>
    <t>INE692A16LA1</t>
  </si>
  <si>
    <t>INE160A16UF9</t>
  </si>
  <si>
    <t>INE028A16JV8</t>
  </si>
  <si>
    <t>INE296A14E46</t>
  </si>
  <si>
    <t>INE774D14TI2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</si>
  <si>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</si>
  <si>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</si>
  <si>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</si>
  <si>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</si>
  <si>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</si>
  <si>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</si>
  <si>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</si>
  <si>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</si>
  <si>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       </t>
  </si>
  <si>
    <t xml:space="preserve">            Regular Plan - Growth Option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</si>
  <si>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</si>
  <si>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</si>
  <si>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</si>
  <si>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</si>
  <si>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</si>
  <si>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</si>
  <si>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Redemption Plan Above 3 years</t>
  </si>
  <si>
    <t>YO15-ZDD</t>
  </si>
  <si>
    <t>Direct -IDCW Option-Monthly</t>
  </si>
  <si>
    <t>YO15-ZF</t>
  </si>
  <si>
    <t>YO15-ZM</t>
  </si>
  <si>
    <t>Direct-IDCW Option-Fortnightly</t>
  </si>
  <si>
    <t>YO15-ZQ</t>
  </si>
  <si>
    <t>Direct-IDCW Option-Quarterly</t>
  </si>
  <si>
    <t>YO15-ZW</t>
  </si>
  <si>
    <t>Direct-IDCW Option-Weekly</t>
  </si>
  <si>
    <t>YO15-RDD</t>
  </si>
  <si>
    <t>Regular IDCW Option-Daily</t>
  </si>
  <si>
    <t>YO15-RF</t>
  </si>
  <si>
    <t>Regular IDCW Option-Fortnightly</t>
  </si>
  <si>
    <t>YO15-RM</t>
  </si>
  <si>
    <t>Regular IDCW Option-Weekly</t>
  </si>
  <si>
    <t>YO15-RQ</t>
  </si>
  <si>
    <t>Regular-IDCW Option-Monthly</t>
  </si>
  <si>
    <t>Regular-IDCW Option-Quarterly</t>
  </si>
  <si>
    <t>BENCHMARK NAME - CRISIL LIQUID FUND AI INDEX</t>
  </si>
  <si>
    <t>YO25</t>
  </si>
  <si>
    <t xml:space="preserve">Motilal Oswal Nifty 5 year Benchmark G-Sec ETF 
</t>
  </si>
  <si>
    <t>(An open ended scheme investing in Equity, International Equity Index Funds/Equity ETFs, Debt and Money Market Instruments and Gold Exchange Traded Funds)
(A Relatively High Interest Rate Risk and Relatively Low Credit Risk)</t>
  </si>
  <si>
    <t>Debt Instruments</t>
  </si>
  <si>
    <t>6.01% Government of India 2030</t>
  </si>
  <si>
    <t>IN0020250067</t>
  </si>
  <si>
    <t>BENCHMARK NAME - NIFTY 5 YR BENCHMARK G-SEC INDEX</t>
  </si>
  <si>
    <t>YO28</t>
  </si>
  <si>
    <t xml:space="preserve">Motilal Oswal 5 Year G-Sec Fund of Fund </t>
  </si>
  <si>
    <t xml:space="preserve">
(An open ended fund of funds scheme investing in units of Motilal Oswal Nifty 5 YR Benchmark G-Sec ETF)</t>
  </si>
  <si>
    <t>Exchange Traded Funds</t>
  </si>
  <si>
    <t>Motilal Oswal Nifty 5 Year Benchmark G-sec ETF-Gr</t>
  </si>
  <si>
    <t>INF247L01AK4</t>
  </si>
  <si>
    <t>7.   IDCW declared during the half year period</t>
  </si>
  <si>
    <t xml:space="preserve"> FORTNIGHTLY PORTFOLIO STATEMENT AS ON APRIL 15, 2026</t>
  </si>
  <si>
    <t>ISIN</t>
  </si>
  <si>
    <t>Market/Fair Value (Rs. in Lacs)</t>
  </si>
  <si>
    <t>% to Net Assets</t>
  </si>
  <si>
    <t>YTM</t>
  </si>
  <si>
    <t>Tri-Party REPO - Corporate Bonds for which settlement is guaranteed by clearing corporation</t>
  </si>
  <si>
    <t>TRP_160426</t>
  </si>
  <si>
    <t xml:space="preserve"> </t>
  </si>
  <si>
    <t>3.   NAV at the beginning of the fortnightly period (Rs. per unit)</t>
  </si>
  <si>
    <t>4.  NAV at the end of the fortnightly period (Rs. per unit)</t>
  </si>
  <si>
    <t>1 day</t>
  </si>
  <si>
    <t>7.   Investment in foreign securities/ADRs/GDRs at the end of the fortnightly period</t>
  </si>
  <si>
    <t>8.   Aggregate Investments by other schemes as on April 15,2026</t>
  </si>
  <si>
    <t>NIL</t>
  </si>
  <si>
    <t>4.3 years</t>
  </si>
  <si>
    <t>91 Days Tbill (MD 09/07/2026)</t>
  </si>
  <si>
    <t>IN002026X016</t>
  </si>
  <si>
    <t>Indian Bank (30/04/2026) #</t>
  </si>
  <si>
    <t>Axis Bank Limited (30/04/2026) #</t>
  </si>
  <si>
    <t>Canara Bank (07/05/2026) ** #</t>
  </si>
  <si>
    <t>Bank of India (08/05/2026) #</t>
  </si>
  <si>
    <t>Kotak Mahindra Bank Limited (18/05/2026) ** #</t>
  </si>
  <si>
    <t>HDFC Bank Limited (19/05/2026) #</t>
  </si>
  <si>
    <t>Small Industries Dev Bank of India (20/05/2026) #</t>
  </si>
  <si>
    <t>The Federal Bank Limited (20/05/2026) ** #</t>
  </si>
  <si>
    <t>Export Import Bank of India (28/05/2026) #</t>
  </si>
  <si>
    <t>Union Bank of India (07/05/2026) ** #</t>
  </si>
  <si>
    <t>Punjab National Bank (07/05/2026) ** #</t>
  </si>
  <si>
    <t>Bank of Baroda (08/05/2026) #</t>
  </si>
  <si>
    <t>Union Bank of India (25/06/2026) #</t>
  </si>
  <si>
    <t>Bajaj Finance Limited (20/04/2026) **</t>
  </si>
  <si>
    <t>Mahindra &amp; Mahindra Financial Services Limited (23/04/2026) **</t>
  </si>
  <si>
    <t>Corporate Debt Market Development Fund</t>
  </si>
  <si>
    <t>INF0RQ622028</t>
  </si>
  <si>
    <t>Rating</t>
  </si>
  <si>
    <t>Treasury Bill</t>
  </si>
  <si>
    <t>**  Thinly Traded / Non Traded Security</t>
  </si>
  <si>
    <t xml:space="preserve">             Unclaimed Dividend Plan Above 3 years</t>
  </si>
  <si>
    <t xml:space="preserve">             Unclaimed Dividend Plan Below 3 years</t>
  </si>
  <si>
    <t>4.   NAV at the end of the fortnightly period (Rs. per unit)</t>
  </si>
  <si>
    <t>5.   Investment in foreign securities/ADRs/GDRs at the end of the fortnightly period</t>
  </si>
  <si>
    <t>33 days</t>
  </si>
  <si>
    <t>(e)</t>
  </si>
  <si>
    <t>Small Industries Dev Bank of India (05/05/2026) #</t>
  </si>
  <si>
    <t>Export Import Bank of India (11/06/2026) #</t>
  </si>
  <si>
    <t>Indian Bank (12/06/2026) ** #</t>
  </si>
  <si>
    <t>Axis Bank Limited (11/08/2026) ** #</t>
  </si>
  <si>
    <t>HDFC Bank Limited (11/09/2026) #</t>
  </si>
  <si>
    <t>Bank of Baroda (11/01/2027) ** #</t>
  </si>
  <si>
    <t>INE028A16KZ7</t>
  </si>
  <si>
    <t>National Bank For Agriculture and Rural Development (18/03/2027) ** #</t>
  </si>
  <si>
    <t>INE261F16AQ3</t>
  </si>
  <si>
    <t>Tata Capital Limited (21/05/2026)</t>
  </si>
  <si>
    <t>Sundaram Finance Limited (31/07/2026) **</t>
  </si>
  <si>
    <t>Bajaj Finance Limited (06/11/2026) **</t>
  </si>
  <si>
    <t>364 Days Tbill (MD 11/02/2027)</t>
  </si>
  <si>
    <t>IN002025Z450</t>
  </si>
  <si>
    <t>2.   NAV at the beginning of the fortnightly period (Rs. per unit)</t>
  </si>
  <si>
    <t>3.   NAV at the end of the fortnightly period (Rs. per unit)</t>
  </si>
  <si>
    <t>4.   Exposure to derivative instrument at the end of the fortnightly period</t>
  </si>
  <si>
    <t>129 days</t>
  </si>
  <si>
    <t>7.   IDCW declared during the fortnightly year period</t>
  </si>
  <si>
    <t>DEBT INSTRUMENTS</t>
  </si>
  <si>
    <t>a</t>
  </si>
  <si>
    <t>-</t>
  </si>
  <si>
    <t>(g)</t>
  </si>
  <si>
    <t>Securitized Debt Instruments</t>
  </si>
  <si>
    <t>Privately placed/Unlisted</t>
  </si>
  <si>
    <t>Listed / awaiting listing on Stock Exchanges</t>
  </si>
  <si>
    <t>Listed / awaiting listing on Stock Exchange</t>
  </si>
  <si>
    <t>Privately placed / Unlisted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</si>
  <si>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</si>
  <si>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</si>
  <si>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</si>
  <si>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</si>
  <si>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</si>
  <si>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</si>
  <si>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</si>
  <si>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</si>
  <si>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</si>
  <si>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</si>
  <si>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</si>
  <si>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 xml:space="preserve">Hedging Positions through Futures as on April 15, 2026 : </t>
  </si>
  <si>
    <t>Other than Hedging Positions through Futures as on April 15, 2026 :</t>
  </si>
  <si>
    <t xml:space="preserve">Hedging Positions through Options as on April 15, 2026 : </t>
  </si>
  <si>
    <t>Other Than Hedging Positions through Options as on April 15, 2026:</t>
  </si>
  <si>
    <t xml:space="preserve">Hedging Positions through Swaps as on April 15, 2026 : </t>
  </si>
  <si>
    <t>8.   Exposure to derivative instrument at the end of the fortnightly period</t>
  </si>
  <si>
    <t>5.   Exposure to derivative instrument at the end of the fortnightly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</si>
</sst>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#,##0;\(#,##0\)"/>
    <numFmt numFmtId="165" formatCode="#,##0.00;\(#,##0.00\)"/>
    <numFmt numFmtId="166" formatCode="_(* #,##0.00_);_(* \(#,##0.00\);_(* &quot;-&quot;??_);_(@_)"/>
    <numFmt numFmtId="167" formatCode="0.0000"/>
    <numFmt numFmtId="168" formatCode="0.00000000"/>
    <numFmt numFmtId="169" formatCode="_(* #,##0.00000000_);_(* \(#,##0.00000000\);_(* &quot;-&quot;??_);_(@_)"/>
    <numFmt numFmtId="170" formatCode="_(* #,##0.0000_);_(* \(#,##0.0000\);_(* &quot;-&quot;??_);_(@_)"/>
    <numFmt numFmtId="171" formatCode="#,##0.00%;\(#,##0.00\)%"/>
    <numFmt numFmtId="172" formatCode="#,##0.0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  <font>
      <b/>
      <sz val="10"/>
      <color rgb="FFFF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3" fillId="0" borderId="7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/>
    </xf>
    <xf numFmtId="0" fontId="0" fillId="0" borderId="6" xfId="0" applyBorder="1" applyAlignment="1" applyProtection="1">
      <alignment wrapText="1"/>
      <protection locked="0"/>
    </xf>
    <xf numFmtId="0" fontId="13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5" fontId="13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1" fillId="0" borderId="0" xfId="3" applyFont="1"/>
    <xf numFmtId="0" fontId="11" fillId="0" borderId="0" xfId="0" applyFont="1"/>
    <xf numFmtId="0" fontId="7" fillId="0" borderId="0" xfId="3" applyFont="1" applyProtection="1">
      <protection locked="0"/>
    </xf>
    <xf numFmtId="39" fontId="7" fillId="0" borderId="0" xfId="0" applyNumberFormat="1" applyFont="1" applyAlignment="1">
      <alignment horizontal="right"/>
    </xf>
    <xf numFmtId="166" fontId="7" fillId="0" borderId="0" xfId="4" applyFont="1" applyFill="1" applyBorder="1" applyAlignment="1" applyProtection="1">
      <alignment horizontal="right"/>
      <protection locked="0"/>
    </xf>
    <xf numFmtId="0" fontId="7" fillId="0" borderId="0" xfId="0" applyFont="1"/>
    <xf numFmtId="0" fontId="7" fillId="0" borderId="0" xfId="5" applyFont="1"/>
    <xf numFmtId="167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center" wrapText="1"/>
    </xf>
    <xf numFmtId="166" fontId="11" fillId="0" borderId="0" xfId="4" applyFont="1" applyFill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169" fontId="7" fillId="0" borderId="0" xfId="4" applyNumberFormat="1" applyFont="1" applyFill="1" applyBorder="1" applyAlignment="1">
      <alignment horizontal="center"/>
    </xf>
    <xf numFmtId="166" fontId="7" fillId="0" borderId="0" xfId="4" applyFont="1" applyFill="1" applyBorder="1" applyAlignment="1">
      <alignment horizontal="right"/>
    </xf>
    <xf numFmtId="0" fontId="2" fillId="0" borderId="0" xfId="0" applyFont="1"/>
    <xf numFmtId="170" fontId="7" fillId="0" borderId="0" xfId="4" applyNumberFormat="1" applyFont="1" applyFill="1" applyBorder="1" applyAlignment="1" applyProtection="1">
      <alignment horizontal="right"/>
      <protection locked="0"/>
    </xf>
    <xf numFmtId="170" fontId="7" fillId="0" borderId="0" xfId="4" applyNumberFormat="1" applyFont="1" applyFill="1" applyBorder="1" applyAlignment="1"/>
    <xf numFmtId="0" fontId="3" fillId="0" borderId="0" xfId="0" applyFont="1"/>
    <xf numFmtId="0" fontId="16" fillId="0" borderId="6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right" vertical="top" wrapText="1"/>
    </xf>
    <xf numFmtId="0" fontId="13" fillId="0" borderId="17" xfId="0" applyFont="1" applyBorder="1" applyAlignment="1">
      <alignment horizontal="left" vertical="top" wrapText="1"/>
    </xf>
    <xf numFmtId="0" fontId="0" fillId="0" borderId="19" xfId="0" applyBorder="1" applyAlignment="1" applyProtection="1">
      <alignment wrapText="1"/>
      <protection locked="0"/>
    </xf>
    <xf numFmtId="4" fontId="13" fillId="0" borderId="0" xfId="0" applyNumberFormat="1" applyFont="1" applyAlignment="1">
      <alignment horizontal="right" vertical="top" wrapText="1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10" fontId="13" fillId="0" borderId="0" xfId="0" applyNumberFormat="1" applyFont="1" applyAlignment="1">
      <alignment horizontal="right" vertical="top" wrapText="1"/>
    </xf>
    <xf numFmtId="0" fontId="7" fillId="0" borderId="0" xfId="0" applyFont="1" applyProtection="1">
      <protection locked="0"/>
    </xf>
    <xf numFmtId="166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top" wrapText="1"/>
    </xf>
    <xf numFmtId="3" fontId="14" fillId="0" borderId="8" xfId="0" applyNumberFormat="1" applyFont="1" applyBorder="1" applyAlignment="1">
      <alignment horizontal="right" vertical="top" wrapText="1"/>
    </xf>
    <xf numFmtId="165" fontId="14" fillId="0" borderId="10" xfId="0" applyNumberFormat="1" applyFont="1" applyBorder="1" applyAlignment="1">
      <alignment horizontal="right" vertical="top" wrapText="1"/>
    </xf>
    <xf numFmtId="171" fontId="14" fillId="0" borderId="8" xfId="0" applyNumberFormat="1" applyFont="1" applyBorder="1" applyAlignment="1">
      <alignment horizontal="right" vertical="top" wrapText="1"/>
    </xf>
    <xf numFmtId="165" fontId="13" fillId="0" borderId="24" xfId="0" applyNumberFormat="1" applyFont="1" applyBorder="1" applyAlignment="1">
      <alignment horizontal="right" vertical="top" wrapText="1"/>
    </xf>
    <xf numFmtId="171" fontId="13" fillId="0" borderId="13" xfId="0" applyNumberFormat="1" applyFont="1" applyBorder="1" applyAlignment="1">
      <alignment horizontal="right" vertical="top" wrapText="1"/>
    </xf>
    <xf numFmtId="165" fontId="13" fillId="0" borderId="13" xfId="0" applyNumberFormat="1" applyFont="1" applyBorder="1" applyAlignment="1">
      <alignment horizontal="right" vertical="top" wrapText="1"/>
    </xf>
    <xf numFmtId="165" fontId="13" fillId="0" borderId="25" xfId="0" applyNumberFormat="1" applyFont="1" applyBorder="1" applyAlignment="1">
      <alignment horizontal="right" vertical="top" wrapText="1"/>
    </xf>
    <xf numFmtId="172" fontId="13" fillId="0" borderId="26" xfId="0" applyNumberFormat="1" applyFont="1" applyBorder="1" applyAlignment="1">
      <alignment horizontal="right" vertical="top" wrapText="1"/>
    </xf>
    <xf numFmtId="0" fontId="13" fillId="0" borderId="28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3" fontId="14" fillId="0" borderId="28" xfId="0" applyNumberFormat="1" applyFont="1" applyBorder="1" applyAlignment="1">
      <alignment horizontal="right" vertical="top" wrapText="1"/>
    </xf>
    <xf numFmtId="165" fontId="14" fillId="0" borderId="28" xfId="0" applyNumberFormat="1" applyFont="1" applyBorder="1" applyAlignment="1">
      <alignment horizontal="right" vertical="top" wrapText="1"/>
    </xf>
    <xf numFmtId="171" fontId="14" fillId="0" borderId="28" xfId="0" applyNumberFormat="1" applyFont="1" applyBorder="1" applyAlignment="1">
      <alignment horizontal="right" vertical="top" wrapText="1"/>
    </xf>
    <xf numFmtId="165" fontId="13" fillId="0" borderId="28" xfId="0" applyNumberFormat="1" applyFont="1" applyBorder="1" applyAlignment="1">
      <alignment horizontal="right" vertical="top" wrapText="1"/>
    </xf>
    <xf numFmtId="171" fontId="13" fillId="0" borderId="28" xfId="0" applyNumberFormat="1" applyFont="1" applyBorder="1" applyAlignment="1">
      <alignment horizontal="right" vertical="top" wrapText="1"/>
    </xf>
    <xf numFmtId="164" fontId="14" fillId="0" borderId="28" xfId="0" applyNumberFormat="1" applyFont="1" applyBorder="1" applyAlignment="1">
      <alignment horizontal="right" vertical="top" wrapText="1"/>
    </xf>
    <xf numFmtId="172" fontId="13" fillId="0" borderId="28" xfId="0" applyNumberFormat="1" applyFont="1" applyBorder="1" applyAlignment="1">
      <alignment horizontal="right" vertical="top" wrapText="1"/>
    </xf>
    <xf numFmtId="0" fontId="0" fillId="0" borderId="0" xfId="0" applyBorder="1"/>
    <xf numFmtId="167" fontId="7" fillId="0" borderId="0" xfId="0" applyNumberFormat="1" applyFont="1"/>
    <xf numFmtId="0" fontId="7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top" wrapText="1"/>
    </xf>
    <xf numFmtId="0" fontId="14" fillId="0" borderId="44" xfId="0" applyFont="1" applyBorder="1" applyAlignment="1">
      <alignment horizontal="left" vertical="top" wrapText="1"/>
    </xf>
    <xf numFmtId="165" fontId="13" fillId="0" borderId="45" xfId="0" applyNumberFormat="1" applyFont="1" applyBorder="1" applyAlignment="1">
      <alignment horizontal="right" vertical="top" wrapText="1"/>
    </xf>
    <xf numFmtId="172" fontId="13" fillId="0" borderId="46" xfId="0" applyNumberFormat="1" applyFont="1" applyBorder="1" applyAlignment="1">
      <alignment horizontal="right" vertical="top" wrapText="1"/>
    </xf>
    <xf numFmtId="0" fontId="12" fillId="0" borderId="2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/>
    </xf>
    <xf numFmtId="0" fontId="15" fillId="0" borderId="28" xfId="0" applyFont="1" applyBorder="1" applyAlignment="1">
      <alignment horizontal="center" vertical="top" wrapText="1"/>
    </xf>
    <xf numFmtId="0" fontId="16" fillId="0" borderId="28" xfId="0" applyFont="1" applyBorder="1" applyAlignment="1">
      <alignment horizontal="center" vertical="top" wrapText="1"/>
    </xf>
    <xf numFmtId="0" fontId="0" fillId="0" borderId="28" xfId="0" applyBorder="1" applyAlignment="1" applyProtection="1">
      <alignment wrapText="1"/>
      <protection locked="0"/>
    </xf>
    <xf numFmtId="167" fontId="0" fillId="0" borderId="0" xfId="0" applyNumberFormat="1"/>
    <xf numFmtId="0" fontId="18" fillId="0" borderId="28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11" fillId="0" borderId="0" xfId="3" applyFont="1" applyProtection="1">
      <protection locked="0"/>
    </xf>
    <xf numFmtId="166" fontId="11" fillId="0" borderId="0" xfId="4" applyFont="1" applyFill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166" fontId="11" fillId="0" borderId="0" xfId="0" applyNumberFormat="1" applyFont="1" applyAlignment="1" applyProtection="1">
      <alignment horizontal="right"/>
      <protection locked="0"/>
    </xf>
    <xf numFmtId="0" fontId="19" fillId="0" borderId="6" xfId="0" applyFont="1" applyBorder="1" applyAlignment="1">
      <alignment horizontal="center"/>
    </xf>
    <xf numFmtId="0" fontId="14" fillId="0" borderId="49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165" fontId="13" fillId="0" borderId="50" xfId="0" applyNumberFormat="1" applyFont="1" applyBorder="1" applyAlignment="1">
      <alignment horizontal="right" vertical="top" wrapText="1"/>
    </xf>
    <xf numFmtId="171" fontId="13" fillId="0" borderId="18" xfId="0" applyNumberFormat="1" applyFont="1" applyBorder="1" applyAlignment="1">
      <alignment horizontal="right" vertical="top" wrapText="1"/>
    </xf>
    <xf numFmtId="0" fontId="12" fillId="0" borderId="28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  <xf numFmtId="0" fontId="2" fillId="0" borderId="28" xfId="0" applyFont="1" applyBorder="1" applyAlignment="1" applyProtection="1">
      <alignment horizontal="center" wrapText="1"/>
      <protection locked="0"/>
    </xf>
    <xf numFmtId="0" fontId="10" fillId="0" borderId="6" xfId="0" applyFont="1" applyBorder="1" applyAlignment="1">
      <alignment horizontal="center"/>
    </xf>
    <xf numFmtId="0" fontId="0" fillId="0" borderId="0" xfId="0" applyFont="1"/>
    <xf numFmtId="0" fontId="2" fillId="0" borderId="0" xfId="0" applyFont="1" applyBorder="1" applyAlignment="1" applyProtection="1">
      <alignment wrapText="1"/>
      <protection locked="0"/>
    </xf>
    <xf numFmtId="0" fontId="2" fillId="0" borderId="0" xfId="0" applyFont="1" applyBorder="1"/>
    <xf numFmtId="0" fontId="7" fillId="0" borderId="28" xfId="3" applyFont="1" applyBorder="1" applyProtection="1">
      <protection locked="0"/>
    </xf>
    <xf numFmtId="166" fontId="7" fillId="0" borderId="28" xfId="4" applyFont="1" applyFill="1" applyBorder="1" applyAlignment="1" applyProtection="1">
      <alignment horizontal="right"/>
      <protection locked="0"/>
    </xf>
    <xf numFmtId="0" fontId="7" fillId="0" borderId="28" xfId="3" applyFont="1" applyBorder="1" applyAlignment="1" applyProtection="1">
      <alignment horizontal="left"/>
      <protection locked="0"/>
    </xf>
    <xf numFmtId="0" fontId="20" fillId="0" borderId="5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right" vertical="top" wrapText="1"/>
    </xf>
    <xf numFmtId="172" fontId="18" fillId="0" borderId="23" xfId="0" applyNumberFormat="1" applyFont="1" applyBorder="1" applyAlignment="1">
      <alignment horizontal="right" vertical="top" wrapText="1"/>
    </xf>
    <xf numFmtId="0" fontId="18" fillId="0" borderId="23" xfId="0" applyFont="1" applyBorder="1" applyAlignment="1">
      <alignment horizontal="right" vertical="top" wrapText="1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0" xfId="2" applyFont="1" applyBorder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0" xfId="2" applyFont="1" applyBorder="1" applyAlignment="1">
      <alignment horizontal="center" wrapText="1"/>
    </xf>
    <xf numFmtId="0" fontId="13" fillId="0" borderId="22" xfId="0" applyFont="1" applyBorder="1" applyAlignment="1">
      <alignment horizontal="center" vertical="center" wrapText="1"/>
    </xf>
    <xf numFmtId="0" fontId="7" fillId="0" borderId="54" xfId="3" applyFont="1" applyBorder="1" applyAlignment="1" applyProtection="1">
      <alignment horizontal="left"/>
      <protection locked="0"/>
    </xf>
    <xf numFmtId="0" fontId="7" fillId="0" borderId="55" xfId="3" applyFont="1" applyBorder="1" applyAlignment="1" applyProtection="1">
      <alignment horizontal="left"/>
      <protection locked="0"/>
    </xf>
    <xf numFmtId="0" fontId="18" fillId="0" borderId="28" xfId="0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172" fontId="18" fillId="0" borderId="28" xfId="0" applyNumberFormat="1" applyFont="1" applyBorder="1" applyAlignment="1">
      <alignment horizontal="right" vertical="top" wrapText="1"/>
    </xf>
    <xf numFmtId="0" fontId="13" fillId="0" borderId="30" xfId="0" applyFont="1" applyBorder="1" applyAlignment="1">
      <alignment horizontal="right" vertical="top" wrapText="1"/>
    </xf>
    <xf numFmtId="0" fontId="11" fillId="0" borderId="34" xfId="2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0" fontId="11" fillId="0" borderId="35" xfId="2" applyFont="1" applyBorder="1" applyAlignment="1">
      <alignment horizontal="center"/>
    </xf>
    <xf numFmtId="0" fontId="11" fillId="0" borderId="36" xfId="2" applyFont="1" applyBorder="1" applyAlignment="1">
      <alignment horizontal="center"/>
    </xf>
    <xf numFmtId="0" fontId="11" fillId="0" borderId="37" xfId="2" applyFont="1" applyBorder="1" applyAlignment="1">
      <alignment horizontal="center"/>
    </xf>
    <xf numFmtId="0" fontId="11" fillId="0" borderId="38" xfId="2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13" fillId="0" borderId="47" xfId="0" applyFont="1" applyBorder="1" applyAlignment="1">
      <alignment horizontal="right" vertical="top" wrapText="1"/>
    </xf>
    <xf numFmtId="0" fontId="13" fillId="0" borderId="48" xfId="0" applyFont="1" applyBorder="1" applyAlignment="1">
      <alignment horizontal="right" vertical="top" wrapText="1"/>
    </xf>
    <xf numFmtId="0" fontId="18" fillId="0" borderId="41" xfId="0" applyFont="1" applyBorder="1" applyAlignment="1">
      <alignment horizontal="right" vertical="top" wrapText="1"/>
    </xf>
    <xf numFmtId="172" fontId="18" fillId="0" borderId="41" xfId="0" applyNumberFormat="1" applyFont="1" applyBorder="1" applyAlignment="1">
      <alignment horizontal="right" vertical="top" wrapText="1"/>
    </xf>
    <xf numFmtId="0" fontId="13" fillId="0" borderId="42" xfId="0" applyFont="1" applyBorder="1" applyAlignment="1">
      <alignment horizontal="right" vertical="top" wrapText="1"/>
    </xf>
    <xf numFmtId="0" fontId="9" fillId="0" borderId="1" xfId="2" applyFont="1" applyBorder="1" applyAlignment="1">
      <alignment horizontal="center" wrapText="1"/>
    </xf>
    <xf numFmtId="0" fontId="9" fillId="0" borderId="0" xfId="2" applyFont="1" applyBorder="1" applyAlignment="1">
      <alignment horizont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0" fontId="9" fillId="0" borderId="28" xfId="2" applyFont="1" applyBorder="1" applyAlignment="1">
      <alignment horizontal="center" wrapText="1"/>
    </xf>
  </cellXfs>
  <cellStyles count="6">
    <cellStyle name="Comma" xfId="1" builtinId="3"/>
    <cellStyle name="Comma 2 2" xfId="4"/>
    <cellStyle name="Normal" xfId="0" builtinId="0"/>
    <cellStyle name="Normal 2" xfId="2"/>
    <cellStyle name="Normal 7" xfId="5"/>
    <cellStyle name="Normal_VALUATION November 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2827020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A5E9-A4D0-4CA3-AA19-8492571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1712214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2795270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4E4C-EEF0-4DF8-AFFE-3206A40E6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820" y="17122140"/>
          <a:ext cx="2825750" cy="189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2827020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9948-8A5F-4918-88CF-026177BC1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73758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1080770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11DF-7F1F-42D2-BF1D-0F5A3678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737580"/>
          <a:ext cx="2825750" cy="189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2827020</xdr:colOff>
      <xdr:row>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165F-AEF5-4554-A274-06B3B5736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05256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1080770</xdr:colOff>
      <xdr:row>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7322C-F74A-47B7-937F-FDD0A07C4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052560"/>
          <a:ext cx="2825750" cy="189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2827020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4F030-68E4-4113-830F-CFA85F467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880872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1080770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F9C7D-E598-42D7-9CA6-F51495873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8808720"/>
          <a:ext cx="282575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28"/>
  <sheetViews>
    <sheetView topLeftCell="A73" zoomScale="103" workbookViewId="0">
      <selection activeCell="A73" sqref="A1:XFD1048576"/>
    </sheetView>
  </sheetViews>
  <sheetFormatPr defaultColWidth="8.7109375" defaultRowHeight="15"/>
  <cols>
    <col min="1" max="1" width="9.7109375" bestFit="1" customWidth="1"/>
    <col min="2" max="2" width="41.85546875" bestFit="1" customWidth="1"/>
    <col min="3" max="3" width="31.7109375" bestFit="1" customWidth="1"/>
    <col min="4" max="4" width="27.28515625" bestFit="1" customWidth="1"/>
    <col min="5" max="5" width="30.7109375" bestFit="1" customWidth="1"/>
    <col min="6" max="6" width="60.5703125" bestFit="1" customWidth="1"/>
    <col min="7" max="7" width="7.85546875" bestFit="1" customWidth="1"/>
  </cols>
  <sheetData>
    <row r="1" spans="1:9" ht="15.75" thickBot="1">
      <c r="A1" s="1" t="s">
        <v>223</v>
      </c>
    </row>
    <row r="2" spans="1:9" ht="21" customHeight="1">
      <c r="A2" s="132" t="s">
        <v>0</v>
      </c>
      <c r="B2" s="133"/>
      <c r="C2" s="133"/>
      <c r="D2" s="133"/>
      <c r="E2" s="133"/>
      <c r="F2" s="133"/>
      <c r="G2" s="133"/>
      <c r="H2" s="133"/>
      <c r="I2" s="134"/>
    </row>
    <row r="3" spans="1:9" ht="21" customHeight="1">
      <c r="A3" s="135" t="s">
        <v>1</v>
      </c>
      <c r="B3" s="136"/>
      <c r="C3" s="136"/>
      <c r="D3" s="136"/>
      <c r="E3" s="136"/>
      <c r="F3" s="136"/>
      <c r="G3" s="136"/>
      <c r="H3" s="136"/>
      <c r="I3" s="137"/>
    </row>
    <row r="4" spans="1:9" ht="21" customHeight="1">
      <c r="A4" s="138" t="s">
        <v>2</v>
      </c>
      <c r="B4" s="139"/>
      <c r="C4" s="139"/>
      <c r="D4" s="139"/>
      <c r="E4" s="139"/>
      <c r="F4" s="139"/>
      <c r="G4" s="139"/>
      <c r="H4" s="139"/>
      <c r="I4" s="140"/>
    </row>
    <row r="5" spans="1:9" ht="21" customHeight="1">
      <c r="A5" s="138" t="s">
        <v>3</v>
      </c>
      <c r="B5" s="139"/>
      <c r="C5" s="139"/>
      <c r="D5" s="139"/>
      <c r="E5" s="139"/>
      <c r="F5" s="139"/>
      <c r="G5" s="139"/>
      <c r="H5" s="139"/>
      <c r="I5" s="140"/>
    </row>
    <row r="6" spans="1:9" ht="21" customHeight="1">
      <c r="A6" s="141" t="s">
        <v>160</v>
      </c>
      <c r="B6" s="142"/>
      <c r="C6" s="142"/>
      <c r="D6" s="142"/>
      <c r="E6" s="142"/>
      <c r="F6" s="142"/>
      <c r="G6" s="142"/>
      <c r="H6" s="142"/>
      <c r="I6" s="143"/>
    </row>
    <row r="7" spans="1:9" ht="15.75" customHeight="1">
      <c r="A7" s="144" t="s">
        <v>4</v>
      </c>
      <c r="B7" s="145"/>
      <c r="C7" s="145"/>
      <c r="D7" s="145"/>
      <c r="E7" s="145"/>
      <c r="F7" s="145"/>
      <c r="G7" s="145"/>
      <c r="H7" s="145"/>
      <c r="I7" s="145"/>
    </row>
    <row r="8" spans="1:9" ht="15.75" customHeight="1" thickBot="1">
      <c r="A8" s="146" t="s">
        <v>5</v>
      </c>
      <c r="B8" s="147"/>
      <c r="C8" s="147"/>
      <c r="D8" s="147"/>
      <c r="E8" s="147"/>
      <c r="F8" s="147"/>
      <c r="G8" s="147"/>
      <c r="H8" s="147"/>
      <c r="I8" s="147"/>
    </row>
    <row r="9" spans="1:9" ht="28.15" customHeight="1" thickBot="1">
      <c r="A9" s="2" t="s">
        <v>6</v>
      </c>
      <c r="B9" s="56" t="s">
        <v>7</v>
      </c>
      <c r="C9" s="57" t="s">
        <v>161</v>
      </c>
      <c r="D9" s="58" t="s">
        <v>194</v>
      </c>
      <c r="E9" s="58" t="s">
        <v>10</v>
      </c>
      <c r="F9" s="58" t="s">
        <v>162</v>
      </c>
      <c r="G9" s="58" t="s">
        <v>163</v>
      </c>
      <c r="H9" s="148" t="s">
        <v>164</v>
      </c>
      <c r="I9" s="148"/>
    </row>
    <row r="10" spans="1:9" ht="13.15" customHeight="1">
      <c r="A10" s="6" t="s">
        <v>14</v>
      </c>
      <c r="B10" s="7" t="s">
        <v>222</v>
      </c>
      <c r="C10" s="8" t="s">
        <v>224</v>
      </c>
      <c r="D10" s="8" t="s">
        <v>224</v>
      </c>
      <c r="E10" s="8" t="s">
        <v>224</v>
      </c>
      <c r="F10" s="8" t="s">
        <v>224</v>
      </c>
      <c r="G10" s="8" t="s">
        <v>224</v>
      </c>
      <c r="H10" s="130" t="s">
        <v>224</v>
      </c>
      <c r="I10" s="130" t="s">
        <v>224</v>
      </c>
    </row>
    <row r="11" spans="1:9" s="111" customFormat="1" ht="13.15" customHeight="1">
      <c r="A11" s="110"/>
      <c r="B11" s="12" t="s">
        <v>228</v>
      </c>
      <c r="C11" s="8" t="s">
        <v>224</v>
      </c>
      <c r="D11" s="8" t="s">
        <v>224</v>
      </c>
      <c r="E11" s="8" t="s">
        <v>224</v>
      </c>
      <c r="F11" s="8" t="s">
        <v>224</v>
      </c>
      <c r="G11" s="8" t="s">
        <v>224</v>
      </c>
      <c r="H11" s="130" t="s">
        <v>224</v>
      </c>
      <c r="I11" s="130" t="s">
        <v>224</v>
      </c>
    </row>
    <row r="12" spans="1:9" s="111" customFormat="1" ht="13.15" customHeight="1">
      <c r="A12" s="110"/>
      <c r="B12" s="12" t="s">
        <v>227</v>
      </c>
      <c r="C12" s="8" t="s">
        <v>224</v>
      </c>
      <c r="D12" s="8" t="s">
        <v>224</v>
      </c>
      <c r="E12" s="8" t="s">
        <v>224</v>
      </c>
      <c r="F12" s="8" t="s">
        <v>224</v>
      </c>
      <c r="G12" s="8" t="s">
        <v>224</v>
      </c>
      <c r="H12" s="130" t="s">
        <v>224</v>
      </c>
      <c r="I12" s="130" t="s">
        <v>224</v>
      </c>
    </row>
    <row r="13" spans="1:9" s="111" customFormat="1" ht="13.15" customHeight="1">
      <c r="A13" s="110"/>
      <c r="B13" s="12" t="s">
        <v>226</v>
      </c>
      <c r="C13" s="8" t="s">
        <v>224</v>
      </c>
      <c r="D13" s="8" t="s">
        <v>224</v>
      </c>
      <c r="E13" s="8" t="s">
        <v>224</v>
      </c>
      <c r="F13" s="8" t="s">
        <v>224</v>
      </c>
      <c r="G13" s="8" t="s">
        <v>224</v>
      </c>
      <c r="H13" s="130" t="s">
        <v>224</v>
      </c>
      <c r="I13" s="130" t="s">
        <v>224</v>
      </c>
    </row>
    <row r="14" spans="1:9" ht="13.15" customHeight="1">
      <c r="A14" s="102"/>
      <c r="B14" s="7" t="s">
        <v>13</v>
      </c>
      <c r="C14" s="8"/>
      <c r="D14" s="8"/>
      <c r="E14" s="8"/>
      <c r="F14" s="23"/>
      <c r="G14" s="59"/>
      <c r="H14" s="131"/>
      <c r="I14" s="131"/>
    </row>
    <row r="15" spans="1:9" ht="13.15" customHeight="1">
      <c r="A15" s="6" t="s">
        <v>23</v>
      </c>
      <c r="B15" s="7" t="s">
        <v>24</v>
      </c>
      <c r="C15" s="8"/>
      <c r="D15" s="8"/>
      <c r="E15" s="8"/>
      <c r="F15" s="23"/>
      <c r="G15" s="59"/>
      <c r="H15" s="131"/>
      <c r="I15" s="131"/>
    </row>
    <row r="16" spans="1:9" ht="13.15" customHeight="1">
      <c r="A16" s="11">
        <v>1</v>
      </c>
      <c r="B16" s="12" t="s">
        <v>203</v>
      </c>
      <c r="C16" s="8" t="s">
        <v>25</v>
      </c>
      <c r="D16" s="8" t="s">
        <v>26</v>
      </c>
      <c r="E16" s="60">
        <v>2500000</v>
      </c>
      <c r="F16" s="61">
        <v>2492.6999999999998</v>
      </c>
      <c r="G16" s="62">
        <v>6.08E-2</v>
      </c>
      <c r="H16" s="130">
        <v>5.6281999999999999E-2</v>
      </c>
      <c r="I16" s="130"/>
    </row>
    <row r="17" spans="1:9" ht="13.15" customHeight="1">
      <c r="A17" s="11">
        <f>A16+1</f>
        <v>2</v>
      </c>
      <c r="B17" s="12" t="s">
        <v>204</v>
      </c>
      <c r="C17" s="8" t="s">
        <v>28</v>
      </c>
      <c r="D17" s="8" t="s">
        <v>26</v>
      </c>
      <c r="E17" s="60">
        <v>2500000</v>
      </c>
      <c r="F17" s="61">
        <v>2478.48</v>
      </c>
      <c r="G17" s="62">
        <v>6.0499999999999998E-2</v>
      </c>
      <c r="H17" s="130">
        <v>5.6599999999999998E-2</v>
      </c>
      <c r="I17" s="130"/>
    </row>
    <row r="18" spans="1:9" ht="13.15" customHeight="1">
      <c r="A18" s="11">
        <f>A17+1</f>
        <v>3</v>
      </c>
      <c r="B18" s="12" t="s">
        <v>205</v>
      </c>
      <c r="C18" s="8" t="s">
        <v>29</v>
      </c>
      <c r="D18" s="8" t="s">
        <v>26</v>
      </c>
      <c r="E18" s="60">
        <v>2500000</v>
      </c>
      <c r="F18" s="61">
        <v>2477.98</v>
      </c>
      <c r="G18" s="62">
        <v>6.0499999999999998E-2</v>
      </c>
      <c r="H18" s="130">
        <v>5.6899999999999999E-2</v>
      </c>
      <c r="I18" s="130"/>
    </row>
    <row r="19" spans="1:9" ht="13.15" customHeight="1">
      <c r="A19" s="11">
        <f>A18+1</f>
        <v>4</v>
      </c>
      <c r="B19" s="12" t="s">
        <v>189</v>
      </c>
      <c r="C19" s="8" t="s">
        <v>30</v>
      </c>
      <c r="D19" s="8" t="s">
        <v>31</v>
      </c>
      <c r="E19" s="60">
        <v>2500000</v>
      </c>
      <c r="F19" s="61">
        <v>2472.9699999999998</v>
      </c>
      <c r="G19" s="62">
        <v>6.0400000000000002E-2</v>
      </c>
      <c r="H19" s="130">
        <v>5.7000000000000002E-2</v>
      </c>
      <c r="I19" s="130"/>
    </row>
    <row r="20" spans="1:9" ht="13.15" customHeight="1">
      <c r="A20" s="11">
        <f t="shared" ref="A20:A23" si="0">A19+1</f>
        <v>5</v>
      </c>
      <c r="B20" s="12" t="s">
        <v>206</v>
      </c>
      <c r="C20" s="8" t="s">
        <v>32</v>
      </c>
      <c r="D20" s="8" t="s">
        <v>26</v>
      </c>
      <c r="E20" s="60">
        <v>2500000</v>
      </c>
      <c r="F20" s="61">
        <v>2449.7399999999998</v>
      </c>
      <c r="G20" s="62">
        <v>5.9799999999999999E-2</v>
      </c>
      <c r="H20" s="130">
        <v>6.4000500000000002E-2</v>
      </c>
      <c r="I20" s="130"/>
    </row>
    <row r="21" spans="1:9" ht="13.15" customHeight="1">
      <c r="A21" s="11">
        <f t="shared" si="0"/>
        <v>6</v>
      </c>
      <c r="B21" s="12" t="s">
        <v>207</v>
      </c>
      <c r="C21" s="8" t="s">
        <v>33</v>
      </c>
      <c r="D21" s="8" t="s">
        <v>26</v>
      </c>
      <c r="E21" s="60">
        <v>2500000</v>
      </c>
      <c r="F21" s="61">
        <v>2436.39</v>
      </c>
      <c r="G21" s="62">
        <v>5.9499999999999997E-2</v>
      </c>
      <c r="H21" s="130">
        <v>6.4394999999999994E-2</v>
      </c>
      <c r="I21" s="130"/>
    </row>
    <row r="22" spans="1:9" ht="13.15" customHeight="1">
      <c r="A22" s="11">
        <f t="shared" si="0"/>
        <v>7</v>
      </c>
      <c r="B22" s="12" t="s">
        <v>208</v>
      </c>
      <c r="C22" s="8" t="s">
        <v>209</v>
      </c>
      <c r="D22" s="8" t="s">
        <v>27</v>
      </c>
      <c r="E22" s="60">
        <v>2500000</v>
      </c>
      <c r="F22" s="61">
        <v>2380.31</v>
      </c>
      <c r="G22" s="62">
        <v>5.8099999999999999E-2</v>
      </c>
      <c r="H22" s="130">
        <v>6.7978999999999998E-2</v>
      </c>
      <c r="I22" s="130"/>
    </row>
    <row r="23" spans="1:9" ht="13.15" customHeight="1">
      <c r="A23" s="11">
        <f t="shared" si="0"/>
        <v>8</v>
      </c>
      <c r="B23" s="12" t="s">
        <v>210</v>
      </c>
      <c r="C23" s="8" t="s">
        <v>211</v>
      </c>
      <c r="D23" s="8" t="s">
        <v>26</v>
      </c>
      <c r="E23" s="60">
        <v>2500000</v>
      </c>
      <c r="F23" s="61">
        <v>2350.7199999999998</v>
      </c>
      <c r="G23" s="62">
        <v>5.74E-2</v>
      </c>
      <c r="H23" s="130">
        <v>6.8987000000000007E-2</v>
      </c>
      <c r="I23" s="130"/>
    </row>
    <row r="24" spans="1:9" ht="13.15" customHeight="1">
      <c r="A24" s="11"/>
      <c r="B24" s="7" t="s">
        <v>22</v>
      </c>
      <c r="C24" s="8"/>
      <c r="D24" s="8"/>
      <c r="E24" s="8"/>
      <c r="F24" s="63">
        <v>19539.29</v>
      </c>
      <c r="G24" s="64">
        <v>0.47699999999999998</v>
      </c>
      <c r="H24" s="128"/>
      <c r="I24" s="128"/>
    </row>
    <row r="25" spans="1:9" ht="13.15" customHeight="1">
      <c r="A25" s="11">
        <f t="shared" ref="A25:A28" si="1">A24+1</f>
        <v>1</v>
      </c>
      <c r="B25" s="7" t="s">
        <v>35</v>
      </c>
      <c r="C25" s="8"/>
      <c r="D25" s="8"/>
      <c r="E25" s="8"/>
      <c r="F25" s="23"/>
      <c r="G25" s="59"/>
      <c r="H25" s="131"/>
      <c r="I25" s="131"/>
    </row>
    <row r="26" spans="1:9" ht="13.15" customHeight="1">
      <c r="A26" s="11">
        <f t="shared" si="1"/>
        <v>2</v>
      </c>
      <c r="B26" s="12" t="s">
        <v>212</v>
      </c>
      <c r="C26" s="8" t="s">
        <v>36</v>
      </c>
      <c r="D26" s="8" t="s">
        <v>26</v>
      </c>
      <c r="E26" s="60">
        <v>2500000</v>
      </c>
      <c r="F26" s="61">
        <v>2485.6999999999998</v>
      </c>
      <c r="G26" s="62">
        <v>6.0699999999999997E-2</v>
      </c>
      <c r="H26" s="130">
        <v>0.06</v>
      </c>
      <c r="I26" s="130"/>
    </row>
    <row r="27" spans="1:9" ht="13.15" customHeight="1">
      <c r="A27" s="11">
        <f t="shared" si="1"/>
        <v>3</v>
      </c>
      <c r="B27" s="12" t="s">
        <v>213</v>
      </c>
      <c r="C27" s="8" t="s">
        <v>37</v>
      </c>
      <c r="D27" s="8" t="s">
        <v>26</v>
      </c>
      <c r="E27" s="60">
        <v>2500000</v>
      </c>
      <c r="F27" s="61">
        <v>2452.25</v>
      </c>
      <c r="G27" s="62">
        <v>5.9799999999999999E-2</v>
      </c>
      <c r="H27" s="130">
        <v>6.7049999999999998E-2</v>
      </c>
      <c r="I27" s="130"/>
    </row>
    <row r="28" spans="1:9" ht="13.15" customHeight="1">
      <c r="A28" s="11">
        <f t="shared" si="1"/>
        <v>4</v>
      </c>
      <c r="B28" s="12" t="s">
        <v>214</v>
      </c>
      <c r="C28" s="8" t="s">
        <v>38</v>
      </c>
      <c r="D28" s="8" t="s">
        <v>26</v>
      </c>
      <c r="E28" s="60">
        <v>2500000</v>
      </c>
      <c r="F28" s="61">
        <v>2405.29</v>
      </c>
      <c r="G28" s="62">
        <v>5.8700000000000002E-2</v>
      </c>
      <c r="H28" s="130">
        <v>7.0449999999999999E-2</v>
      </c>
      <c r="I28" s="130"/>
    </row>
    <row r="29" spans="1:9" ht="13.15" customHeight="1">
      <c r="A29" s="11"/>
      <c r="B29" s="7" t="s">
        <v>22</v>
      </c>
      <c r="C29" s="8"/>
      <c r="D29" s="8"/>
      <c r="E29" s="8"/>
      <c r="F29" s="63">
        <v>7343.24</v>
      </c>
      <c r="G29" s="64">
        <v>0.1792</v>
      </c>
      <c r="H29" s="128"/>
      <c r="I29" s="128"/>
    </row>
    <row r="30" spans="1:9" ht="13.15" customHeight="1">
      <c r="A30" s="6" t="s">
        <v>34</v>
      </c>
      <c r="B30" s="7" t="s">
        <v>195</v>
      </c>
      <c r="C30" s="8"/>
      <c r="D30" s="8"/>
      <c r="E30" s="8"/>
      <c r="F30" s="23"/>
      <c r="G30" s="59"/>
      <c r="H30" s="131"/>
      <c r="I30" s="131"/>
    </row>
    <row r="31" spans="1:9" ht="13.15" customHeight="1">
      <c r="A31" s="13">
        <v>1</v>
      </c>
      <c r="B31" s="12" t="s">
        <v>15</v>
      </c>
      <c r="C31" s="8" t="s">
        <v>16</v>
      </c>
      <c r="D31" s="8" t="s">
        <v>17</v>
      </c>
      <c r="E31" s="60">
        <v>7500000</v>
      </c>
      <c r="F31" s="61">
        <v>7388.82</v>
      </c>
      <c r="G31" s="62">
        <v>0.18029999999999999</v>
      </c>
      <c r="H31" s="130">
        <v>5.2308E-2</v>
      </c>
      <c r="I31" s="130"/>
    </row>
    <row r="32" spans="1:9" ht="13.15" customHeight="1">
      <c r="A32" s="11">
        <v>2</v>
      </c>
      <c r="B32" s="12" t="s">
        <v>20</v>
      </c>
      <c r="C32" s="8" t="s">
        <v>21</v>
      </c>
      <c r="D32" s="8" t="s">
        <v>17</v>
      </c>
      <c r="E32" s="60">
        <v>2500000</v>
      </c>
      <c r="F32" s="61">
        <v>2447.27</v>
      </c>
      <c r="G32" s="62">
        <v>5.9700000000000003E-2</v>
      </c>
      <c r="H32" s="130">
        <v>5.3499999999999999E-2</v>
      </c>
      <c r="I32" s="130"/>
    </row>
    <row r="33" spans="1:9" ht="13.15" customHeight="1">
      <c r="A33" s="11">
        <v>3</v>
      </c>
      <c r="B33" s="12" t="s">
        <v>215</v>
      </c>
      <c r="C33" s="8" t="s">
        <v>216</v>
      </c>
      <c r="D33" s="8" t="s">
        <v>17</v>
      </c>
      <c r="E33" s="60">
        <v>2500000</v>
      </c>
      <c r="F33" s="61">
        <v>2390.59</v>
      </c>
      <c r="G33" s="62">
        <v>5.8299999999999998E-2</v>
      </c>
      <c r="H33" s="130">
        <v>5.5500000000000001E-2</v>
      </c>
      <c r="I33" s="130"/>
    </row>
    <row r="34" spans="1:9" ht="13.15" customHeight="1">
      <c r="A34" s="6"/>
      <c r="B34" s="7" t="s">
        <v>22</v>
      </c>
      <c r="C34" s="8"/>
      <c r="D34" s="8"/>
      <c r="E34" s="8"/>
      <c r="F34" s="63">
        <v>12226.68</v>
      </c>
      <c r="G34" s="64">
        <v>0.29830000000000001</v>
      </c>
      <c r="H34" s="128"/>
      <c r="I34" s="128"/>
    </row>
    <row r="35" spans="1:9" ht="13.15" customHeight="1">
      <c r="A35" s="11"/>
      <c r="B35" s="15" t="s">
        <v>41</v>
      </c>
      <c r="C35" s="17"/>
      <c r="D35" s="16"/>
      <c r="E35" s="17"/>
      <c r="F35" s="63">
        <v>39109.21</v>
      </c>
      <c r="G35" s="64">
        <v>0.95450000000000002</v>
      </c>
      <c r="H35" s="128"/>
      <c r="I35" s="128"/>
    </row>
    <row r="36" spans="1:9" ht="13.15" customHeight="1">
      <c r="A36" s="11"/>
      <c r="B36" s="7" t="s">
        <v>67</v>
      </c>
      <c r="C36" s="8"/>
      <c r="D36" s="8"/>
      <c r="E36" s="8"/>
      <c r="F36" s="23"/>
      <c r="G36" s="59"/>
      <c r="H36" s="131"/>
      <c r="I36" s="131"/>
    </row>
    <row r="37" spans="1:9" ht="13.15" customHeight="1">
      <c r="A37" s="6" t="s">
        <v>42</v>
      </c>
      <c r="B37" s="7" t="s">
        <v>192</v>
      </c>
      <c r="C37" s="8"/>
      <c r="D37" s="8"/>
      <c r="E37" s="8"/>
      <c r="F37" s="23"/>
      <c r="G37" s="59"/>
      <c r="H37" s="131"/>
      <c r="I37" s="131"/>
    </row>
    <row r="38" spans="1:9" ht="13.15" customHeight="1">
      <c r="A38" s="11">
        <v>1</v>
      </c>
      <c r="B38" s="12" t="s">
        <v>192</v>
      </c>
      <c r="C38" s="8" t="s">
        <v>193</v>
      </c>
      <c r="D38" s="8"/>
      <c r="E38" s="60">
        <v>1358.2629999999999</v>
      </c>
      <c r="F38" s="61">
        <v>159.38</v>
      </c>
      <c r="G38" s="62">
        <v>3.8999999999999998E-3</v>
      </c>
      <c r="H38" s="130"/>
      <c r="I38" s="130"/>
    </row>
    <row r="39" spans="1:9" ht="13.15" customHeight="1">
      <c r="A39" s="6"/>
      <c r="B39" s="7" t="s">
        <v>22</v>
      </c>
      <c r="C39" s="8"/>
      <c r="D39" s="8"/>
      <c r="E39" s="8"/>
      <c r="F39" s="63">
        <v>159.38</v>
      </c>
      <c r="G39" s="64">
        <v>3.8999999999999998E-3</v>
      </c>
      <c r="H39" s="128"/>
      <c r="I39" s="128"/>
    </row>
    <row r="40" spans="1:9" ht="13.15" customHeight="1">
      <c r="A40" s="11"/>
      <c r="B40" s="15" t="s">
        <v>41</v>
      </c>
      <c r="C40" s="17"/>
      <c r="D40" s="16"/>
      <c r="E40" s="17"/>
      <c r="F40" s="63">
        <v>159.38</v>
      </c>
      <c r="G40" s="64">
        <v>3.8999999999999998E-3</v>
      </c>
      <c r="H40" s="128"/>
      <c r="I40" s="128"/>
    </row>
    <row r="41" spans="1:9" ht="13.15" customHeight="1">
      <c r="A41" s="6" t="s">
        <v>202</v>
      </c>
      <c r="B41" s="7" t="s">
        <v>165</v>
      </c>
      <c r="C41" s="8"/>
      <c r="D41" s="8"/>
      <c r="E41" s="8"/>
      <c r="F41" s="23"/>
      <c r="G41" s="59"/>
      <c r="H41" s="131"/>
      <c r="I41" s="131"/>
    </row>
    <row r="42" spans="1:9" ht="13.15" customHeight="1">
      <c r="A42" s="11">
        <v>1</v>
      </c>
      <c r="B42" s="12" t="s">
        <v>166</v>
      </c>
      <c r="C42" s="8"/>
      <c r="D42" s="8" t="s">
        <v>167</v>
      </c>
      <c r="E42" s="60"/>
      <c r="F42" s="61">
        <v>1826</v>
      </c>
      <c r="G42" s="62">
        <v>4.4600000000000001E-2</v>
      </c>
      <c r="H42" s="130">
        <v>4.7293845564074483E-2</v>
      </c>
      <c r="I42" s="130"/>
    </row>
    <row r="43" spans="1:9" ht="13.15" customHeight="1">
      <c r="A43" s="23"/>
      <c r="B43" s="7" t="s">
        <v>22</v>
      </c>
      <c r="C43" s="8"/>
      <c r="D43" s="8"/>
      <c r="E43" s="8"/>
      <c r="F43" s="63">
        <v>1826</v>
      </c>
      <c r="G43" s="64">
        <v>4.4600000000000001E-2</v>
      </c>
      <c r="H43" s="128"/>
      <c r="I43" s="128"/>
    </row>
    <row r="44" spans="1:9" ht="13.15" customHeight="1">
      <c r="A44" s="23"/>
      <c r="B44" s="15" t="s">
        <v>41</v>
      </c>
      <c r="C44" s="17"/>
      <c r="D44" s="16"/>
      <c r="E44" s="17"/>
      <c r="F44" s="63">
        <v>1826</v>
      </c>
      <c r="G44" s="64">
        <v>4.4600000000000001E-2</v>
      </c>
      <c r="H44" s="128"/>
      <c r="I44" s="128"/>
    </row>
    <row r="45" spans="1:9" ht="13.15" customHeight="1">
      <c r="A45" s="23"/>
      <c r="B45" s="15" t="s">
        <v>43</v>
      </c>
      <c r="C45" s="8"/>
      <c r="D45" s="16"/>
      <c r="E45" s="8"/>
      <c r="F45" s="65">
        <v>-121</v>
      </c>
      <c r="G45" s="64">
        <v>-3.0000000000000001E-3</v>
      </c>
      <c r="H45" s="128"/>
      <c r="I45" s="128"/>
    </row>
    <row r="46" spans="1:9" ht="13.15" customHeight="1" thickBot="1">
      <c r="A46" s="23"/>
      <c r="B46" s="18" t="s">
        <v>44</v>
      </c>
      <c r="C46" s="19"/>
      <c r="D46" s="19"/>
      <c r="E46" s="19"/>
      <c r="F46" s="66">
        <v>40973.589999999997</v>
      </c>
      <c r="G46" s="67">
        <v>1</v>
      </c>
      <c r="H46" s="129"/>
      <c r="I46" s="129"/>
    </row>
    <row r="47" spans="1:9" ht="13.15" customHeight="1">
      <c r="A47" s="23"/>
      <c r="B47" s="21"/>
      <c r="C47" s="23"/>
      <c r="D47" s="23"/>
      <c r="E47" s="23"/>
      <c r="F47" s="23"/>
      <c r="G47" s="23"/>
      <c r="H47" s="23"/>
      <c r="I47" s="23"/>
    </row>
    <row r="48" spans="1:9">
      <c r="A48" s="23"/>
      <c r="B48" s="20" t="s">
        <v>167</v>
      </c>
      <c r="C48" s="23"/>
      <c r="D48" s="23"/>
      <c r="E48" s="23"/>
      <c r="F48" s="23"/>
      <c r="G48" s="23"/>
      <c r="H48" s="23"/>
      <c r="I48" s="23"/>
    </row>
    <row r="49" spans="1:9">
      <c r="A49" s="23"/>
      <c r="B49" s="20" t="s">
        <v>196</v>
      </c>
      <c r="C49" s="23"/>
      <c r="D49" s="23"/>
      <c r="E49" s="23"/>
      <c r="F49" s="23"/>
      <c r="G49" s="23"/>
      <c r="H49" s="23"/>
      <c r="I49" s="23"/>
    </row>
    <row r="50" spans="1:9">
      <c r="A50" s="23"/>
      <c r="B50" s="20" t="s">
        <v>46</v>
      </c>
      <c r="C50" s="23"/>
      <c r="D50" s="23"/>
      <c r="E50" s="23"/>
      <c r="F50" s="23"/>
      <c r="G50" s="23"/>
      <c r="H50" s="23"/>
      <c r="I50" s="23"/>
    </row>
    <row r="51" spans="1:9">
      <c r="A51" s="23"/>
    </row>
    <row r="52" spans="1:9">
      <c r="A52" s="23"/>
      <c r="B52" s="24" t="s">
        <v>48</v>
      </c>
      <c r="C52" s="24"/>
      <c r="D52" s="25"/>
    </row>
    <row r="53" spans="1:9">
      <c r="A53" s="23"/>
      <c r="B53" s="26" t="s">
        <v>49</v>
      </c>
      <c r="C53" s="24"/>
      <c r="D53" s="27" t="s">
        <v>50</v>
      </c>
    </row>
    <row r="54" spans="1:9">
      <c r="A54" s="23"/>
      <c r="B54" s="26" t="s">
        <v>217</v>
      </c>
      <c r="C54" s="26"/>
      <c r="D54" s="25"/>
    </row>
    <row r="55" spans="1:9">
      <c r="A55" s="23"/>
      <c r="B55" s="30" t="s">
        <v>54</v>
      </c>
      <c r="C55" s="29"/>
      <c r="D55" s="95">
        <v>11.8026</v>
      </c>
    </row>
    <row r="56" spans="1:9">
      <c r="A56" s="23"/>
      <c r="B56" s="30" t="s">
        <v>51</v>
      </c>
      <c r="C56" s="29"/>
      <c r="D56" s="95">
        <v>18.189699999999998</v>
      </c>
    </row>
    <row r="57" spans="1:9">
      <c r="A57" s="23"/>
      <c r="B57" s="30" t="s">
        <v>55</v>
      </c>
      <c r="C57" s="29"/>
      <c r="D57" s="95">
        <v>11.75</v>
      </c>
    </row>
    <row r="58" spans="1:9">
      <c r="A58" s="23"/>
      <c r="B58" s="30" t="s">
        <v>56</v>
      </c>
      <c r="C58" s="29"/>
      <c r="D58" s="95">
        <v>11.965999999999999</v>
      </c>
    </row>
    <row r="59" spans="1:9">
      <c r="A59" s="23"/>
      <c r="B59" s="30" t="s">
        <v>53</v>
      </c>
      <c r="C59" s="29"/>
      <c r="D59" s="95">
        <v>11.735300000000001</v>
      </c>
    </row>
    <row r="60" spans="1:9">
      <c r="A60" s="23"/>
      <c r="B60" s="30" t="s">
        <v>52</v>
      </c>
      <c r="C60" s="29"/>
      <c r="D60" s="95">
        <v>11.735200000000001</v>
      </c>
    </row>
    <row r="61" spans="1:9">
      <c r="A61" s="23"/>
      <c r="B61" s="30" t="s">
        <v>58</v>
      </c>
      <c r="C61" s="29"/>
      <c r="D61" s="95">
        <v>11.4518</v>
      </c>
    </row>
    <row r="62" spans="1:9">
      <c r="A62" s="23"/>
      <c r="B62" s="30" t="s">
        <v>60</v>
      </c>
      <c r="C62" s="29"/>
      <c r="D62" s="95">
        <v>11.506399999999999</v>
      </c>
    </row>
    <row r="63" spans="1:9">
      <c r="A63" s="23"/>
      <c r="B63" s="30" t="s">
        <v>57</v>
      </c>
      <c r="C63" s="29"/>
      <c r="D63" s="95">
        <v>17.077500000000001</v>
      </c>
    </row>
    <row r="64" spans="1:9">
      <c r="A64" s="23"/>
      <c r="B64" s="30" t="s">
        <v>61</v>
      </c>
      <c r="C64" s="29"/>
      <c r="D64" s="95">
        <v>11.4778</v>
      </c>
    </row>
    <row r="65" spans="1:4">
      <c r="A65" s="23"/>
      <c r="B65" s="30" t="s">
        <v>62</v>
      </c>
      <c r="C65" s="29"/>
      <c r="D65" s="95">
        <v>11.6448</v>
      </c>
    </row>
    <row r="66" spans="1:4">
      <c r="A66" s="23"/>
      <c r="B66" s="30" t="s">
        <v>59</v>
      </c>
      <c r="C66" s="29"/>
      <c r="D66" s="95">
        <v>11.4711</v>
      </c>
    </row>
    <row r="67" spans="1:4">
      <c r="A67" s="23"/>
      <c r="B67" s="26" t="s">
        <v>218</v>
      </c>
      <c r="C67" s="26"/>
      <c r="D67" s="25"/>
    </row>
    <row r="68" spans="1:4">
      <c r="A68" s="23"/>
      <c r="B68" s="30" t="s">
        <v>54</v>
      </c>
      <c r="C68" s="29"/>
      <c r="D68" s="31">
        <v>11.803599999999999</v>
      </c>
    </row>
    <row r="69" spans="1:4">
      <c r="A69" s="23"/>
      <c r="B69" s="30" t="s">
        <v>51</v>
      </c>
      <c r="C69" s="29"/>
      <c r="D69" s="31">
        <v>18.277899999999999</v>
      </c>
    </row>
    <row r="70" spans="1:4">
      <c r="A70" s="23"/>
      <c r="B70" s="30" t="s">
        <v>55</v>
      </c>
      <c r="C70" s="29"/>
      <c r="D70" s="31">
        <v>11.8072</v>
      </c>
    </row>
    <row r="71" spans="1:4">
      <c r="A71" s="23"/>
      <c r="B71" s="30" t="s">
        <v>56</v>
      </c>
      <c r="C71" s="29"/>
      <c r="D71" s="31">
        <v>12.023999999999999</v>
      </c>
    </row>
    <row r="72" spans="1:4">
      <c r="A72" s="23"/>
      <c r="B72" s="30" t="s">
        <v>53</v>
      </c>
      <c r="C72" s="29"/>
      <c r="D72" s="31">
        <v>11.7363</v>
      </c>
    </row>
    <row r="73" spans="1:4">
      <c r="A73" s="23"/>
      <c r="B73" s="30" t="s">
        <v>52</v>
      </c>
      <c r="C73" s="29"/>
      <c r="D73" s="31">
        <v>11.7326</v>
      </c>
    </row>
    <row r="74" spans="1:4">
      <c r="A74" s="23"/>
      <c r="B74" s="30" t="s">
        <v>58</v>
      </c>
      <c r="C74" s="29"/>
      <c r="D74" s="31">
        <v>11.4495</v>
      </c>
    </row>
    <row r="75" spans="1:4">
      <c r="A75" s="23"/>
      <c r="B75" s="30" t="s">
        <v>60</v>
      </c>
      <c r="C75" s="29"/>
      <c r="D75" s="31">
        <v>11.5068</v>
      </c>
    </row>
    <row r="76" spans="1:4">
      <c r="A76" s="23"/>
      <c r="B76" s="30" t="s">
        <v>57</v>
      </c>
      <c r="C76" s="29"/>
      <c r="D76" s="31">
        <v>17.153700000000001</v>
      </c>
    </row>
    <row r="77" spans="1:4">
      <c r="A77" s="23"/>
      <c r="B77" s="30" t="s">
        <v>61</v>
      </c>
      <c r="C77" s="29"/>
      <c r="D77" s="31">
        <v>11.529</v>
      </c>
    </row>
    <row r="78" spans="1:4">
      <c r="A78" s="23"/>
      <c r="B78" s="30" t="s">
        <v>62</v>
      </c>
      <c r="C78" s="29"/>
      <c r="D78" s="31">
        <v>11.6967</v>
      </c>
    </row>
    <row r="79" spans="1:4">
      <c r="A79" s="23"/>
      <c r="B79" s="30" t="s">
        <v>59</v>
      </c>
      <c r="C79" s="29"/>
      <c r="D79" s="31">
        <v>11.4716</v>
      </c>
    </row>
    <row r="80" spans="1:4">
      <c r="A80" s="23"/>
      <c r="B80" s="30"/>
      <c r="C80" s="29"/>
      <c r="D80" s="31"/>
    </row>
    <row r="81" spans="1:5" s="113" customFormat="1">
      <c r="A81" s="112"/>
      <c r="B81" s="114" t="s">
        <v>219</v>
      </c>
      <c r="C81" s="114"/>
      <c r="D81" s="115"/>
      <c r="E81" s="115" t="s">
        <v>50</v>
      </c>
    </row>
    <row r="82" spans="1:5" s="42" customFormat="1">
      <c r="A82" s="97"/>
      <c r="B82" s="116" t="s">
        <v>242</v>
      </c>
      <c r="C82" s="116"/>
      <c r="D82" s="115"/>
      <c r="E82" s="115" t="s">
        <v>50</v>
      </c>
    </row>
    <row r="83" spans="1:5" s="42" customFormat="1">
      <c r="A83" s="97"/>
      <c r="B83" s="116" t="s">
        <v>243</v>
      </c>
      <c r="C83" s="116"/>
      <c r="D83" s="115"/>
      <c r="E83" s="115" t="s">
        <v>50</v>
      </c>
    </row>
    <row r="84" spans="1:5" s="42" customFormat="1">
      <c r="A84" s="97"/>
      <c r="B84" s="116" t="s">
        <v>244</v>
      </c>
      <c r="C84" s="116"/>
      <c r="D84" s="115"/>
      <c r="E84" s="115" t="s">
        <v>50</v>
      </c>
    </row>
    <row r="85" spans="1:5" s="42" customFormat="1">
      <c r="A85" s="97"/>
      <c r="B85" s="116" t="s">
        <v>245</v>
      </c>
      <c r="C85" s="116"/>
      <c r="D85" s="115"/>
      <c r="E85" s="115" t="s">
        <v>50</v>
      </c>
    </row>
    <row r="86" spans="1:5" s="42" customFormat="1">
      <c r="A86" s="97"/>
      <c r="B86" s="116" t="s">
        <v>246</v>
      </c>
      <c r="C86" s="116"/>
      <c r="D86" s="115"/>
      <c r="E86" s="115" t="s">
        <v>50</v>
      </c>
    </row>
    <row r="87" spans="1:5" s="42" customFormat="1">
      <c r="A87" s="97"/>
      <c r="B87" s="98"/>
      <c r="C87" s="98"/>
      <c r="D87" s="99"/>
    </row>
    <row r="88" spans="1:5">
      <c r="A88" s="36"/>
      <c r="B88" s="26" t="s">
        <v>200</v>
      </c>
      <c r="C88" s="26"/>
      <c r="D88" s="28" t="s">
        <v>50</v>
      </c>
    </row>
    <row r="89" spans="1:5">
      <c r="A89" s="38" t="s">
        <v>68</v>
      </c>
      <c r="B89" s="32" t="s">
        <v>63</v>
      </c>
      <c r="C89" s="32"/>
      <c r="D89" s="33" t="s">
        <v>220</v>
      </c>
    </row>
    <row r="90" spans="1:5">
      <c r="A90" s="38" t="s">
        <v>70</v>
      </c>
      <c r="B90" s="24" t="s">
        <v>221</v>
      </c>
      <c r="C90" s="34"/>
      <c r="D90" s="35" t="s">
        <v>64</v>
      </c>
    </row>
    <row r="91" spans="1:5">
      <c r="A91" s="38" t="s">
        <v>72</v>
      </c>
      <c r="B91" s="37" t="s">
        <v>65</v>
      </c>
      <c r="C91" s="34" t="s">
        <v>66</v>
      </c>
      <c r="D91" s="34" t="s">
        <v>67</v>
      </c>
    </row>
    <row r="92" spans="1:5">
      <c r="A92" s="38" t="s">
        <v>74</v>
      </c>
      <c r="B92" s="32" t="s">
        <v>69</v>
      </c>
      <c r="C92" s="39">
        <v>5.6220140000000002E-2</v>
      </c>
      <c r="D92" s="40">
        <v>5.6220140000000002E-2</v>
      </c>
    </row>
    <row r="93" spans="1:5">
      <c r="A93" s="38" t="s">
        <v>76</v>
      </c>
      <c r="B93" s="32" t="s">
        <v>71</v>
      </c>
      <c r="C93" s="80">
        <v>0</v>
      </c>
      <c r="D93" s="80">
        <v>0</v>
      </c>
    </row>
    <row r="94" spans="1:5">
      <c r="A94" s="38" t="s">
        <v>78</v>
      </c>
      <c r="B94" s="32" t="s">
        <v>73</v>
      </c>
      <c r="C94" s="80">
        <v>0</v>
      </c>
      <c r="D94" s="80">
        <v>0</v>
      </c>
    </row>
    <row r="95" spans="1:5">
      <c r="A95" s="38" t="s">
        <v>80</v>
      </c>
      <c r="B95" s="32" t="s">
        <v>75</v>
      </c>
      <c r="C95" s="39">
        <v>5.584658E-2</v>
      </c>
      <c r="D95" s="40">
        <v>5.584658E-2</v>
      </c>
    </row>
    <row r="96" spans="1:5">
      <c r="A96" s="38" t="s">
        <v>82</v>
      </c>
      <c r="B96" s="32" t="s">
        <v>77</v>
      </c>
      <c r="C96" s="39">
        <v>5.9448290000000008E-2</v>
      </c>
      <c r="D96" s="40">
        <v>5.9448290000000008E-2</v>
      </c>
    </row>
    <row r="97" spans="1:6">
      <c r="A97" s="38" t="s">
        <v>84</v>
      </c>
      <c r="B97" s="32" t="s">
        <v>79</v>
      </c>
      <c r="C97" s="39">
        <v>5.3254000000000003E-2</v>
      </c>
      <c r="D97" s="40">
        <v>5.3254000000000003E-2</v>
      </c>
    </row>
    <row r="98" spans="1:6">
      <c r="A98" s="38" t="s">
        <v>86</v>
      </c>
      <c r="B98" s="32" t="s">
        <v>81</v>
      </c>
      <c r="C98" s="39">
        <v>5.0820230000000001E-2</v>
      </c>
      <c r="D98" s="40">
        <v>5.0820230000000001E-2</v>
      </c>
    </row>
    <row r="99" spans="1:6">
      <c r="B99" s="32" t="s">
        <v>83</v>
      </c>
      <c r="C99" s="80">
        <v>0</v>
      </c>
      <c r="D99" s="80">
        <v>0</v>
      </c>
    </row>
    <row r="100" spans="1:6">
      <c r="B100" s="32" t="s">
        <v>85</v>
      </c>
      <c r="C100" s="80">
        <v>0</v>
      </c>
      <c r="D100" s="80">
        <v>0</v>
      </c>
    </row>
    <row r="101" spans="1:6">
      <c r="B101" s="32" t="s">
        <v>87</v>
      </c>
      <c r="C101" s="39">
        <v>5.0564949999999997E-2</v>
      </c>
      <c r="D101" s="40">
        <v>5.0564949999999997E-2</v>
      </c>
    </row>
    <row r="102" spans="1:6">
      <c r="F102" s="42" t="s">
        <v>231</v>
      </c>
    </row>
    <row r="103" spans="1:6">
      <c r="B103" s="42" t="s">
        <v>88</v>
      </c>
      <c r="F103" s="42" t="s">
        <v>89</v>
      </c>
    </row>
    <row r="117" spans="2:5" ht="15.75" thickBot="1"/>
    <row r="118" spans="2:5">
      <c r="B118" s="117" t="s">
        <v>167</v>
      </c>
      <c r="C118" s="117" t="s">
        <v>232</v>
      </c>
      <c r="D118" s="117" t="s">
        <v>233</v>
      </c>
      <c r="E118" s="117" t="s">
        <v>234</v>
      </c>
    </row>
    <row r="119" spans="2:5" ht="15.75" thickBot="1">
      <c r="B119" s="123"/>
      <c r="C119" s="119"/>
      <c r="D119" s="119"/>
      <c r="E119" s="119"/>
    </row>
    <row r="120" spans="2:5">
      <c r="B120" s="124" t="s">
        <v>235</v>
      </c>
      <c r="C120" s="125"/>
      <c r="D120" s="125" t="s">
        <v>236</v>
      </c>
      <c r="E120" s="117"/>
    </row>
    <row r="121" spans="2:5">
      <c r="B121" s="118"/>
      <c r="C121" s="126"/>
      <c r="D121" s="126"/>
      <c r="E121" s="118"/>
    </row>
    <row r="122" spans="2:5" ht="15.75" thickBot="1">
      <c r="B122" s="119"/>
      <c r="C122" s="127"/>
      <c r="D122" s="127"/>
      <c r="E122" s="119"/>
    </row>
    <row r="123" spans="2:5">
      <c r="B123" s="117" t="s">
        <v>237</v>
      </c>
      <c r="C123" s="117"/>
      <c r="D123" s="117"/>
      <c r="E123" s="117"/>
    </row>
    <row r="124" spans="2:5">
      <c r="B124" s="118"/>
      <c r="C124" s="118"/>
      <c r="D124" s="118"/>
      <c r="E124" s="118"/>
    </row>
    <row r="125" spans="2:5" ht="15.75" thickBot="1">
      <c r="B125" s="119"/>
      <c r="C125" s="119"/>
      <c r="D125" s="119"/>
      <c r="E125" s="119"/>
    </row>
    <row r="126" spans="2:5">
      <c r="B126" s="117" t="s">
        <v>238</v>
      </c>
      <c r="C126" s="120"/>
      <c r="D126" s="117"/>
      <c r="E126" s="117"/>
    </row>
    <row r="127" spans="2:5">
      <c r="B127" s="118"/>
      <c r="C127" s="121"/>
      <c r="D127" s="118"/>
      <c r="E127" s="118"/>
    </row>
    <row r="128" spans="2:5" ht="15.75" thickBot="1">
      <c r="B128" s="119"/>
      <c r="C128" s="122"/>
      <c r="D128" s="119"/>
      <c r="E128" s="119"/>
    </row>
  </sheetData>
  <mergeCells count="66">
    <mergeCell ref="H12:I12"/>
    <mergeCell ref="H13:I13"/>
    <mergeCell ref="A7:I7"/>
    <mergeCell ref="A8:I8"/>
    <mergeCell ref="H9:I9"/>
    <mergeCell ref="H10:I10"/>
    <mergeCell ref="H11:I11"/>
    <mergeCell ref="A2:I2"/>
    <mergeCell ref="A3:I3"/>
    <mergeCell ref="A4:I4"/>
    <mergeCell ref="A5:I5"/>
    <mergeCell ref="A6:I6"/>
    <mergeCell ref="H25:I25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37:I37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44:I44"/>
    <mergeCell ref="H45:I45"/>
    <mergeCell ref="H46:I46"/>
    <mergeCell ref="H38:I38"/>
    <mergeCell ref="H39:I39"/>
    <mergeCell ref="H40:I40"/>
    <mergeCell ref="H41:I41"/>
    <mergeCell ref="H42:I42"/>
    <mergeCell ref="H43:I43"/>
    <mergeCell ref="B118:B119"/>
    <mergeCell ref="C118:C119"/>
    <mergeCell ref="D118:D119"/>
    <mergeCell ref="E118:E119"/>
    <mergeCell ref="B120:B122"/>
    <mergeCell ref="C120:C122"/>
    <mergeCell ref="D120:D122"/>
    <mergeCell ref="E120:E122"/>
    <mergeCell ref="B123:B125"/>
    <mergeCell ref="C123:C125"/>
    <mergeCell ref="D123:D125"/>
    <mergeCell ref="E123:E125"/>
    <mergeCell ref="B126:B128"/>
    <mergeCell ref="C126:C128"/>
    <mergeCell ref="D126:D128"/>
    <mergeCell ref="E126:E128"/>
    <mergeCell ref="B82:C82"/>
    <mergeCell ref="B83:C83"/>
    <mergeCell ref="B84:C84"/>
    <mergeCell ref="B85:C85"/>
    <mergeCell ref="B86:C8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41"/>
  <sheetViews>
    <sheetView topLeftCell="A92" workbookViewId="0">
      <selection activeCell="A92" sqref="A1:XFD1048576"/>
    </sheetView>
  </sheetViews>
  <sheetFormatPr defaultColWidth="8.7109375" defaultRowHeight="15"/>
  <cols>
    <col min="1" max="1" width="9.42578125" bestFit="1" customWidth="1"/>
    <col min="2" max="2" width="48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9" ht="15.75" thickBot="1">
      <c r="A1" s="1" t="s">
        <v>90</v>
      </c>
    </row>
    <row r="2" spans="1:9" ht="23.25" customHeight="1">
      <c r="A2" s="132" t="s">
        <v>0</v>
      </c>
      <c r="B2" s="133"/>
      <c r="C2" s="133"/>
      <c r="D2" s="133"/>
      <c r="E2" s="133"/>
      <c r="F2" s="133"/>
      <c r="G2" s="133"/>
      <c r="H2" s="133"/>
      <c r="I2" s="134"/>
    </row>
    <row r="3" spans="1:9" ht="23.25" customHeight="1">
      <c r="A3" s="135" t="s">
        <v>1</v>
      </c>
      <c r="B3" s="136"/>
      <c r="C3" s="136"/>
      <c r="D3" s="136"/>
      <c r="E3" s="136"/>
      <c r="F3" s="136"/>
      <c r="G3" s="136"/>
      <c r="H3" s="136"/>
      <c r="I3" s="137"/>
    </row>
    <row r="4" spans="1:9" ht="23.25" customHeight="1">
      <c r="A4" s="138" t="s">
        <v>2</v>
      </c>
      <c r="B4" s="139"/>
      <c r="C4" s="139"/>
      <c r="D4" s="139"/>
      <c r="E4" s="139"/>
      <c r="F4" s="139"/>
      <c r="G4" s="139"/>
      <c r="H4" s="139"/>
      <c r="I4" s="140"/>
    </row>
    <row r="5" spans="1:9" ht="23.25" customHeight="1">
      <c r="A5" s="138" t="s">
        <v>3</v>
      </c>
      <c r="B5" s="139"/>
      <c r="C5" s="139"/>
      <c r="D5" s="139"/>
      <c r="E5" s="139"/>
      <c r="F5" s="139"/>
      <c r="G5" s="139"/>
      <c r="H5" s="139"/>
      <c r="I5" s="140"/>
    </row>
    <row r="6" spans="1:9" ht="23.25" customHeight="1">
      <c r="A6" s="141" t="s">
        <v>160</v>
      </c>
      <c r="B6" s="142"/>
      <c r="C6" s="142"/>
      <c r="D6" s="142"/>
      <c r="E6" s="142"/>
      <c r="F6" s="142"/>
      <c r="G6" s="142"/>
      <c r="H6" s="142"/>
      <c r="I6" s="143"/>
    </row>
    <row r="7" spans="1:9" ht="16.5" customHeight="1">
      <c r="A7" s="155" t="s">
        <v>91</v>
      </c>
      <c r="B7" s="156"/>
      <c r="C7" s="156"/>
      <c r="D7" s="156"/>
      <c r="E7" s="156"/>
      <c r="F7" s="156"/>
      <c r="G7" s="156"/>
      <c r="H7" s="156"/>
      <c r="I7" s="157"/>
    </row>
    <row r="8" spans="1:9" ht="16.5" customHeight="1" thickBot="1">
      <c r="A8" s="158" t="s">
        <v>92</v>
      </c>
      <c r="B8" s="159"/>
      <c r="C8" s="159"/>
      <c r="D8" s="159"/>
      <c r="E8" s="159"/>
      <c r="F8" s="159"/>
      <c r="G8" s="159"/>
      <c r="H8" s="159"/>
      <c r="I8" s="160"/>
    </row>
    <row r="9" spans="1:9" ht="28.15" customHeight="1" thickBot="1">
      <c r="A9" s="81" t="s">
        <v>6</v>
      </c>
      <c r="B9" s="82" t="s">
        <v>7</v>
      </c>
      <c r="C9" s="83" t="s">
        <v>161</v>
      </c>
      <c r="D9" s="84" t="s">
        <v>194</v>
      </c>
      <c r="E9" s="84" t="s">
        <v>10</v>
      </c>
      <c r="F9" s="84" t="s">
        <v>162</v>
      </c>
      <c r="G9" s="84" t="s">
        <v>163</v>
      </c>
      <c r="H9" s="161" t="s">
        <v>164</v>
      </c>
      <c r="I9" s="161"/>
    </row>
    <row r="10" spans="1:9" ht="13.15" customHeight="1">
      <c r="A10" s="107" t="s">
        <v>14</v>
      </c>
      <c r="B10" s="68" t="s">
        <v>222</v>
      </c>
      <c r="C10" s="69" t="s">
        <v>224</v>
      </c>
      <c r="D10" s="69" t="s">
        <v>224</v>
      </c>
      <c r="E10" s="69" t="s">
        <v>224</v>
      </c>
      <c r="F10" s="94" t="s">
        <v>224</v>
      </c>
      <c r="G10" s="96" t="s">
        <v>224</v>
      </c>
      <c r="H10" s="153" t="s">
        <v>224</v>
      </c>
      <c r="I10" s="153"/>
    </row>
    <row r="11" spans="1:9" ht="13.15" customHeight="1">
      <c r="A11" s="92">
        <v>1</v>
      </c>
      <c r="B11" s="69" t="s">
        <v>228</v>
      </c>
      <c r="C11" s="69" t="s">
        <v>224</v>
      </c>
      <c r="D11" s="69" t="s">
        <v>224</v>
      </c>
      <c r="E11" s="70" t="s">
        <v>224</v>
      </c>
      <c r="F11" s="71" t="s">
        <v>224</v>
      </c>
      <c r="G11" s="72" t="s">
        <v>224</v>
      </c>
      <c r="H11" s="153" t="s">
        <v>224</v>
      </c>
      <c r="I11" s="153"/>
    </row>
    <row r="12" spans="1:9" ht="13.15" customHeight="1">
      <c r="A12" s="92">
        <v>2</v>
      </c>
      <c r="B12" s="69" t="s">
        <v>227</v>
      </c>
      <c r="C12" s="69" t="s">
        <v>224</v>
      </c>
      <c r="D12" s="69" t="s">
        <v>224</v>
      </c>
      <c r="E12" s="70" t="s">
        <v>224</v>
      </c>
      <c r="F12" s="71" t="s">
        <v>224</v>
      </c>
      <c r="G12" s="72" t="s">
        <v>224</v>
      </c>
      <c r="H12" s="153" t="s">
        <v>224</v>
      </c>
      <c r="I12" s="153"/>
    </row>
    <row r="13" spans="1:9" ht="13.15" customHeight="1">
      <c r="A13" s="92">
        <v>3</v>
      </c>
      <c r="B13" s="69" t="s">
        <v>226</v>
      </c>
      <c r="C13" s="69" t="s">
        <v>224</v>
      </c>
      <c r="D13" s="69" t="s">
        <v>224</v>
      </c>
      <c r="E13" s="70" t="s">
        <v>224</v>
      </c>
      <c r="F13" s="71" t="s">
        <v>224</v>
      </c>
      <c r="G13" s="72" t="s">
        <v>224</v>
      </c>
      <c r="H13" s="153" t="s">
        <v>224</v>
      </c>
      <c r="I13" s="153"/>
    </row>
    <row r="14" spans="1:9" ht="13.15" customHeight="1">
      <c r="A14" s="91"/>
      <c r="B14" s="68" t="s">
        <v>13</v>
      </c>
      <c r="C14" s="69"/>
      <c r="D14" s="69"/>
      <c r="E14" s="69"/>
      <c r="F14" s="94"/>
      <c r="G14" s="96"/>
      <c r="H14" s="151"/>
      <c r="I14" s="151"/>
    </row>
    <row r="15" spans="1:9" ht="13.15" customHeight="1">
      <c r="A15" s="107" t="s">
        <v>23</v>
      </c>
      <c r="B15" s="68" t="s">
        <v>24</v>
      </c>
      <c r="C15" s="69"/>
      <c r="D15" s="69"/>
      <c r="E15" s="69"/>
      <c r="F15" s="94"/>
      <c r="G15" s="96"/>
      <c r="H15" s="151"/>
      <c r="I15" s="151"/>
    </row>
    <row r="16" spans="1:9" ht="13.15" customHeight="1">
      <c r="A16" s="92">
        <v>1</v>
      </c>
      <c r="B16" s="69" t="s">
        <v>177</v>
      </c>
      <c r="C16" s="69" t="s">
        <v>95</v>
      </c>
      <c r="D16" s="69" t="s">
        <v>26</v>
      </c>
      <c r="E16" s="70">
        <v>5000000</v>
      </c>
      <c r="F16" s="71">
        <v>4989.45</v>
      </c>
      <c r="G16" s="72">
        <v>5.0299999999999997E-2</v>
      </c>
      <c r="H16" s="153">
        <v>5.5142999999999998E-2</v>
      </c>
      <c r="I16" s="153"/>
    </row>
    <row r="17" spans="1:9" ht="13.15" customHeight="1">
      <c r="A17" s="92">
        <f>A16+1</f>
        <v>2</v>
      </c>
      <c r="B17" s="69" t="s">
        <v>178</v>
      </c>
      <c r="C17" s="69" t="s">
        <v>96</v>
      </c>
      <c r="D17" s="69" t="s">
        <v>26</v>
      </c>
      <c r="E17" s="70">
        <v>5000000</v>
      </c>
      <c r="F17" s="71">
        <v>4989.3500000000004</v>
      </c>
      <c r="G17" s="72">
        <v>5.0299999999999997E-2</v>
      </c>
      <c r="H17" s="153">
        <v>5.5643999999999999E-2</v>
      </c>
      <c r="I17" s="153"/>
    </row>
    <row r="18" spans="1:9" ht="13.15" customHeight="1">
      <c r="A18" s="92">
        <f>A17+1</f>
        <v>3</v>
      </c>
      <c r="B18" s="69" t="s">
        <v>179</v>
      </c>
      <c r="C18" s="69" t="s">
        <v>97</v>
      </c>
      <c r="D18" s="69" t="s">
        <v>31</v>
      </c>
      <c r="E18" s="70">
        <v>5000000</v>
      </c>
      <c r="F18" s="71">
        <v>4984.0200000000004</v>
      </c>
      <c r="G18" s="72">
        <v>5.0200000000000002E-2</v>
      </c>
      <c r="H18" s="153">
        <v>5.5746999999999998E-2</v>
      </c>
      <c r="I18" s="153"/>
    </row>
    <row r="19" spans="1:9" ht="13.15" customHeight="1">
      <c r="A19" s="92">
        <f t="shared" ref="A19:A28" si="0">A18+1</f>
        <v>4</v>
      </c>
      <c r="B19" s="69" t="s">
        <v>180</v>
      </c>
      <c r="C19" s="69" t="s">
        <v>98</v>
      </c>
      <c r="D19" s="69" t="s">
        <v>26</v>
      </c>
      <c r="E19" s="70">
        <v>5000000</v>
      </c>
      <c r="F19" s="71">
        <v>4983.03</v>
      </c>
      <c r="G19" s="72">
        <v>5.0200000000000002E-2</v>
      </c>
      <c r="H19" s="153">
        <v>5.6506000000000001E-2</v>
      </c>
      <c r="I19" s="153"/>
    </row>
    <row r="20" spans="1:9" ht="13.15" customHeight="1">
      <c r="A20" s="92">
        <f t="shared" si="0"/>
        <v>5</v>
      </c>
      <c r="B20" s="69" t="s">
        <v>181</v>
      </c>
      <c r="C20" s="69" t="s">
        <v>99</v>
      </c>
      <c r="D20" s="69" t="s">
        <v>26</v>
      </c>
      <c r="E20" s="70">
        <v>5000000</v>
      </c>
      <c r="F20" s="71">
        <v>4975.54</v>
      </c>
      <c r="G20" s="72">
        <v>5.0099999999999999E-2</v>
      </c>
      <c r="H20" s="153">
        <v>5.6085000000000003E-2</v>
      </c>
      <c r="I20" s="153"/>
    </row>
    <row r="21" spans="1:9" ht="13.15" customHeight="1">
      <c r="A21" s="92">
        <f t="shared" si="0"/>
        <v>6</v>
      </c>
      <c r="B21" s="69" t="s">
        <v>182</v>
      </c>
      <c r="C21" s="69" t="s">
        <v>100</v>
      </c>
      <c r="D21" s="69" t="s">
        <v>26</v>
      </c>
      <c r="E21" s="70">
        <v>5000000</v>
      </c>
      <c r="F21" s="71">
        <v>4974.37</v>
      </c>
      <c r="G21" s="72">
        <v>5.0099999999999999E-2</v>
      </c>
      <c r="H21" s="153">
        <v>5.7005E-2</v>
      </c>
      <c r="I21" s="153"/>
    </row>
    <row r="22" spans="1:9" ht="13.15" customHeight="1">
      <c r="A22" s="92">
        <f t="shared" si="0"/>
        <v>7</v>
      </c>
      <c r="B22" s="69" t="s">
        <v>183</v>
      </c>
      <c r="C22" s="69" t="s">
        <v>101</v>
      </c>
      <c r="D22" s="69" t="s">
        <v>102</v>
      </c>
      <c r="E22" s="70">
        <v>5000000</v>
      </c>
      <c r="F22" s="71">
        <v>4973.74</v>
      </c>
      <c r="G22" s="72">
        <v>5.0099999999999999E-2</v>
      </c>
      <c r="H22" s="153">
        <v>5.6681000000000002E-2</v>
      </c>
      <c r="I22" s="153"/>
    </row>
    <row r="23" spans="1:9" ht="13.15" customHeight="1">
      <c r="A23" s="92">
        <f t="shared" si="0"/>
        <v>8</v>
      </c>
      <c r="B23" s="69" t="s">
        <v>184</v>
      </c>
      <c r="C23" s="69" t="s">
        <v>103</v>
      </c>
      <c r="D23" s="69" t="s">
        <v>26</v>
      </c>
      <c r="E23" s="70">
        <v>5000000</v>
      </c>
      <c r="F23" s="71">
        <v>4973.1099999999997</v>
      </c>
      <c r="G23" s="72">
        <v>5.0099999999999999E-2</v>
      </c>
      <c r="H23" s="153">
        <v>5.8047500000000002E-2</v>
      </c>
      <c r="I23" s="153"/>
    </row>
    <row r="24" spans="1:9" ht="13.15" customHeight="1">
      <c r="A24" s="92">
        <f t="shared" si="0"/>
        <v>9</v>
      </c>
      <c r="B24" s="69" t="s">
        <v>185</v>
      </c>
      <c r="C24" s="69" t="s">
        <v>104</v>
      </c>
      <c r="D24" s="69" t="s">
        <v>26</v>
      </c>
      <c r="E24" s="70">
        <v>5000000</v>
      </c>
      <c r="F24" s="71">
        <v>4968.2700000000004</v>
      </c>
      <c r="G24" s="72">
        <v>5.0099999999999999E-2</v>
      </c>
      <c r="H24" s="153">
        <v>5.5501000000000002E-2</v>
      </c>
      <c r="I24" s="153"/>
    </row>
    <row r="25" spans="1:9" ht="13.15" customHeight="1">
      <c r="A25" s="92">
        <f t="shared" si="0"/>
        <v>10</v>
      </c>
      <c r="B25" s="69" t="s">
        <v>186</v>
      </c>
      <c r="C25" s="69" t="s">
        <v>105</v>
      </c>
      <c r="D25" s="69" t="s">
        <v>31</v>
      </c>
      <c r="E25" s="70">
        <v>2500000</v>
      </c>
      <c r="F25" s="71">
        <v>2492.04</v>
      </c>
      <c r="G25" s="72">
        <v>2.5100000000000001E-2</v>
      </c>
      <c r="H25" s="153">
        <v>5.5499E-2</v>
      </c>
      <c r="I25" s="153"/>
    </row>
    <row r="26" spans="1:9" ht="13.15" customHeight="1">
      <c r="A26" s="92">
        <f t="shared" si="0"/>
        <v>11</v>
      </c>
      <c r="B26" s="69" t="s">
        <v>187</v>
      </c>
      <c r="C26" s="69" t="s">
        <v>106</v>
      </c>
      <c r="D26" s="69" t="s">
        <v>102</v>
      </c>
      <c r="E26" s="70">
        <v>2500000</v>
      </c>
      <c r="F26" s="71">
        <v>2492</v>
      </c>
      <c r="G26" s="72">
        <v>2.5100000000000001E-2</v>
      </c>
      <c r="H26" s="153">
        <v>5.5796999999999999E-2</v>
      </c>
      <c r="I26" s="153"/>
    </row>
    <row r="27" spans="1:9" ht="13.15" customHeight="1">
      <c r="A27" s="92">
        <f t="shared" si="0"/>
        <v>12</v>
      </c>
      <c r="B27" s="69" t="s">
        <v>188</v>
      </c>
      <c r="C27" s="69" t="s">
        <v>107</v>
      </c>
      <c r="D27" s="69" t="s">
        <v>27</v>
      </c>
      <c r="E27" s="70">
        <v>2500000</v>
      </c>
      <c r="F27" s="71">
        <v>2491.59</v>
      </c>
      <c r="G27" s="72">
        <v>2.5100000000000001E-2</v>
      </c>
      <c r="H27" s="153">
        <v>5.5994000000000002E-2</v>
      </c>
      <c r="I27" s="153"/>
    </row>
    <row r="28" spans="1:9" ht="13.15" customHeight="1">
      <c r="A28" s="92">
        <f t="shared" si="0"/>
        <v>13</v>
      </c>
      <c r="B28" s="69" t="s">
        <v>189</v>
      </c>
      <c r="C28" s="69" t="s">
        <v>30</v>
      </c>
      <c r="D28" s="69" t="s">
        <v>31</v>
      </c>
      <c r="E28" s="70">
        <v>2500000</v>
      </c>
      <c r="F28" s="71">
        <v>2472.9699999999998</v>
      </c>
      <c r="G28" s="72">
        <v>2.4899999999999999E-2</v>
      </c>
      <c r="H28" s="153">
        <v>5.7000000000000002E-2</v>
      </c>
      <c r="I28" s="153"/>
    </row>
    <row r="29" spans="1:9" ht="13.15" customHeight="1">
      <c r="A29" s="92"/>
      <c r="B29" s="68" t="s">
        <v>22</v>
      </c>
      <c r="C29" s="69"/>
      <c r="D29" s="69"/>
      <c r="E29" s="69"/>
      <c r="F29" s="73">
        <v>54759.48</v>
      </c>
      <c r="G29" s="74">
        <v>0.55169999999999997</v>
      </c>
      <c r="H29" s="152"/>
      <c r="I29" s="152"/>
    </row>
    <row r="30" spans="1:9" ht="13.15" customHeight="1">
      <c r="A30" s="107" t="s">
        <v>34</v>
      </c>
      <c r="B30" s="68" t="s">
        <v>35</v>
      </c>
      <c r="C30" s="69"/>
      <c r="D30" s="69"/>
      <c r="E30" s="69"/>
      <c r="F30" s="94"/>
      <c r="G30" s="96"/>
      <c r="H30" s="151"/>
      <c r="I30" s="151"/>
    </row>
    <row r="31" spans="1:9" ht="13.15" customHeight="1">
      <c r="A31" s="92">
        <v>1</v>
      </c>
      <c r="B31" s="69" t="s">
        <v>190</v>
      </c>
      <c r="C31" s="69" t="s">
        <v>108</v>
      </c>
      <c r="D31" s="69" t="s">
        <v>26</v>
      </c>
      <c r="E31" s="70">
        <v>5000000</v>
      </c>
      <c r="F31" s="71">
        <v>4996.75</v>
      </c>
      <c r="G31" s="72">
        <v>5.04E-2</v>
      </c>
      <c r="H31" s="153">
        <v>5.9475E-2</v>
      </c>
      <c r="I31" s="153"/>
    </row>
    <row r="32" spans="1:9" ht="13.15" customHeight="1">
      <c r="A32" s="92">
        <v>2</v>
      </c>
      <c r="B32" s="69" t="s">
        <v>191</v>
      </c>
      <c r="C32" s="69" t="s">
        <v>109</v>
      </c>
      <c r="D32" s="69" t="s">
        <v>26</v>
      </c>
      <c r="E32" s="70">
        <v>5000000</v>
      </c>
      <c r="F32" s="71">
        <v>4994.28</v>
      </c>
      <c r="G32" s="72">
        <v>5.0299999999999997E-2</v>
      </c>
      <c r="H32" s="153">
        <v>5.9799999999999999E-2</v>
      </c>
      <c r="I32" s="153"/>
    </row>
    <row r="33" spans="1:9" ht="13.15" customHeight="1">
      <c r="A33" s="92"/>
      <c r="B33" s="68" t="s">
        <v>22</v>
      </c>
      <c r="C33" s="69"/>
      <c r="D33" s="69"/>
      <c r="E33" s="69"/>
      <c r="F33" s="73">
        <v>9991.0300000000007</v>
      </c>
      <c r="G33" s="74">
        <v>0.1007</v>
      </c>
      <c r="H33" s="152"/>
      <c r="I33" s="152"/>
    </row>
    <row r="34" spans="1:9" ht="13.15" customHeight="1">
      <c r="A34" s="107" t="s">
        <v>42</v>
      </c>
      <c r="B34" s="68" t="s">
        <v>195</v>
      </c>
      <c r="C34" s="69"/>
      <c r="D34" s="69"/>
      <c r="E34" s="69"/>
      <c r="F34" s="94"/>
      <c r="G34" s="96"/>
      <c r="H34" s="151"/>
      <c r="I34" s="151"/>
    </row>
    <row r="35" spans="1:9" ht="13.15" customHeight="1">
      <c r="A35" s="108">
        <v>1</v>
      </c>
      <c r="B35" s="69" t="s">
        <v>93</v>
      </c>
      <c r="C35" s="69" t="s">
        <v>94</v>
      </c>
      <c r="D35" s="69" t="s">
        <v>17</v>
      </c>
      <c r="E35" s="70">
        <v>10000000</v>
      </c>
      <c r="F35" s="71">
        <v>9922.06</v>
      </c>
      <c r="G35" s="72">
        <v>0.1</v>
      </c>
      <c r="H35" s="153">
        <v>5.1200000000000002E-2</v>
      </c>
      <c r="I35" s="153"/>
    </row>
    <row r="36" spans="1:9" ht="13.15" customHeight="1">
      <c r="A36" s="92">
        <v>2</v>
      </c>
      <c r="B36" s="69" t="s">
        <v>175</v>
      </c>
      <c r="C36" s="69" t="s">
        <v>176</v>
      </c>
      <c r="D36" s="69" t="s">
        <v>17</v>
      </c>
      <c r="E36" s="70">
        <v>10000000</v>
      </c>
      <c r="F36" s="71">
        <v>9882.81</v>
      </c>
      <c r="G36" s="72">
        <v>9.9599999999999994E-2</v>
      </c>
      <c r="H36" s="153">
        <v>5.1526000000000002E-2</v>
      </c>
      <c r="I36" s="153"/>
    </row>
    <row r="37" spans="1:9" ht="13.15" customHeight="1">
      <c r="A37" s="92">
        <f>A36+1</f>
        <v>3</v>
      </c>
      <c r="B37" s="69" t="s">
        <v>18</v>
      </c>
      <c r="C37" s="69" t="s">
        <v>19</v>
      </c>
      <c r="D37" s="69" t="s">
        <v>17</v>
      </c>
      <c r="E37" s="70">
        <v>5000000</v>
      </c>
      <c r="F37" s="71">
        <v>4981.47</v>
      </c>
      <c r="G37" s="72">
        <v>5.0200000000000002E-2</v>
      </c>
      <c r="H37" s="153">
        <v>4.8500000000000001E-2</v>
      </c>
      <c r="I37" s="153"/>
    </row>
    <row r="38" spans="1:9" ht="13.15" customHeight="1">
      <c r="A38" s="92"/>
      <c r="B38" s="68" t="s">
        <v>22</v>
      </c>
      <c r="C38" s="69"/>
      <c r="D38" s="69"/>
      <c r="E38" s="69"/>
      <c r="F38" s="73">
        <v>24786.34</v>
      </c>
      <c r="G38" s="74">
        <v>0.24979999999999999</v>
      </c>
      <c r="H38" s="152"/>
      <c r="I38" s="152"/>
    </row>
    <row r="39" spans="1:9" ht="13.15" customHeight="1">
      <c r="A39" s="107" t="s">
        <v>202</v>
      </c>
      <c r="B39" s="68" t="s">
        <v>41</v>
      </c>
      <c r="C39" s="69"/>
      <c r="D39" s="69"/>
      <c r="E39" s="69"/>
      <c r="F39" s="73">
        <v>89536.85</v>
      </c>
      <c r="G39" s="74">
        <v>0.9022</v>
      </c>
      <c r="H39" s="152"/>
      <c r="I39" s="152"/>
    </row>
    <row r="40" spans="1:9" ht="13.15" customHeight="1">
      <c r="A40" s="92"/>
      <c r="B40" s="68" t="s">
        <v>67</v>
      </c>
      <c r="C40" s="69"/>
      <c r="D40" s="69"/>
      <c r="E40" s="69"/>
      <c r="F40" s="94"/>
      <c r="G40" s="96"/>
      <c r="H40" s="151"/>
      <c r="I40" s="151"/>
    </row>
    <row r="41" spans="1:9" ht="13.15" customHeight="1">
      <c r="A41" s="94"/>
      <c r="B41" s="68" t="s">
        <v>192</v>
      </c>
      <c r="C41" s="69"/>
      <c r="D41" s="69"/>
      <c r="E41" s="69"/>
      <c r="F41" s="94"/>
      <c r="G41" s="96"/>
      <c r="H41" s="151"/>
      <c r="I41" s="151"/>
    </row>
    <row r="42" spans="1:9" ht="13.15" customHeight="1">
      <c r="A42" s="92">
        <v>1</v>
      </c>
      <c r="B42" s="69" t="s">
        <v>192</v>
      </c>
      <c r="C42" s="69" t="s">
        <v>193</v>
      </c>
      <c r="D42" s="69"/>
      <c r="E42" s="70">
        <v>2819.0940000000001</v>
      </c>
      <c r="F42" s="71">
        <v>330.79</v>
      </c>
      <c r="G42" s="72">
        <v>3.3E-3</v>
      </c>
      <c r="H42" s="153"/>
      <c r="I42" s="153"/>
    </row>
    <row r="43" spans="1:9" ht="13.15" customHeight="1">
      <c r="A43" s="94"/>
      <c r="B43" s="68" t="s">
        <v>22</v>
      </c>
      <c r="C43" s="69"/>
      <c r="D43" s="69"/>
      <c r="E43" s="69"/>
      <c r="F43" s="73">
        <v>330.79</v>
      </c>
      <c r="G43" s="74">
        <v>3.3E-3</v>
      </c>
      <c r="H43" s="152"/>
      <c r="I43" s="152"/>
    </row>
    <row r="44" spans="1:9" ht="13.15" customHeight="1">
      <c r="A44" s="94"/>
      <c r="B44" s="48" t="s">
        <v>41</v>
      </c>
      <c r="C44" s="103"/>
      <c r="D44" s="104"/>
      <c r="E44" s="103"/>
      <c r="F44" s="105">
        <v>330.79</v>
      </c>
      <c r="G44" s="106">
        <v>3.3E-3</v>
      </c>
      <c r="H44" s="154"/>
      <c r="I44" s="154"/>
    </row>
    <row r="45" spans="1:9" ht="13.15" customHeight="1">
      <c r="A45" s="94"/>
      <c r="B45" s="7" t="s">
        <v>165</v>
      </c>
      <c r="C45" s="8"/>
      <c r="D45" s="8"/>
      <c r="E45" s="8"/>
      <c r="F45" s="23"/>
      <c r="G45" s="59"/>
      <c r="H45" s="131"/>
      <c r="I45" s="131"/>
    </row>
    <row r="46" spans="1:9" ht="13.15" customHeight="1">
      <c r="A46" s="109" t="s">
        <v>225</v>
      </c>
      <c r="B46" s="12" t="s">
        <v>166</v>
      </c>
      <c r="C46" s="8"/>
      <c r="D46" s="8" t="s">
        <v>167</v>
      </c>
      <c r="E46" s="60"/>
      <c r="F46" s="61">
        <v>9138</v>
      </c>
      <c r="G46" s="62">
        <v>9.2100000000000001E-2</v>
      </c>
      <c r="H46" s="130">
        <v>4.6993933738235939E-2</v>
      </c>
      <c r="I46" s="130"/>
    </row>
    <row r="47" spans="1:9" ht="13.15" customHeight="1">
      <c r="A47" s="94"/>
      <c r="B47" s="7" t="s">
        <v>22</v>
      </c>
      <c r="C47" s="8"/>
      <c r="D47" s="8"/>
      <c r="E47" s="8"/>
      <c r="F47" s="63">
        <v>9138</v>
      </c>
      <c r="G47" s="64">
        <v>9.2100000000000001E-2</v>
      </c>
      <c r="H47" s="128"/>
      <c r="I47" s="128"/>
    </row>
    <row r="48" spans="1:9" ht="13.15" customHeight="1">
      <c r="A48" s="94"/>
      <c r="B48" s="15" t="s">
        <v>41</v>
      </c>
      <c r="C48" s="17"/>
      <c r="D48" s="16"/>
      <c r="E48" s="17"/>
      <c r="F48" s="63">
        <v>9138</v>
      </c>
      <c r="G48" s="64">
        <v>9.2100000000000001E-2</v>
      </c>
      <c r="H48" s="128"/>
      <c r="I48" s="128"/>
    </row>
    <row r="49" spans="1:9" ht="13.15" customHeight="1">
      <c r="A49" s="94"/>
      <c r="B49" s="15" t="s">
        <v>43</v>
      </c>
      <c r="C49" s="8"/>
      <c r="D49" s="16"/>
      <c r="E49" s="8"/>
      <c r="F49" s="65">
        <v>230.76</v>
      </c>
      <c r="G49" s="64">
        <v>2.3999999999999998E-3</v>
      </c>
      <c r="H49" s="128"/>
      <c r="I49" s="128"/>
    </row>
    <row r="50" spans="1:9" ht="13.15" customHeight="1" thickBot="1">
      <c r="A50" s="94"/>
      <c r="B50" s="18" t="s">
        <v>44</v>
      </c>
      <c r="C50" s="19"/>
      <c r="D50" s="19"/>
      <c r="E50" s="19"/>
      <c r="F50" s="66">
        <v>99236.4</v>
      </c>
      <c r="G50" s="67">
        <v>1</v>
      </c>
      <c r="H50" s="129"/>
      <c r="I50" s="129"/>
    </row>
    <row r="51" spans="1:9" ht="13.15" customHeight="1">
      <c r="A51" s="23"/>
      <c r="B51" s="21"/>
      <c r="C51" s="21"/>
      <c r="D51" s="21"/>
      <c r="E51" s="21"/>
      <c r="F51" s="23"/>
      <c r="G51" s="23"/>
    </row>
    <row r="52" spans="1:9" ht="13.15" customHeight="1">
      <c r="A52" s="23"/>
      <c r="B52" s="21"/>
      <c r="C52" s="21"/>
      <c r="D52" s="21"/>
      <c r="E52" s="21"/>
      <c r="F52" s="23"/>
      <c r="G52" s="23"/>
    </row>
    <row r="53" spans="1:9" ht="13.15" customHeight="1">
      <c r="A53" s="23"/>
      <c r="B53" s="20" t="s">
        <v>196</v>
      </c>
      <c r="C53" s="21"/>
      <c r="D53" s="21"/>
      <c r="E53" s="21"/>
      <c r="F53" s="23"/>
      <c r="G53" s="23"/>
    </row>
    <row r="54" spans="1:9" ht="13.15" customHeight="1">
      <c r="A54" s="23"/>
      <c r="B54" s="20" t="s">
        <v>46</v>
      </c>
      <c r="C54" s="21"/>
      <c r="D54" s="21"/>
      <c r="E54" s="21"/>
      <c r="F54" s="23"/>
      <c r="G54" s="23"/>
    </row>
    <row r="55" spans="1:9" ht="13.15" customHeight="1">
      <c r="A55" s="23"/>
      <c r="B55" s="21"/>
      <c r="C55" s="21"/>
      <c r="D55" s="21"/>
      <c r="E55" s="21"/>
      <c r="F55" s="23"/>
      <c r="G55" s="23"/>
    </row>
    <row r="56" spans="1:9">
      <c r="B56" s="24" t="s">
        <v>48</v>
      </c>
      <c r="C56" s="24"/>
      <c r="D56" s="25"/>
      <c r="E56" s="25"/>
    </row>
    <row r="57" spans="1:9">
      <c r="B57" s="26" t="s">
        <v>110</v>
      </c>
      <c r="C57" s="26"/>
      <c r="D57" s="25"/>
      <c r="E57" s="28" t="s">
        <v>50</v>
      </c>
    </row>
    <row r="58" spans="1:9">
      <c r="B58" s="26" t="s">
        <v>111</v>
      </c>
      <c r="C58" s="26"/>
      <c r="D58" s="25"/>
      <c r="E58" s="28" t="s">
        <v>50</v>
      </c>
    </row>
    <row r="59" spans="1:9">
      <c r="B59" s="26" t="s">
        <v>168</v>
      </c>
      <c r="C59" s="26"/>
      <c r="D59" s="25"/>
      <c r="E59" s="43"/>
    </row>
    <row r="60" spans="1:9">
      <c r="B60" s="26" t="s">
        <v>112</v>
      </c>
      <c r="C60" s="26"/>
      <c r="D60" s="29">
        <v>14.5358</v>
      </c>
      <c r="E60" s="31"/>
    </row>
    <row r="61" spans="1:9">
      <c r="B61" s="26" t="s">
        <v>113</v>
      </c>
      <c r="C61" s="26"/>
      <c r="D61" s="29">
        <v>10.0077</v>
      </c>
      <c r="E61" s="31"/>
    </row>
    <row r="62" spans="1:9">
      <c r="B62" s="26" t="s">
        <v>114</v>
      </c>
      <c r="C62" s="26"/>
      <c r="D62" s="29">
        <v>10.0136</v>
      </c>
      <c r="E62" s="31"/>
    </row>
    <row r="63" spans="1:9">
      <c r="B63" s="26" t="s">
        <v>115</v>
      </c>
      <c r="C63" s="26"/>
      <c r="D63" s="29">
        <v>10.1243</v>
      </c>
      <c r="E63" s="31"/>
    </row>
    <row r="64" spans="1:9">
      <c r="B64" s="26" t="s">
        <v>116</v>
      </c>
      <c r="C64" s="26"/>
      <c r="D64" s="29">
        <v>10.0151</v>
      </c>
      <c r="E64" s="31"/>
      <c r="F64" s="44"/>
    </row>
    <row r="65" spans="2:6">
      <c r="B65" s="26" t="s">
        <v>117</v>
      </c>
      <c r="C65" s="26" t="s">
        <v>118</v>
      </c>
      <c r="D65" s="29">
        <v>10.039300000000001</v>
      </c>
      <c r="E65" s="31"/>
      <c r="F65" s="44"/>
    </row>
    <row r="66" spans="2:6">
      <c r="B66" s="26" t="s">
        <v>119</v>
      </c>
      <c r="C66" s="26"/>
      <c r="D66" s="29">
        <v>14.3734</v>
      </c>
      <c r="E66" s="31"/>
    </row>
    <row r="67" spans="2:6">
      <c r="B67" s="26" t="s">
        <v>120</v>
      </c>
      <c r="C67" s="26"/>
      <c r="D67" s="29">
        <v>10.0055</v>
      </c>
      <c r="E67" s="31"/>
    </row>
    <row r="68" spans="2:6">
      <c r="B68" s="26" t="s">
        <v>121</v>
      </c>
      <c r="C68" s="26"/>
      <c r="D68" s="29">
        <v>10.013299999999999</v>
      </c>
      <c r="E68" s="31"/>
    </row>
    <row r="69" spans="2:6">
      <c r="B69" s="26" t="s">
        <v>123</v>
      </c>
      <c r="C69" s="26"/>
      <c r="D69" s="29">
        <v>10.0221</v>
      </c>
      <c r="E69" s="31"/>
    </row>
    <row r="70" spans="2:6">
      <c r="B70" s="26" t="s">
        <v>124</v>
      </c>
      <c r="C70" s="26"/>
      <c r="D70" s="29">
        <v>10.039099999999999</v>
      </c>
      <c r="E70" s="31"/>
    </row>
    <row r="71" spans="2:6">
      <c r="B71" s="26" t="s">
        <v>122</v>
      </c>
      <c r="C71" s="26"/>
      <c r="D71" s="29">
        <v>10.119899999999999</v>
      </c>
      <c r="E71" s="31"/>
    </row>
    <row r="72" spans="2:6">
      <c r="B72" s="26" t="s">
        <v>197</v>
      </c>
      <c r="C72" s="26"/>
      <c r="D72" s="78">
        <v>10</v>
      </c>
      <c r="E72" s="31"/>
    </row>
    <row r="73" spans="2:6">
      <c r="B73" s="26" t="s">
        <v>198</v>
      </c>
      <c r="C73" s="26"/>
      <c r="D73" s="29">
        <v>14.1569</v>
      </c>
      <c r="E73" s="31"/>
    </row>
    <row r="74" spans="2:6">
      <c r="B74" s="26" t="s">
        <v>126</v>
      </c>
      <c r="C74" s="26"/>
      <c r="D74" s="78">
        <v>10</v>
      </c>
      <c r="E74" s="31"/>
    </row>
    <row r="75" spans="2:6">
      <c r="B75" s="26" t="s">
        <v>125</v>
      </c>
      <c r="C75" s="26"/>
      <c r="D75" s="29">
        <v>13.8751</v>
      </c>
      <c r="E75" s="31"/>
    </row>
    <row r="76" spans="2:6">
      <c r="B76" s="26" t="s">
        <v>199</v>
      </c>
      <c r="C76" s="26"/>
      <c r="D76" s="25"/>
      <c r="E76" s="44"/>
    </row>
    <row r="77" spans="2:6">
      <c r="B77" s="26" t="s">
        <v>112</v>
      </c>
      <c r="C77" s="26"/>
      <c r="D77" s="78">
        <v>14.5914</v>
      </c>
      <c r="E77" s="31"/>
    </row>
    <row r="78" spans="2:6">
      <c r="B78" s="26" t="s">
        <v>113</v>
      </c>
      <c r="C78" s="26"/>
      <c r="D78" s="78">
        <v>10.010999999999999</v>
      </c>
      <c r="E78" s="31"/>
    </row>
    <row r="79" spans="2:6">
      <c r="B79" s="26" t="s">
        <v>114</v>
      </c>
      <c r="C79" s="26"/>
      <c r="D79" s="78">
        <v>10.019600000000001</v>
      </c>
      <c r="E79" s="31"/>
    </row>
    <row r="80" spans="2:6">
      <c r="B80" s="26" t="s">
        <v>115</v>
      </c>
      <c r="C80" s="26"/>
      <c r="D80" s="78">
        <v>10.163</v>
      </c>
      <c r="E80" s="31"/>
    </row>
    <row r="81" spans="2:6">
      <c r="B81" s="26" t="s">
        <v>116</v>
      </c>
      <c r="C81" s="26"/>
      <c r="D81" s="78">
        <v>10.019600000000001</v>
      </c>
      <c r="E81" s="31"/>
    </row>
    <row r="82" spans="2:6">
      <c r="B82" s="26" t="s">
        <v>117</v>
      </c>
      <c r="C82" s="26"/>
      <c r="D82" s="78">
        <v>10.0778</v>
      </c>
      <c r="E82" s="31"/>
      <c r="F82" s="31"/>
    </row>
    <row r="83" spans="2:6">
      <c r="B83" s="26" t="s">
        <v>119</v>
      </c>
      <c r="C83" s="26"/>
      <c r="D83" s="78">
        <v>14.427199999999999</v>
      </c>
      <c r="E83" s="31"/>
    </row>
    <row r="84" spans="2:6">
      <c r="B84" s="26" t="s">
        <v>120</v>
      </c>
      <c r="C84" s="26"/>
      <c r="D84" s="78">
        <v>10.010999999999999</v>
      </c>
      <c r="E84" s="31"/>
    </row>
    <row r="85" spans="2:6">
      <c r="B85" s="26" t="s">
        <v>121</v>
      </c>
      <c r="C85" s="26"/>
      <c r="D85" s="78">
        <v>10.019299999999999</v>
      </c>
      <c r="E85" s="31"/>
    </row>
    <row r="86" spans="2:6">
      <c r="B86" s="26" t="s">
        <v>123</v>
      </c>
      <c r="C86" s="26"/>
      <c r="D86" s="78">
        <v>10.021699999999999</v>
      </c>
      <c r="E86" s="31"/>
    </row>
    <row r="87" spans="2:6">
      <c r="B87" s="26" t="s">
        <v>124</v>
      </c>
      <c r="C87" s="26"/>
      <c r="D87" s="78">
        <v>10.076700000000001</v>
      </c>
      <c r="E87" s="31"/>
    </row>
    <row r="88" spans="2:6">
      <c r="B88" s="26" t="s">
        <v>122</v>
      </c>
      <c r="C88" s="26"/>
      <c r="D88" s="78">
        <v>10.1577</v>
      </c>
      <c r="E88" s="31"/>
    </row>
    <row r="89" spans="2:6">
      <c r="B89" s="26" t="s">
        <v>197</v>
      </c>
      <c r="C89" s="26"/>
      <c r="D89" s="78">
        <v>10</v>
      </c>
      <c r="E89" s="31"/>
    </row>
    <row r="90" spans="2:6">
      <c r="B90" s="26" t="s">
        <v>198</v>
      </c>
      <c r="C90" s="26"/>
      <c r="D90" s="78">
        <v>14.2112</v>
      </c>
      <c r="E90" s="31"/>
    </row>
    <row r="91" spans="2:6">
      <c r="B91" s="26" t="s">
        <v>126</v>
      </c>
      <c r="C91" s="26"/>
      <c r="D91" s="78">
        <v>10</v>
      </c>
      <c r="E91" s="31"/>
    </row>
    <row r="92" spans="2:6">
      <c r="B92" s="26" t="s">
        <v>125</v>
      </c>
      <c r="C92" s="26"/>
      <c r="D92" s="78">
        <v>13.9283</v>
      </c>
      <c r="E92" s="31"/>
    </row>
    <row r="93" spans="2:6">
      <c r="B93" s="26" t="s">
        <v>200</v>
      </c>
      <c r="C93" s="26"/>
      <c r="D93" s="25"/>
      <c r="E93" s="28" t="s">
        <v>50</v>
      </c>
    </row>
    <row r="94" spans="2:6">
      <c r="B94" s="32" t="s">
        <v>63</v>
      </c>
      <c r="C94" s="26"/>
      <c r="D94" s="79" t="s">
        <v>201</v>
      </c>
      <c r="E94" s="33"/>
    </row>
    <row r="95" spans="2:6">
      <c r="B95" s="24" t="s">
        <v>159</v>
      </c>
      <c r="C95" s="32"/>
      <c r="D95" s="35" t="s">
        <v>64</v>
      </c>
    </row>
    <row r="96" spans="2:6">
      <c r="B96" s="37" t="s">
        <v>65</v>
      </c>
      <c r="C96" s="34" t="s">
        <v>66</v>
      </c>
      <c r="D96" s="34" t="s">
        <v>67</v>
      </c>
      <c r="E96" s="35"/>
    </row>
    <row r="97" spans="1:5">
      <c r="B97" s="32" t="s">
        <v>77</v>
      </c>
      <c r="C97" s="39">
        <v>3.500006E-2</v>
      </c>
      <c r="D97" s="39">
        <v>3.500006E-2</v>
      </c>
      <c r="E97" s="39"/>
    </row>
    <row r="98" spans="1:5">
      <c r="A98" s="45" t="s">
        <v>127</v>
      </c>
      <c r="B98" s="32" t="s">
        <v>131</v>
      </c>
      <c r="C98" s="39">
        <v>3.2289999999999999E-2</v>
      </c>
      <c r="D98" s="39">
        <v>3.2289999999999999E-2</v>
      </c>
      <c r="E98" s="39"/>
    </row>
    <row r="99" spans="1:5">
      <c r="A99" s="45" t="s">
        <v>129</v>
      </c>
      <c r="B99" s="32" t="s">
        <v>128</v>
      </c>
      <c r="C99" s="80">
        <v>0</v>
      </c>
      <c r="D99" s="80">
        <v>0</v>
      </c>
      <c r="E99" s="39"/>
    </row>
    <row r="100" spans="1:5">
      <c r="A100" s="45" t="s">
        <v>130</v>
      </c>
      <c r="B100" s="32" t="s">
        <v>133</v>
      </c>
      <c r="C100" s="80">
        <v>0</v>
      </c>
      <c r="D100" s="80">
        <v>0</v>
      </c>
      <c r="E100" s="39"/>
    </row>
    <row r="101" spans="1:5">
      <c r="A101" s="45" t="s">
        <v>132</v>
      </c>
      <c r="B101" s="32" t="s">
        <v>135</v>
      </c>
      <c r="C101" s="39">
        <v>3.3779999999999998E-2</v>
      </c>
      <c r="D101" s="39">
        <v>3.3779999999999998E-2</v>
      </c>
      <c r="E101" s="39"/>
    </row>
    <row r="102" spans="1:5">
      <c r="A102" s="45" t="s">
        <v>134</v>
      </c>
      <c r="B102" s="32" t="s">
        <v>137</v>
      </c>
      <c r="C102" s="39">
        <v>3.1935330000000005E-2</v>
      </c>
      <c r="D102" s="39">
        <v>3.1935330000000005E-2</v>
      </c>
      <c r="E102" s="39"/>
    </row>
    <row r="103" spans="1:5">
      <c r="A103" s="45" t="s">
        <v>136</v>
      </c>
      <c r="B103" s="32" t="s">
        <v>139</v>
      </c>
      <c r="C103" s="39">
        <v>3.1390000000000001E-2</v>
      </c>
      <c r="D103" s="39">
        <v>3.1390000000000001E-2</v>
      </c>
      <c r="E103" s="39"/>
    </row>
    <row r="104" spans="1:5">
      <c r="A104" s="45" t="s">
        <v>138</v>
      </c>
      <c r="B104" s="32" t="s">
        <v>141</v>
      </c>
      <c r="C104" s="39">
        <v>3.7829630000000003E-2</v>
      </c>
      <c r="D104" s="39">
        <v>3.7829630000000003E-2</v>
      </c>
      <c r="E104" s="39"/>
    </row>
    <row r="105" spans="1:5">
      <c r="A105" s="45" t="s">
        <v>140</v>
      </c>
      <c r="B105" s="32" t="s">
        <v>143</v>
      </c>
      <c r="C105" s="80">
        <v>0</v>
      </c>
      <c r="D105" s="80">
        <v>0</v>
      </c>
      <c r="E105" s="39"/>
    </row>
    <row r="106" spans="1:5">
      <c r="A106" s="45" t="s">
        <v>142</v>
      </c>
      <c r="B106" s="32" t="s">
        <v>144</v>
      </c>
      <c r="C106" s="80">
        <v>0</v>
      </c>
      <c r="D106" s="80">
        <v>0</v>
      </c>
      <c r="E106" s="39"/>
    </row>
    <row r="107" spans="1:5">
      <c r="A107" s="45"/>
      <c r="B107" s="32"/>
      <c r="C107" s="80"/>
      <c r="D107" s="80"/>
      <c r="E107" s="39"/>
    </row>
    <row r="108" spans="1:5">
      <c r="A108" s="45"/>
      <c r="B108" s="114" t="s">
        <v>247</v>
      </c>
      <c r="C108" s="114"/>
      <c r="D108" s="115"/>
      <c r="E108" s="115" t="s">
        <v>50</v>
      </c>
    </row>
    <row r="109" spans="1:5">
      <c r="A109" s="45"/>
      <c r="B109" s="149" t="s">
        <v>242</v>
      </c>
      <c r="C109" s="150"/>
      <c r="D109" s="115"/>
      <c r="E109" s="115" t="s">
        <v>50</v>
      </c>
    </row>
    <row r="110" spans="1:5">
      <c r="A110" s="45"/>
      <c r="B110" s="149" t="s">
        <v>243</v>
      </c>
      <c r="C110" s="150"/>
      <c r="D110" s="115"/>
      <c r="E110" s="115" t="s">
        <v>50</v>
      </c>
    </row>
    <row r="111" spans="1:5">
      <c r="A111" s="45"/>
      <c r="B111" s="149" t="s">
        <v>244</v>
      </c>
      <c r="C111" s="150"/>
      <c r="D111" s="115"/>
      <c r="E111" s="115" t="s">
        <v>50</v>
      </c>
    </row>
    <row r="112" spans="1:5">
      <c r="A112" s="45"/>
      <c r="B112" s="149" t="s">
        <v>245</v>
      </c>
      <c r="C112" s="150"/>
      <c r="D112" s="115"/>
      <c r="E112" s="115" t="s">
        <v>50</v>
      </c>
    </row>
    <row r="113" spans="2:6">
      <c r="B113" s="149" t="s">
        <v>246</v>
      </c>
      <c r="C113" s="150"/>
      <c r="D113" s="115"/>
      <c r="E113" s="115" t="s">
        <v>50</v>
      </c>
      <c r="F113" s="42"/>
    </row>
    <row r="114" spans="2:6">
      <c r="B114" s="42"/>
      <c r="F114" s="42"/>
    </row>
    <row r="115" spans="2:6">
      <c r="F115" s="42" t="s">
        <v>145</v>
      </c>
    </row>
    <row r="116" spans="2:6">
      <c r="B116" s="42" t="s">
        <v>88</v>
      </c>
      <c r="F116" s="42" t="s">
        <v>89</v>
      </c>
    </row>
    <row r="130" spans="2:5" ht="15.75" thickBot="1"/>
    <row r="131" spans="2:5">
      <c r="B131" s="117" t="s">
        <v>239</v>
      </c>
      <c r="C131" s="117" t="s">
        <v>232</v>
      </c>
      <c r="D131" s="117" t="s">
        <v>233</v>
      </c>
      <c r="E131" s="117" t="s">
        <v>234</v>
      </c>
    </row>
    <row r="132" spans="2:5" ht="15.75" thickBot="1">
      <c r="B132" s="123"/>
      <c r="C132" s="119"/>
      <c r="D132" s="119"/>
      <c r="E132" s="119"/>
    </row>
    <row r="133" spans="2:5">
      <c r="B133" s="124" t="s">
        <v>235</v>
      </c>
      <c r="C133" s="125" t="s">
        <v>240</v>
      </c>
      <c r="D133" s="125"/>
      <c r="E133" s="117"/>
    </row>
    <row r="134" spans="2:5">
      <c r="B134" s="118"/>
      <c r="C134" s="126"/>
      <c r="D134" s="126"/>
      <c r="E134" s="118"/>
    </row>
    <row r="135" spans="2:5" ht="15.75" thickBot="1">
      <c r="B135" s="119"/>
      <c r="C135" s="127"/>
      <c r="D135" s="127"/>
      <c r="E135" s="119"/>
    </row>
    <row r="136" spans="2:5">
      <c r="B136" s="117" t="s">
        <v>237</v>
      </c>
      <c r="C136" s="117"/>
      <c r="D136" s="117"/>
      <c r="E136" s="117"/>
    </row>
    <row r="137" spans="2:5">
      <c r="B137" s="118"/>
      <c r="C137" s="118"/>
      <c r="D137" s="118"/>
      <c r="E137" s="118"/>
    </row>
    <row r="138" spans="2:5" ht="15.75" thickBot="1">
      <c r="B138" s="119"/>
      <c r="C138" s="119"/>
      <c r="D138" s="119"/>
      <c r="E138" s="119"/>
    </row>
    <row r="139" spans="2:5">
      <c r="B139" s="117" t="s">
        <v>238</v>
      </c>
      <c r="C139" s="120"/>
      <c r="D139" s="117"/>
      <c r="E139" s="117"/>
    </row>
    <row r="140" spans="2:5">
      <c r="B140" s="118"/>
      <c r="C140" s="121"/>
      <c r="D140" s="118"/>
      <c r="E140" s="118"/>
    </row>
    <row r="141" spans="2:5" ht="15.75" thickBot="1">
      <c r="B141" s="119"/>
      <c r="C141" s="122"/>
      <c r="D141" s="119"/>
      <c r="E141" s="119"/>
    </row>
  </sheetData>
  <mergeCells count="70">
    <mergeCell ref="H32:I32"/>
    <mergeCell ref="H33:I33"/>
    <mergeCell ref="H34:I34"/>
    <mergeCell ref="H35:I35"/>
    <mergeCell ref="H26:I26"/>
    <mergeCell ref="H27:I27"/>
    <mergeCell ref="H28:I28"/>
    <mergeCell ref="H29:I29"/>
    <mergeCell ref="H11:I11"/>
    <mergeCell ref="H31:I31"/>
    <mergeCell ref="A7:I7"/>
    <mergeCell ref="A8:I8"/>
    <mergeCell ref="H25:I25"/>
    <mergeCell ref="H12:I12"/>
    <mergeCell ref="H13:I13"/>
    <mergeCell ref="H10:I10"/>
    <mergeCell ref="H18:I18"/>
    <mergeCell ref="H19:I19"/>
    <mergeCell ref="H20:I20"/>
    <mergeCell ref="H21:I21"/>
    <mergeCell ref="H22:I22"/>
    <mergeCell ref="H9:I9"/>
    <mergeCell ref="H14:I14"/>
    <mergeCell ref="H15:I15"/>
    <mergeCell ref="H16:I16"/>
    <mergeCell ref="H17:I17"/>
    <mergeCell ref="H30:I30"/>
    <mergeCell ref="H23:I23"/>
    <mergeCell ref="H24:I24"/>
    <mergeCell ref="H47:I47"/>
    <mergeCell ref="H48:I48"/>
    <mergeCell ref="H49:I49"/>
    <mergeCell ref="H50:I50"/>
    <mergeCell ref="H41:I41"/>
    <mergeCell ref="H42:I42"/>
    <mergeCell ref="H43:I43"/>
    <mergeCell ref="H44:I44"/>
    <mergeCell ref="H45:I45"/>
    <mergeCell ref="H46:I46"/>
    <mergeCell ref="H40:I40"/>
    <mergeCell ref="H39:I39"/>
    <mergeCell ref="H38:I38"/>
    <mergeCell ref="H36:I36"/>
    <mergeCell ref="H37:I37"/>
    <mergeCell ref="A2:I2"/>
    <mergeCell ref="A3:I3"/>
    <mergeCell ref="A4:I4"/>
    <mergeCell ref="A5:I5"/>
    <mergeCell ref="A6:I6"/>
    <mergeCell ref="B131:B132"/>
    <mergeCell ref="C131:C132"/>
    <mergeCell ref="D131:D132"/>
    <mergeCell ref="E131:E132"/>
    <mergeCell ref="B133:B135"/>
    <mergeCell ref="C133:C135"/>
    <mergeCell ref="D133:D135"/>
    <mergeCell ref="E133:E135"/>
    <mergeCell ref="B136:B138"/>
    <mergeCell ref="C136:C138"/>
    <mergeCell ref="D136:D138"/>
    <mergeCell ref="E136:E138"/>
    <mergeCell ref="B139:B141"/>
    <mergeCell ref="C139:C141"/>
    <mergeCell ref="D139:D141"/>
    <mergeCell ref="E139:E141"/>
    <mergeCell ref="B109:C109"/>
    <mergeCell ref="B110:C110"/>
    <mergeCell ref="B111:C111"/>
    <mergeCell ref="B112:C112"/>
    <mergeCell ref="B113:C1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76"/>
  <sheetViews>
    <sheetView topLeftCell="A21" workbookViewId="0">
      <selection activeCell="A21" sqref="A1:XFD1048576"/>
    </sheetView>
  </sheetViews>
  <sheetFormatPr defaultColWidth="8.7109375" defaultRowHeight="15"/>
  <cols>
    <col min="1" max="1" width="5.5703125" customWidth="1"/>
    <col min="2" max="2" width="50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9" ht="15.75" thickBot="1">
      <c r="A1" s="1" t="s">
        <v>146</v>
      </c>
    </row>
    <row r="2" spans="1:9" ht="23.25" customHeight="1">
      <c r="A2" s="132" t="s">
        <v>0</v>
      </c>
      <c r="B2" s="133"/>
      <c r="C2" s="133"/>
      <c r="D2" s="133"/>
      <c r="E2" s="133"/>
      <c r="F2" s="133"/>
      <c r="G2" s="133"/>
      <c r="H2" s="133"/>
      <c r="I2" s="134"/>
    </row>
    <row r="3" spans="1:9" ht="23.25" customHeight="1">
      <c r="A3" s="135" t="s">
        <v>1</v>
      </c>
      <c r="B3" s="136"/>
      <c r="C3" s="136"/>
      <c r="D3" s="136"/>
      <c r="E3" s="136"/>
      <c r="F3" s="136"/>
      <c r="G3" s="136"/>
      <c r="H3" s="136"/>
      <c r="I3" s="137"/>
    </row>
    <row r="4" spans="1:9" ht="23.25" customHeight="1">
      <c r="A4" s="138" t="s">
        <v>2</v>
      </c>
      <c r="B4" s="139"/>
      <c r="C4" s="139"/>
      <c r="D4" s="139"/>
      <c r="E4" s="139"/>
      <c r="F4" s="139"/>
      <c r="G4" s="139"/>
      <c r="H4" s="139"/>
      <c r="I4" s="140"/>
    </row>
    <row r="5" spans="1:9" ht="23.25" customHeight="1">
      <c r="A5" s="138" t="s">
        <v>3</v>
      </c>
      <c r="B5" s="139"/>
      <c r="C5" s="139"/>
      <c r="D5" s="139"/>
      <c r="E5" s="139"/>
      <c r="F5" s="139"/>
      <c r="G5" s="139"/>
      <c r="H5" s="139"/>
      <c r="I5" s="140"/>
    </row>
    <row r="6" spans="1:9" ht="23.25" customHeight="1">
      <c r="A6" s="141" t="s">
        <v>160</v>
      </c>
      <c r="B6" s="142"/>
      <c r="C6" s="142"/>
      <c r="D6" s="142"/>
      <c r="E6" s="142"/>
      <c r="F6" s="142"/>
      <c r="G6" s="142"/>
      <c r="H6" s="142"/>
      <c r="I6" s="143"/>
    </row>
    <row r="7" spans="1:9" ht="30" customHeight="1">
      <c r="A7" s="170" t="s">
        <v>147</v>
      </c>
      <c r="B7" s="171"/>
      <c r="C7" s="171"/>
      <c r="D7" s="171"/>
      <c r="E7" s="171"/>
      <c r="F7" s="171"/>
      <c r="G7" s="171"/>
      <c r="H7" s="171"/>
      <c r="I7" s="171"/>
    </row>
    <row r="8" spans="1:9" ht="33.6" customHeight="1" thickBot="1">
      <c r="A8" s="170" t="s">
        <v>148</v>
      </c>
      <c r="B8" s="171"/>
      <c r="C8" s="171"/>
      <c r="D8" s="171"/>
      <c r="E8" s="171"/>
      <c r="F8" s="171"/>
      <c r="G8" s="171"/>
      <c r="H8" s="171"/>
      <c r="I8" s="171"/>
    </row>
    <row r="9" spans="1:9" ht="28.15" customHeight="1" thickBot="1">
      <c r="A9" s="2" t="s">
        <v>6</v>
      </c>
      <c r="B9" s="3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5" t="s">
        <v>12</v>
      </c>
      <c r="H9" s="172" t="s">
        <v>164</v>
      </c>
      <c r="I9" s="173"/>
    </row>
    <row r="10" spans="1:9" ht="13.15" customHeight="1">
      <c r="A10" s="46" t="s">
        <v>14</v>
      </c>
      <c r="B10" s="7" t="s">
        <v>149</v>
      </c>
      <c r="C10" s="8"/>
      <c r="D10" s="8"/>
      <c r="E10" s="8"/>
      <c r="F10" s="8"/>
      <c r="G10" s="9"/>
      <c r="H10" s="131"/>
      <c r="I10" s="167"/>
    </row>
    <row r="11" spans="1:9" ht="13.15" customHeight="1">
      <c r="A11" s="46">
        <v>1</v>
      </c>
      <c r="B11" s="7" t="s">
        <v>229</v>
      </c>
      <c r="C11" s="10"/>
      <c r="D11" s="10"/>
      <c r="E11" s="8"/>
      <c r="F11" s="8"/>
      <c r="G11" s="9"/>
      <c r="H11" s="131"/>
      <c r="I11" s="167"/>
    </row>
    <row r="12" spans="1:9" ht="13.15" customHeight="1">
      <c r="A12" s="11"/>
      <c r="B12" s="12" t="s">
        <v>150</v>
      </c>
      <c r="C12" s="8" t="s">
        <v>151</v>
      </c>
      <c r="D12" s="8" t="s">
        <v>17</v>
      </c>
      <c r="E12" s="60">
        <v>16230800</v>
      </c>
      <c r="F12" s="61">
        <v>15974.47</v>
      </c>
      <c r="G12" s="62">
        <v>0.98550000000000004</v>
      </c>
      <c r="H12" s="130">
        <v>6.5397999999999998E-2</v>
      </c>
      <c r="I12" s="168"/>
    </row>
    <row r="13" spans="1:9" ht="13.15" customHeight="1">
      <c r="A13" s="11"/>
      <c r="B13" s="7" t="s">
        <v>22</v>
      </c>
      <c r="C13" s="8"/>
      <c r="D13" s="8"/>
      <c r="E13" s="8"/>
      <c r="F13" s="63">
        <v>15974.47</v>
      </c>
      <c r="G13" s="64">
        <v>0.98550000000000004</v>
      </c>
      <c r="H13" s="128"/>
      <c r="I13" s="169"/>
    </row>
    <row r="14" spans="1:9" ht="13.15" customHeight="1">
      <c r="A14" s="46" t="s">
        <v>23</v>
      </c>
      <c r="B14" s="42" t="s">
        <v>226</v>
      </c>
      <c r="C14" s="8"/>
      <c r="D14" s="8"/>
      <c r="E14" s="8"/>
      <c r="F14" s="63"/>
      <c r="G14" s="64"/>
      <c r="H14" s="128"/>
      <c r="I14" s="169"/>
    </row>
    <row r="15" spans="1:9" ht="13.15" customHeight="1">
      <c r="A15" s="11"/>
      <c r="B15" s="7"/>
      <c r="C15" s="8"/>
      <c r="D15" s="8"/>
      <c r="E15" s="8"/>
      <c r="F15" s="63"/>
      <c r="G15" s="64"/>
      <c r="H15" s="128"/>
      <c r="I15" s="169"/>
    </row>
    <row r="16" spans="1:9" ht="13.15" customHeight="1">
      <c r="A16" s="46" t="s">
        <v>34</v>
      </c>
      <c r="B16" s="15" t="s">
        <v>230</v>
      </c>
      <c r="C16" s="16"/>
      <c r="D16" s="16"/>
      <c r="E16" s="16"/>
      <c r="F16" s="47" t="s">
        <v>173</v>
      </c>
      <c r="G16" s="47" t="s">
        <v>173</v>
      </c>
      <c r="H16" s="128"/>
      <c r="I16" s="169"/>
    </row>
    <row r="17" spans="1:9" ht="13.15" customHeight="1">
      <c r="A17" s="11"/>
      <c r="B17" s="48" t="s">
        <v>22</v>
      </c>
      <c r="C17" s="16"/>
      <c r="D17" s="16"/>
      <c r="E17" s="16"/>
      <c r="F17" s="47" t="s">
        <v>173</v>
      </c>
      <c r="G17" s="47" t="s">
        <v>173</v>
      </c>
      <c r="H17" s="128"/>
      <c r="I17" s="169"/>
    </row>
    <row r="18" spans="1:9" ht="13.15" customHeight="1">
      <c r="A18" s="11"/>
      <c r="B18" s="15" t="s">
        <v>41</v>
      </c>
      <c r="C18" s="17"/>
      <c r="D18" s="16"/>
      <c r="E18" s="17"/>
      <c r="F18" s="63">
        <v>15974.47</v>
      </c>
      <c r="G18" s="64">
        <v>0.98550000000000004</v>
      </c>
      <c r="H18" s="128"/>
      <c r="I18" s="169"/>
    </row>
    <row r="19" spans="1:9" ht="13.15" customHeight="1">
      <c r="A19" s="14"/>
      <c r="B19" s="15" t="s">
        <v>43</v>
      </c>
      <c r="C19" s="8"/>
      <c r="D19" s="16"/>
      <c r="E19" s="8"/>
      <c r="F19" s="65">
        <v>234.3</v>
      </c>
      <c r="G19" s="64">
        <v>1.4500000000000001E-2</v>
      </c>
      <c r="H19" s="128"/>
      <c r="I19" s="169"/>
    </row>
    <row r="20" spans="1:9" ht="13.15" customHeight="1" thickBot="1">
      <c r="A20" s="49"/>
      <c r="B20" s="85" t="s">
        <v>44</v>
      </c>
      <c r="C20" s="86"/>
      <c r="D20" s="86"/>
      <c r="E20" s="86"/>
      <c r="F20" s="87">
        <v>16208.77</v>
      </c>
      <c r="G20" s="88">
        <v>1</v>
      </c>
      <c r="H20" s="165"/>
      <c r="I20" s="166"/>
    </row>
    <row r="21" spans="1:9" ht="13.15" customHeight="1">
      <c r="A21" s="23"/>
      <c r="B21" s="20"/>
      <c r="C21" s="21"/>
      <c r="D21" s="21"/>
      <c r="E21" s="21"/>
      <c r="F21" s="22"/>
      <c r="G21" s="50"/>
    </row>
    <row r="22" spans="1:9" ht="13.15" customHeight="1">
      <c r="A22" s="23"/>
      <c r="B22" s="20"/>
      <c r="C22" s="21"/>
      <c r="D22" s="21"/>
      <c r="E22" s="21"/>
      <c r="F22" s="22"/>
      <c r="G22" s="50"/>
    </row>
    <row r="23" spans="1:9">
      <c r="B23" s="162" t="s">
        <v>45</v>
      </c>
      <c r="C23" s="162"/>
      <c r="D23" s="162"/>
      <c r="E23" s="162"/>
    </row>
    <row r="24" spans="1:9">
      <c r="B24" s="162" t="s">
        <v>46</v>
      </c>
      <c r="C24" s="162"/>
      <c r="D24" s="162"/>
      <c r="E24" s="162"/>
    </row>
    <row r="25" spans="1:9">
      <c r="B25" s="163" t="s">
        <v>47</v>
      </c>
      <c r="C25" s="163"/>
      <c r="D25" s="163"/>
      <c r="E25" s="163"/>
    </row>
    <row r="27" spans="1:9">
      <c r="B27" s="24" t="s">
        <v>48</v>
      </c>
      <c r="C27" s="24"/>
      <c r="D27" s="25"/>
      <c r="E27" s="25"/>
    </row>
    <row r="28" spans="1:9">
      <c r="B28" s="26" t="s">
        <v>110</v>
      </c>
      <c r="C28" s="26"/>
      <c r="D28" s="25"/>
      <c r="E28" s="28" t="s">
        <v>50</v>
      </c>
    </row>
    <row r="29" spans="1:9">
      <c r="B29" s="26" t="s">
        <v>111</v>
      </c>
      <c r="C29" s="26"/>
      <c r="D29" s="25"/>
      <c r="E29" s="28" t="s">
        <v>50</v>
      </c>
    </row>
    <row r="30" spans="1:9">
      <c r="B30" s="26" t="s">
        <v>168</v>
      </c>
      <c r="C30" s="26"/>
      <c r="D30" s="25"/>
      <c r="E30" s="51"/>
    </row>
    <row r="31" spans="1:9">
      <c r="B31" s="26" t="s">
        <v>119</v>
      </c>
      <c r="C31" s="26"/>
      <c r="D31" s="25"/>
      <c r="E31" s="31">
        <v>62.808100000000003</v>
      </c>
    </row>
    <row r="32" spans="1:9">
      <c r="B32" s="26" t="s">
        <v>169</v>
      </c>
      <c r="C32" s="26"/>
      <c r="D32" s="25"/>
      <c r="E32" s="31"/>
    </row>
    <row r="33" spans="2:6">
      <c r="B33" s="26" t="s">
        <v>119</v>
      </c>
      <c r="C33" s="26"/>
      <c r="D33" s="25"/>
      <c r="E33" s="31">
        <v>63.738399999999999</v>
      </c>
    </row>
    <row r="34" spans="2:6">
      <c r="B34" s="26"/>
      <c r="C34" s="26"/>
      <c r="D34" s="25"/>
      <c r="E34" s="31"/>
    </row>
    <row r="35" spans="2:6">
      <c r="B35" s="114" t="s">
        <v>248</v>
      </c>
      <c r="C35" s="114"/>
      <c r="D35" s="115"/>
      <c r="E35" s="115" t="s">
        <v>50</v>
      </c>
    </row>
    <row r="36" spans="2:6">
      <c r="B36" s="149" t="s">
        <v>242</v>
      </c>
      <c r="C36" s="150"/>
      <c r="D36" s="115"/>
      <c r="E36" s="115" t="s">
        <v>50</v>
      </c>
    </row>
    <row r="37" spans="2:6">
      <c r="B37" s="149" t="s">
        <v>243</v>
      </c>
      <c r="C37" s="150"/>
      <c r="D37" s="115"/>
      <c r="E37" s="115" t="s">
        <v>50</v>
      </c>
    </row>
    <row r="38" spans="2:6">
      <c r="B38" s="149" t="s">
        <v>244</v>
      </c>
      <c r="C38" s="150"/>
      <c r="D38" s="115"/>
      <c r="E38" s="115" t="s">
        <v>50</v>
      </c>
    </row>
    <row r="39" spans="2:6">
      <c r="B39" s="149" t="s">
        <v>245</v>
      </c>
      <c r="C39" s="150"/>
      <c r="D39" s="115"/>
      <c r="E39" s="115" t="s">
        <v>50</v>
      </c>
    </row>
    <row r="40" spans="2:6">
      <c r="B40" s="149" t="s">
        <v>246</v>
      </c>
      <c r="C40" s="150"/>
      <c r="D40" s="115"/>
      <c r="E40" s="115" t="s">
        <v>50</v>
      </c>
    </row>
    <row r="41" spans="2:6">
      <c r="B41" s="26"/>
      <c r="C41" s="26"/>
      <c r="D41" s="25"/>
      <c r="E41" s="28"/>
    </row>
    <row r="42" spans="2:6">
      <c r="B42" s="32" t="s">
        <v>63</v>
      </c>
      <c r="C42" s="26"/>
      <c r="D42" s="25"/>
      <c r="E42" s="33" t="s">
        <v>174</v>
      </c>
    </row>
    <row r="43" spans="2:6">
      <c r="B43" s="26" t="s">
        <v>171</v>
      </c>
      <c r="C43" s="26"/>
      <c r="D43" s="25"/>
      <c r="E43" s="28" t="s">
        <v>50</v>
      </c>
    </row>
    <row r="44" spans="2:6">
      <c r="B44" s="32" t="s">
        <v>172</v>
      </c>
      <c r="C44" s="32"/>
      <c r="D44" s="25"/>
      <c r="E44" s="41" t="s">
        <v>50</v>
      </c>
    </row>
    <row r="45" spans="2:6">
      <c r="B45" s="32"/>
      <c r="C45" s="32"/>
      <c r="D45" s="25"/>
      <c r="E45" s="41"/>
    </row>
    <row r="46" spans="2:6">
      <c r="B46" s="32"/>
      <c r="C46" s="32"/>
      <c r="D46" s="25"/>
      <c r="E46" s="41"/>
    </row>
    <row r="47" spans="2:6">
      <c r="B47" s="164"/>
      <c r="C47" s="164"/>
      <c r="D47" s="164"/>
      <c r="E47" s="41"/>
    </row>
    <row r="48" spans="2:6">
      <c r="F48" s="42"/>
    </row>
    <row r="49" spans="2:6">
      <c r="B49" s="42"/>
      <c r="F49" s="42"/>
    </row>
    <row r="50" spans="2:6">
      <c r="F50" s="42" t="s">
        <v>152</v>
      </c>
    </row>
    <row r="51" spans="2:6">
      <c r="B51" s="42" t="s">
        <v>88</v>
      </c>
      <c r="F51" s="42" t="s">
        <v>89</v>
      </c>
    </row>
    <row r="65" spans="2:5" ht="15.75" thickBot="1"/>
    <row r="66" spans="2:5">
      <c r="B66" s="117" t="s">
        <v>239</v>
      </c>
      <c r="C66" s="117" t="s">
        <v>232</v>
      </c>
      <c r="D66" s="117" t="s">
        <v>233</v>
      </c>
      <c r="E66" s="117" t="s">
        <v>234</v>
      </c>
    </row>
    <row r="67" spans="2:5" ht="15.75" thickBot="1">
      <c r="B67" s="123"/>
      <c r="C67" s="119"/>
      <c r="D67" s="119"/>
      <c r="E67" s="119"/>
    </row>
    <row r="68" spans="2:5">
      <c r="B68" s="124" t="s">
        <v>235</v>
      </c>
      <c r="C68" s="125"/>
      <c r="D68" s="125"/>
      <c r="E68" s="117"/>
    </row>
    <row r="69" spans="2:5">
      <c r="B69" s="118"/>
      <c r="C69" s="126"/>
      <c r="D69" s="126"/>
      <c r="E69" s="118"/>
    </row>
    <row r="70" spans="2:5" ht="15.75" thickBot="1">
      <c r="B70" s="119"/>
      <c r="C70" s="127"/>
      <c r="D70" s="127"/>
      <c r="E70" s="119"/>
    </row>
    <row r="71" spans="2:5">
      <c r="B71" s="117" t="s">
        <v>237</v>
      </c>
      <c r="C71" s="117"/>
      <c r="D71" s="117"/>
      <c r="E71" s="117"/>
    </row>
    <row r="72" spans="2:5">
      <c r="B72" s="118"/>
      <c r="C72" s="118"/>
      <c r="D72" s="118"/>
      <c r="E72" s="118"/>
    </row>
    <row r="73" spans="2:5" ht="15.75" thickBot="1">
      <c r="B73" s="119"/>
      <c r="C73" s="119"/>
      <c r="D73" s="119"/>
      <c r="E73" s="119"/>
    </row>
    <row r="74" spans="2:5">
      <c r="B74" s="117" t="s">
        <v>238</v>
      </c>
      <c r="C74" s="125" t="s">
        <v>241</v>
      </c>
      <c r="D74" s="117"/>
      <c r="E74" s="117"/>
    </row>
    <row r="75" spans="2:5">
      <c r="B75" s="118"/>
      <c r="C75" s="126"/>
      <c r="D75" s="118"/>
      <c r="E75" s="118"/>
    </row>
    <row r="76" spans="2:5" ht="15.75" thickBot="1">
      <c r="B76" s="119"/>
      <c r="C76" s="127"/>
      <c r="D76" s="119"/>
      <c r="E76" s="119"/>
    </row>
  </sheetData>
  <mergeCells count="44">
    <mergeCell ref="A2:I2"/>
    <mergeCell ref="A3:I3"/>
    <mergeCell ref="A4:I4"/>
    <mergeCell ref="A5:I5"/>
    <mergeCell ref="H10:I10"/>
    <mergeCell ref="A6:I6"/>
    <mergeCell ref="A7:I7"/>
    <mergeCell ref="A8:I8"/>
    <mergeCell ref="H9:I9"/>
    <mergeCell ref="H20:I20"/>
    <mergeCell ref="H11:I11"/>
    <mergeCell ref="H12:I12"/>
    <mergeCell ref="H13:I13"/>
    <mergeCell ref="H16:I16"/>
    <mergeCell ref="H17:I17"/>
    <mergeCell ref="H18:I18"/>
    <mergeCell ref="H14:I14"/>
    <mergeCell ref="H15:I15"/>
    <mergeCell ref="H19:I19"/>
    <mergeCell ref="B23:E23"/>
    <mergeCell ref="B24:E24"/>
    <mergeCell ref="B66:B67"/>
    <mergeCell ref="C66:C67"/>
    <mergeCell ref="D66:D67"/>
    <mergeCell ref="E66:E67"/>
    <mergeCell ref="B25:E25"/>
    <mergeCell ref="B47:D47"/>
    <mergeCell ref="B36:C36"/>
    <mergeCell ref="B37:C37"/>
    <mergeCell ref="B38:C38"/>
    <mergeCell ref="B39:C39"/>
    <mergeCell ref="B40:C40"/>
    <mergeCell ref="B74:B76"/>
    <mergeCell ref="C74:C76"/>
    <mergeCell ref="D74:D76"/>
    <mergeCell ref="E74:E76"/>
    <mergeCell ref="B68:B70"/>
    <mergeCell ref="C68:C70"/>
    <mergeCell ref="D68:D70"/>
    <mergeCell ref="E68:E70"/>
    <mergeCell ref="B71:B73"/>
    <mergeCell ref="C71:C73"/>
    <mergeCell ref="D71:D73"/>
    <mergeCell ref="E71:E7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80"/>
  <sheetViews>
    <sheetView tabSelected="1" topLeftCell="A26" workbookViewId="0">
      <selection activeCell="A26" sqref="A1:XFD1048576"/>
    </sheetView>
  </sheetViews>
  <sheetFormatPr defaultColWidth="8.7109375" defaultRowHeight="15"/>
  <cols>
    <col min="1" max="1" width="5.28515625" customWidth="1"/>
    <col min="2" max="2" width="49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9">
      <c r="A1" s="1" t="s">
        <v>153</v>
      </c>
    </row>
    <row r="2" spans="1:9" ht="21.75" customHeight="1">
      <c r="A2" s="175" t="s">
        <v>0</v>
      </c>
      <c r="B2" s="175"/>
      <c r="C2" s="175"/>
      <c r="D2" s="175"/>
      <c r="E2" s="175"/>
      <c r="F2" s="175"/>
      <c r="G2" s="175"/>
      <c r="H2" s="175"/>
      <c r="I2" s="175"/>
    </row>
    <row r="3" spans="1:9" ht="21.75" customHeight="1">
      <c r="A3" s="136" t="s">
        <v>1</v>
      </c>
      <c r="B3" s="136"/>
      <c r="C3" s="136"/>
      <c r="D3" s="136"/>
      <c r="E3" s="136"/>
      <c r="F3" s="136"/>
      <c r="G3" s="136"/>
      <c r="H3" s="136"/>
      <c r="I3" s="136"/>
    </row>
    <row r="4" spans="1:9" ht="21.75" customHeight="1">
      <c r="A4" s="139" t="s">
        <v>2</v>
      </c>
      <c r="B4" s="139"/>
      <c r="C4" s="139"/>
      <c r="D4" s="139"/>
      <c r="E4" s="139"/>
      <c r="F4" s="139"/>
      <c r="G4" s="139"/>
      <c r="H4" s="139"/>
      <c r="I4" s="139"/>
    </row>
    <row r="5" spans="1:9" ht="21.75" customHeight="1">
      <c r="A5" s="139" t="s">
        <v>3</v>
      </c>
      <c r="B5" s="139"/>
      <c r="C5" s="139"/>
      <c r="D5" s="139"/>
      <c r="E5" s="139"/>
      <c r="F5" s="139"/>
      <c r="G5" s="139"/>
      <c r="H5" s="139"/>
      <c r="I5" s="139"/>
    </row>
    <row r="6" spans="1:9" ht="21.75" customHeight="1">
      <c r="A6" s="142" t="s">
        <v>160</v>
      </c>
      <c r="B6" s="142"/>
      <c r="C6" s="142"/>
      <c r="D6" s="142"/>
      <c r="E6" s="142"/>
      <c r="F6" s="142"/>
      <c r="G6" s="142"/>
      <c r="H6" s="142"/>
      <c r="I6" s="142"/>
    </row>
    <row r="7" spans="1:9" ht="29.65" customHeight="1">
      <c r="A7" s="176" t="s">
        <v>154</v>
      </c>
      <c r="B7" s="176"/>
      <c r="C7" s="176"/>
      <c r="D7" s="176"/>
      <c r="E7" s="176"/>
      <c r="F7" s="176"/>
      <c r="G7" s="176"/>
      <c r="H7" s="176"/>
      <c r="I7" s="176"/>
    </row>
    <row r="8" spans="1:9" ht="19.149999999999999" customHeight="1">
      <c r="A8" s="176" t="s">
        <v>155</v>
      </c>
      <c r="B8" s="176"/>
      <c r="C8" s="176"/>
      <c r="D8" s="176"/>
      <c r="E8" s="176"/>
      <c r="F8" s="176"/>
      <c r="G8" s="176"/>
      <c r="H8" s="176"/>
      <c r="I8" s="176"/>
    </row>
    <row r="9" spans="1:9" ht="28.15" customHeight="1">
      <c r="A9" s="89" t="s">
        <v>6</v>
      </c>
      <c r="B9" s="90" t="s">
        <v>7</v>
      </c>
      <c r="C9" s="90" t="s">
        <v>8</v>
      </c>
      <c r="D9" s="90" t="s">
        <v>9</v>
      </c>
      <c r="E9" s="90" t="s">
        <v>10</v>
      </c>
      <c r="F9" s="90" t="s">
        <v>11</v>
      </c>
      <c r="G9" s="90" t="s">
        <v>12</v>
      </c>
      <c r="H9" s="174" t="s">
        <v>164</v>
      </c>
      <c r="I9" s="174"/>
    </row>
    <row r="10" spans="1:9" ht="13.15" customHeight="1">
      <c r="A10" s="91" t="s">
        <v>14</v>
      </c>
      <c r="B10" s="68" t="s">
        <v>222</v>
      </c>
      <c r="C10" s="68"/>
      <c r="D10" s="68"/>
      <c r="E10" s="69"/>
      <c r="F10" s="69"/>
      <c r="G10" s="69"/>
      <c r="H10" s="151"/>
      <c r="I10" s="151"/>
    </row>
    <row r="11" spans="1:9" ht="13.15" customHeight="1">
      <c r="A11" s="92"/>
      <c r="B11" s="69" t="s">
        <v>228</v>
      </c>
      <c r="C11" s="69"/>
      <c r="D11" s="69"/>
      <c r="E11" s="70"/>
      <c r="F11" s="71"/>
      <c r="G11" s="72"/>
      <c r="H11" s="151"/>
      <c r="I11" s="151"/>
    </row>
    <row r="12" spans="1:9" ht="13.15" customHeight="1">
      <c r="A12" s="92"/>
      <c r="B12" s="69" t="s">
        <v>227</v>
      </c>
      <c r="C12" s="69"/>
      <c r="D12" s="69"/>
      <c r="E12" s="70"/>
      <c r="F12" s="71"/>
      <c r="G12" s="72"/>
      <c r="H12" s="151"/>
      <c r="I12" s="151"/>
    </row>
    <row r="13" spans="1:9" ht="13.15" customHeight="1">
      <c r="A13" s="92"/>
      <c r="B13" s="69" t="s">
        <v>226</v>
      </c>
      <c r="C13" s="69"/>
      <c r="D13" s="69"/>
      <c r="E13" s="70"/>
      <c r="F13" s="71"/>
      <c r="G13" s="72"/>
      <c r="H13" s="151"/>
      <c r="I13" s="151"/>
    </row>
    <row r="14" spans="1:9" ht="13.15" customHeight="1">
      <c r="A14" s="91" t="s">
        <v>23</v>
      </c>
      <c r="B14" s="68" t="s">
        <v>156</v>
      </c>
      <c r="C14" s="68"/>
      <c r="D14" s="68"/>
      <c r="E14" s="69"/>
      <c r="F14" s="69"/>
      <c r="G14" s="69"/>
      <c r="H14" s="151"/>
      <c r="I14" s="151"/>
    </row>
    <row r="15" spans="1:9" ht="13.15" customHeight="1">
      <c r="A15" s="92">
        <v>1</v>
      </c>
      <c r="B15" s="69" t="s">
        <v>157</v>
      </c>
      <c r="C15" s="69" t="s">
        <v>158</v>
      </c>
      <c r="D15" s="69"/>
      <c r="E15" s="70">
        <v>8322403</v>
      </c>
      <c r="F15" s="71">
        <v>5342.15</v>
      </c>
      <c r="G15" s="72">
        <v>0.99270000000000003</v>
      </c>
      <c r="H15" s="151"/>
      <c r="I15" s="151"/>
    </row>
    <row r="16" spans="1:9" ht="13.15" customHeight="1">
      <c r="A16" s="92"/>
      <c r="B16" s="68" t="s">
        <v>22</v>
      </c>
      <c r="C16" s="69"/>
      <c r="D16" s="69"/>
      <c r="E16" s="69"/>
      <c r="F16" s="73">
        <v>5342.15</v>
      </c>
      <c r="G16" s="74">
        <v>0.99270000000000003</v>
      </c>
      <c r="H16" s="153"/>
      <c r="I16" s="153"/>
    </row>
    <row r="17" spans="1:9" ht="13.15" customHeight="1">
      <c r="A17" s="92"/>
      <c r="B17" s="68" t="s">
        <v>41</v>
      </c>
      <c r="C17" s="69"/>
      <c r="D17" s="69"/>
      <c r="E17" s="69"/>
      <c r="F17" s="73">
        <v>5342.15</v>
      </c>
      <c r="G17" s="74">
        <v>0.99270000000000003</v>
      </c>
      <c r="H17" s="152"/>
      <c r="I17" s="152"/>
    </row>
    <row r="18" spans="1:9" ht="13.15" customHeight="1">
      <c r="A18" s="91" t="s">
        <v>34</v>
      </c>
      <c r="B18" s="68" t="s">
        <v>13</v>
      </c>
      <c r="C18" s="69"/>
      <c r="D18" s="69"/>
      <c r="E18" s="69"/>
      <c r="F18" s="69"/>
      <c r="G18" s="69"/>
      <c r="H18" s="152"/>
      <c r="I18" s="152"/>
    </row>
    <row r="19" spans="1:9" ht="13.15" customHeight="1">
      <c r="A19" s="93" t="s">
        <v>42</v>
      </c>
      <c r="B19" s="68" t="s">
        <v>39</v>
      </c>
      <c r="C19" s="68"/>
      <c r="D19" s="68"/>
      <c r="E19" s="69"/>
      <c r="F19" s="69"/>
      <c r="G19" s="69"/>
      <c r="H19" s="151"/>
      <c r="I19" s="151"/>
    </row>
    <row r="20" spans="1:9" ht="13.15" customHeight="1">
      <c r="A20" s="92">
        <v>1</v>
      </c>
      <c r="B20" s="69" t="s">
        <v>40</v>
      </c>
      <c r="C20" s="69"/>
      <c r="D20" s="69"/>
      <c r="E20" s="75"/>
      <c r="F20" s="71">
        <v>39</v>
      </c>
      <c r="G20" s="72">
        <v>7.1999999999999998E-3</v>
      </c>
      <c r="H20" s="153">
        <v>4.6994217948717949E-2</v>
      </c>
      <c r="I20" s="153"/>
    </row>
    <row r="21" spans="1:9" ht="13.15" customHeight="1">
      <c r="A21" s="92"/>
      <c r="B21" s="68" t="s">
        <v>22</v>
      </c>
      <c r="C21" s="69"/>
      <c r="D21" s="69"/>
      <c r="E21" s="69"/>
      <c r="F21" s="73">
        <v>39</v>
      </c>
      <c r="G21" s="74">
        <v>7.1999999999999998E-3</v>
      </c>
      <c r="H21" s="152"/>
      <c r="I21" s="152"/>
    </row>
    <row r="22" spans="1:9" ht="13.15" customHeight="1">
      <c r="A22" s="92"/>
      <c r="B22" s="68" t="s">
        <v>41</v>
      </c>
      <c r="C22" s="69"/>
      <c r="D22" s="69"/>
      <c r="E22" s="69"/>
      <c r="F22" s="73">
        <v>39</v>
      </c>
      <c r="G22" s="74">
        <v>7.1999999999999998E-3</v>
      </c>
      <c r="H22" s="152"/>
      <c r="I22" s="152"/>
    </row>
    <row r="23" spans="1:9" ht="13.15" customHeight="1">
      <c r="A23" s="94"/>
      <c r="B23" s="68" t="s">
        <v>43</v>
      </c>
      <c r="C23" s="69"/>
      <c r="D23" s="69"/>
      <c r="E23" s="69"/>
      <c r="F23" s="73">
        <v>0.2</v>
      </c>
      <c r="G23" s="74">
        <v>1E-4</v>
      </c>
      <c r="H23" s="152"/>
      <c r="I23" s="152"/>
    </row>
    <row r="24" spans="1:9" ht="13.15" customHeight="1">
      <c r="A24" s="94"/>
      <c r="B24" s="68" t="s">
        <v>44</v>
      </c>
      <c r="C24" s="69"/>
      <c r="D24" s="69"/>
      <c r="E24" s="69"/>
      <c r="F24" s="73">
        <v>5381.35</v>
      </c>
      <c r="G24" s="76">
        <v>1</v>
      </c>
      <c r="H24" s="152"/>
      <c r="I24" s="152"/>
    </row>
    <row r="25" spans="1:9" ht="13.15" customHeight="1">
      <c r="A25" s="23"/>
      <c r="B25" s="20"/>
      <c r="C25" s="21"/>
      <c r="D25" s="21"/>
      <c r="E25" s="21"/>
      <c r="F25" s="22"/>
      <c r="G25" s="52"/>
    </row>
    <row r="26" spans="1:9" ht="13.15" customHeight="1">
      <c r="A26" s="23"/>
      <c r="F26" s="22"/>
      <c r="G26" s="50"/>
    </row>
    <row r="27" spans="1:9" ht="13.15" customHeight="1">
      <c r="A27" s="23"/>
      <c r="B27" s="162" t="s">
        <v>45</v>
      </c>
      <c r="C27" s="162"/>
      <c r="D27" s="162"/>
      <c r="E27" s="162"/>
      <c r="F27" s="22"/>
      <c r="G27" s="50"/>
    </row>
    <row r="28" spans="1:9" ht="13.15" customHeight="1">
      <c r="A28" s="23"/>
      <c r="B28" s="162" t="s">
        <v>46</v>
      </c>
      <c r="C28" s="162"/>
      <c r="D28" s="162"/>
      <c r="E28" s="162"/>
      <c r="F28" s="22"/>
      <c r="G28" s="50"/>
    </row>
    <row r="29" spans="1:9" ht="13.15" customHeight="1">
      <c r="A29" s="23"/>
      <c r="B29" s="163" t="s">
        <v>47</v>
      </c>
      <c r="C29" s="163"/>
      <c r="D29" s="163"/>
      <c r="E29" s="163"/>
      <c r="F29" s="22"/>
      <c r="G29" s="50"/>
    </row>
    <row r="30" spans="1:9" ht="13.15" customHeight="1">
      <c r="A30" s="23"/>
      <c r="B30" s="20"/>
      <c r="C30" s="21"/>
      <c r="D30" s="21"/>
      <c r="E30" s="21"/>
      <c r="F30" s="22"/>
      <c r="G30" s="50"/>
    </row>
    <row r="31" spans="1:9">
      <c r="B31" s="24" t="s">
        <v>48</v>
      </c>
    </row>
    <row r="32" spans="1:9">
      <c r="B32" s="53" t="s">
        <v>110</v>
      </c>
      <c r="C32" s="53"/>
      <c r="D32" s="25"/>
      <c r="E32" s="54" t="s">
        <v>50</v>
      </c>
    </row>
    <row r="33" spans="2:5">
      <c r="B33" s="53" t="s">
        <v>111</v>
      </c>
      <c r="C33" s="53"/>
      <c r="D33" s="25"/>
      <c r="E33" s="54" t="s">
        <v>50</v>
      </c>
    </row>
    <row r="34" spans="2:5">
      <c r="B34" s="53" t="s">
        <v>168</v>
      </c>
      <c r="C34" s="53"/>
      <c r="D34" s="25"/>
      <c r="E34" s="55"/>
    </row>
    <row r="35" spans="2:5">
      <c r="B35" s="53" t="s">
        <v>112</v>
      </c>
      <c r="C35" s="53"/>
      <c r="D35" s="25"/>
      <c r="E35" s="31">
        <v>12.871499999999999</v>
      </c>
    </row>
    <row r="36" spans="2:5">
      <c r="B36" s="53" t="s">
        <v>119</v>
      </c>
      <c r="C36" s="53"/>
      <c r="D36" s="25"/>
      <c r="E36" s="31">
        <v>12.8284</v>
      </c>
    </row>
    <row r="37" spans="2:5">
      <c r="B37" s="53" t="s">
        <v>169</v>
      </c>
      <c r="C37" s="53"/>
      <c r="D37" s="25"/>
      <c r="E37" s="55"/>
    </row>
    <row r="38" spans="2:5">
      <c r="B38" s="53" t="s">
        <v>112</v>
      </c>
      <c r="C38" s="53"/>
      <c r="D38" s="25"/>
      <c r="E38" s="31">
        <v>13.069100000000001</v>
      </c>
    </row>
    <row r="39" spans="2:5">
      <c r="B39" s="53" t="s">
        <v>119</v>
      </c>
      <c r="C39" s="53"/>
      <c r="D39" s="25"/>
      <c r="E39" s="31">
        <v>13.024900000000001</v>
      </c>
    </row>
    <row r="40" spans="2:5" s="42" customFormat="1">
      <c r="B40" s="100"/>
      <c r="C40" s="100"/>
      <c r="D40" s="25"/>
      <c r="E40" s="101"/>
    </row>
    <row r="41" spans="2:5" s="42" customFormat="1">
      <c r="B41" s="114" t="s">
        <v>248</v>
      </c>
      <c r="C41" s="114"/>
      <c r="D41" s="115"/>
      <c r="E41" s="115" t="s">
        <v>50</v>
      </c>
    </row>
    <row r="42" spans="2:5" s="42" customFormat="1">
      <c r="B42" s="149" t="s">
        <v>242</v>
      </c>
      <c r="C42" s="150"/>
      <c r="D42" s="115"/>
      <c r="E42" s="115" t="s">
        <v>50</v>
      </c>
    </row>
    <row r="43" spans="2:5" s="42" customFormat="1">
      <c r="B43" s="149" t="s">
        <v>243</v>
      </c>
      <c r="C43" s="150"/>
      <c r="D43" s="115"/>
      <c r="E43" s="115" t="s">
        <v>50</v>
      </c>
    </row>
    <row r="44" spans="2:5" s="42" customFormat="1">
      <c r="B44" s="149" t="s">
        <v>244</v>
      </c>
      <c r="C44" s="150"/>
      <c r="D44" s="115"/>
      <c r="E44" s="115" t="s">
        <v>50</v>
      </c>
    </row>
    <row r="45" spans="2:5" s="42" customFormat="1">
      <c r="B45" s="149" t="s">
        <v>245</v>
      </c>
      <c r="C45" s="150"/>
      <c r="D45" s="115"/>
      <c r="E45" s="115" t="s">
        <v>50</v>
      </c>
    </row>
    <row r="46" spans="2:5" s="42" customFormat="1">
      <c r="B46" s="149" t="s">
        <v>246</v>
      </c>
      <c r="C46" s="150"/>
      <c r="D46" s="115"/>
      <c r="E46" s="115" t="s">
        <v>50</v>
      </c>
    </row>
    <row r="47" spans="2:5" s="42" customFormat="1">
      <c r="B47" s="100"/>
      <c r="C47" s="100"/>
      <c r="D47" s="25"/>
      <c r="E47" s="101"/>
    </row>
    <row r="48" spans="2:5">
      <c r="B48" s="32" t="s">
        <v>63</v>
      </c>
      <c r="C48" s="26"/>
      <c r="D48" s="25"/>
      <c r="E48" s="33" t="s">
        <v>170</v>
      </c>
    </row>
    <row r="49" spans="2:6">
      <c r="B49" s="53" t="s">
        <v>171</v>
      </c>
      <c r="C49" s="53"/>
      <c r="D49" s="25"/>
      <c r="E49" s="54" t="s">
        <v>50</v>
      </c>
    </row>
    <row r="50" spans="2:6">
      <c r="B50" s="32" t="s">
        <v>172</v>
      </c>
      <c r="E50" s="54" t="s">
        <v>50</v>
      </c>
    </row>
    <row r="51" spans="2:6">
      <c r="F51" s="42"/>
    </row>
    <row r="52" spans="2:6">
      <c r="B52" s="42"/>
      <c r="F52" s="42"/>
    </row>
    <row r="53" spans="2:6">
      <c r="F53" s="42" t="s">
        <v>152</v>
      </c>
    </row>
    <row r="54" spans="2:6">
      <c r="B54" s="42" t="s">
        <v>88</v>
      </c>
      <c r="F54" s="42" t="s">
        <v>89</v>
      </c>
    </row>
    <row r="55" spans="2:6">
      <c r="B55" s="42"/>
      <c r="F55" s="42"/>
    </row>
    <row r="56" spans="2:6" s="77" customFormat="1"/>
    <row r="69" spans="2:5" ht="15.75" thickBot="1"/>
    <row r="70" spans="2:5">
      <c r="B70" s="117" t="s">
        <v>239</v>
      </c>
      <c r="C70" s="117" t="s">
        <v>232</v>
      </c>
      <c r="D70" s="117" t="s">
        <v>233</v>
      </c>
      <c r="E70" s="117" t="s">
        <v>234</v>
      </c>
    </row>
    <row r="71" spans="2:5" ht="15.75" thickBot="1">
      <c r="B71" s="123"/>
      <c r="C71" s="119"/>
      <c r="D71" s="119"/>
      <c r="E71" s="119"/>
    </row>
    <row r="72" spans="2:5">
      <c r="B72" s="124" t="s">
        <v>235</v>
      </c>
      <c r="C72" s="125"/>
      <c r="D72" s="125"/>
      <c r="E72" s="117"/>
    </row>
    <row r="73" spans="2:5">
      <c r="B73" s="118"/>
      <c r="C73" s="126"/>
      <c r="D73" s="126"/>
      <c r="E73" s="118"/>
    </row>
    <row r="74" spans="2:5" ht="15.75" thickBot="1">
      <c r="B74" s="119"/>
      <c r="C74" s="127"/>
      <c r="D74" s="127"/>
      <c r="E74" s="119"/>
    </row>
    <row r="75" spans="2:5">
      <c r="B75" s="117" t="s">
        <v>237</v>
      </c>
      <c r="C75" s="117"/>
      <c r="D75" s="117"/>
      <c r="E75" s="117"/>
    </row>
    <row r="76" spans="2:5">
      <c r="B76" s="118"/>
      <c r="C76" s="118"/>
      <c r="D76" s="118"/>
      <c r="E76" s="118"/>
    </row>
    <row r="77" spans="2:5" ht="15.75" thickBot="1">
      <c r="B77" s="119"/>
      <c r="C77" s="119"/>
      <c r="D77" s="119"/>
      <c r="E77" s="119"/>
    </row>
    <row r="78" spans="2:5">
      <c r="B78" s="117" t="s">
        <v>238</v>
      </c>
      <c r="C78" s="125" t="s">
        <v>241</v>
      </c>
      <c r="D78" s="117"/>
      <c r="E78" s="117"/>
    </row>
    <row r="79" spans="2:5">
      <c r="B79" s="118"/>
      <c r="C79" s="126"/>
      <c r="D79" s="118"/>
      <c r="E79" s="118"/>
    </row>
    <row r="80" spans="2:5" ht="15.75" thickBot="1">
      <c r="B80" s="119"/>
      <c r="C80" s="127"/>
      <c r="D80" s="119"/>
      <c r="E80" s="119"/>
    </row>
  </sheetData>
  <mergeCells count="47">
    <mergeCell ref="B75:B77"/>
    <mergeCell ref="C75:C77"/>
    <mergeCell ref="D75:D77"/>
    <mergeCell ref="E75:E77"/>
    <mergeCell ref="B78:B80"/>
    <mergeCell ref="C78:C80"/>
    <mergeCell ref="D78:D80"/>
    <mergeCell ref="E78:E80"/>
    <mergeCell ref="B70:B71"/>
    <mergeCell ref="C70:C71"/>
    <mergeCell ref="D70:D71"/>
    <mergeCell ref="E70:E71"/>
    <mergeCell ref="B72:B74"/>
    <mergeCell ref="C72:C74"/>
    <mergeCell ref="D72:D74"/>
    <mergeCell ref="E72:E74"/>
    <mergeCell ref="B27:E27"/>
    <mergeCell ref="B28:E28"/>
    <mergeCell ref="B29:E29"/>
    <mergeCell ref="A2:I2"/>
    <mergeCell ref="A3:I3"/>
    <mergeCell ref="A4:I4"/>
    <mergeCell ref="A5:I5"/>
    <mergeCell ref="H20:I20"/>
    <mergeCell ref="H21:I21"/>
    <mergeCell ref="H22:I22"/>
    <mergeCell ref="H23:I23"/>
    <mergeCell ref="H24:I24"/>
    <mergeCell ref="A6:I6"/>
    <mergeCell ref="A7:I7"/>
    <mergeCell ref="A8:I8"/>
    <mergeCell ref="H19:I19"/>
    <mergeCell ref="H9:I9"/>
    <mergeCell ref="H14:I14"/>
    <mergeCell ref="H15:I15"/>
    <mergeCell ref="H16:I16"/>
    <mergeCell ref="H17:I17"/>
    <mergeCell ref="H18:I18"/>
    <mergeCell ref="H10:I10"/>
    <mergeCell ref="H11:I11"/>
    <mergeCell ref="H12:I12"/>
    <mergeCell ref="H13:I13"/>
    <mergeCell ref="B46:C46"/>
    <mergeCell ref="B42:C42"/>
    <mergeCell ref="B43:C43"/>
    <mergeCell ref="B44:C44"/>
    <mergeCell ref="B45:C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Vicky Fernandes</cp:lastModifiedBy>
  <dcterms:created xsi:type="dcterms:W3CDTF">2026-04-20T06:51:05Z</dcterms:created>
  <dcterms:modified xsi:type="dcterms:W3CDTF">2026-04-21T07:19:54Z</dcterms:modified>
</cp:coreProperties>
</file>