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V:\Product Team\MF\Fortnightly\June'26\15062026\"/>
    </mc:Choice>
  </mc:AlternateContent>
  <xr:revisionPtr revIDLastSave="0" documentId="13_ncr:1_{07A13FFD-B089-4BBA-BE8E-6DEE190F281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YO06" sheetId="1" r:id="rId1"/>
    <sheet name="YO15" sheetId="2" r:id="rId2"/>
    <sheet name="YO25" sheetId="3" r:id="rId3"/>
    <sheet name="YO28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47" i="2" l="1"/>
  <c r="F49" i="2" s="1"/>
  <c r="F44" i="1"/>
  <c r="F46" i="1" s="1"/>
  <c r="A17" i="2"/>
  <c r="A18" i="2" s="1"/>
  <c r="A19" i="2" s="1"/>
  <c r="A20" i="2" s="1"/>
  <c r="A21" i="2" s="1"/>
  <c r="A17" i="1"/>
  <c r="A18" i="1" s="1"/>
  <c r="A19" i="1" s="1"/>
  <c r="A20" i="1" s="1"/>
  <c r="A21" i="1" s="1"/>
  <c r="A28" i="1" s="1"/>
</calcChain>
</file>

<file path=xl/sharedStrings.xml><?xml version="1.0" encoding="utf-8"?>
<sst xmlns="http://schemas.openxmlformats.org/spreadsheetml/2006/main" count="575" uniqueCount="247">
  <si>
    <t>Motilal Oswal Asset Management Company Limited</t>
  </si>
  <si>
    <t>(Investment Manager for Motilal Oswal Mutual Fund)</t>
  </si>
  <si>
    <t>Registered Office: 10th Floor, Motilal Oswal Tower, Rahimtullah Sayani Road, Opp. Parel ST Depot, Prabhadevi, Mumbai - 400 025.</t>
  </si>
  <si>
    <t xml:space="preserve"> ● CIN: U67120MH2008PLC188186  ● Email: amc@motilaloswal.com  ● Visit us at www.motilaloswalmf.com</t>
  </si>
  <si>
    <t>Motilal Oswal Ultra Short Term Fund</t>
  </si>
  <si>
    <t>(An open ended ultra-short term debt scheme investing in instruments such that the Macaulay duration of the portfolio is between 3 months and 6 months)</t>
  </si>
  <si>
    <t>Sr. No.</t>
  </si>
  <si>
    <t>Name of the Instrument</t>
  </si>
  <si>
    <t>ISIN Code</t>
  </si>
  <si>
    <t>Industry Classification* / Rating</t>
  </si>
  <si>
    <t>Quantity</t>
  </si>
  <si>
    <t>Market Value 
(Rs. in Lakhs)</t>
  </si>
  <si>
    <t xml:space="preserve">% to NAV </t>
  </si>
  <si>
    <t>Money Market Instruments</t>
  </si>
  <si>
    <t>(a)</t>
  </si>
  <si>
    <t>364 Days Tbill (MD 30/07/2026)</t>
  </si>
  <si>
    <t>IN002025Z187</t>
  </si>
  <si>
    <t>SOVEREIGN</t>
  </si>
  <si>
    <t>364 Days Tbill (MD 10/09/2026)</t>
  </si>
  <si>
    <t>IN002025Z245</t>
  </si>
  <si>
    <t>Sub Total</t>
  </si>
  <si>
    <t>(b)</t>
  </si>
  <si>
    <t>Certificate of Deposit</t>
  </si>
  <si>
    <t>CRISIL A1+</t>
  </si>
  <si>
    <t>FITCH A1+</t>
  </si>
  <si>
    <t>INE692A16JQ1</t>
  </si>
  <si>
    <t>ICRA A1+</t>
  </si>
  <si>
    <t>INE238AD6BD9</t>
  </si>
  <si>
    <t>INE040A16HN4</t>
  </si>
  <si>
    <t>(c)</t>
  </si>
  <si>
    <t>Commercial Paper</t>
  </si>
  <si>
    <t>INE660A14YR0</t>
  </si>
  <si>
    <t>INE296A14D21</t>
  </si>
  <si>
    <t>Total</t>
  </si>
  <si>
    <t>(d)</t>
  </si>
  <si>
    <t>Net Receivables / (Payables)</t>
  </si>
  <si>
    <t>GRAND TOTAL</t>
  </si>
  <si>
    <t>*  Industry Classification is as recommended by AMFI</t>
  </si>
  <si>
    <t>#  Unlisted Security</t>
  </si>
  <si>
    <t>$ Less than 0.005%</t>
  </si>
  <si>
    <t>NOTES :</t>
  </si>
  <si>
    <t xml:space="preserve">1 Details of security in default beyond its maturity date </t>
  </si>
  <si>
    <t>Nil</t>
  </si>
  <si>
    <t xml:space="preserve">              Direct Plan - Growth Option</t>
  </si>
  <si>
    <t xml:space="preserve">              Direct Plan - Daily IDCW Option</t>
  </si>
  <si>
    <t xml:space="preserve">              Direct Plan - Weekly IDCW Option</t>
  </si>
  <si>
    <t xml:space="preserve">              Direct Plan - Fortnightly IDCW Option</t>
  </si>
  <si>
    <t xml:space="preserve">              Direct Plan - Monthly IDCW Option</t>
  </si>
  <si>
    <t xml:space="preserve">              Direct Plan - Quarterly IDCW Option</t>
  </si>
  <si>
    <t xml:space="preserve">              Regular Plan - Growth Option</t>
  </si>
  <si>
    <t xml:space="preserve">              Regular Plan - Daily IDCW Option</t>
  </si>
  <si>
    <t xml:space="preserve">              Regular Plan - Weekly IDCW Option</t>
  </si>
  <si>
    <t xml:space="preserve">              Regular Plan - Fortnightly IDCW Option</t>
  </si>
  <si>
    <t xml:space="preserve">              Regular Plan - Monthly IDCW Option</t>
  </si>
  <si>
    <t xml:space="preserve">              Regular Plan - Quarterly IDCW Option</t>
  </si>
  <si>
    <t>6.   Average Portfolio Maturity</t>
  </si>
  <si>
    <t>(Rs. per unit)</t>
  </si>
  <si>
    <t>Option Name</t>
  </si>
  <si>
    <t>Individual &amp; HUF</t>
  </si>
  <si>
    <t>Others</t>
  </si>
  <si>
    <t>YO06-ZF</t>
  </si>
  <si>
    <t>Direct Fortnightly IDCW</t>
  </si>
  <si>
    <t>YO06-ZM</t>
  </si>
  <si>
    <t>Direct Monthly IDCW</t>
  </si>
  <si>
    <t>YO06-ZQ</t>
  </si>
  <si>
    <t>Direct Quarterly IDCW</t>
  </si>
  <si>
    <t>YO06-ZW</t>
  </si>
  <si>
    <t>Direct Weekly IDCW</t>
  </si>
  <si>
    <t>YO06-ZD</t>
  </si>
  <si>
    <t>Direct-IDCW Option-Daily</t>
  </si>
  <si>
    <t>YO06-RDD</t>
  </si>
  <si>
    <t>Regular Daily IDCW</t>
  </si>
  <si>
    <t>YO06-RFD</t>
  </si>
  <si>
    <t>Regular Fortnightly IDCW</t>
  </si>
  <si>
    <t>YO06-RM</t>
  </si>
  <si>
    <t>Regular Monthly IDCW</t>
  </si>
  <si>
    <t>YO06-RQD</t>
  </si>
  <si>
    <t>Regular Quarterly IDCW</t>
  </si>
  <si>
    <t>YO06-RW</t>
  </si>
  <si>
    <t>Regular Weekly IDCW</t>
  </si>
  <si>
    <t>SCHEME RISK-O-METER</t>
  </si>
  <si>
    <t>BENCHMARK RISK-O-METER</t>
  </si>
  <si>
    <t>YO15</t>
  </si>
  <si>
    <t>Motilal Oswal Liquid Fund</t>
  </si>
  <si>
    <t>(An open ended liquid fund)</t>
  </si>
  <si>
    <t>CARE A1+</t>
  </si>
  <si>
    <t>1.   Total Non Performing Assets provided for and its percentage to NAV</t>
  </si>
  <si>
    <t>2.   Total value and percentage of  illiquid equity shares</t>
  </si>
  <si>
    <t xml:space="preserve">            Direct Plan - Growth Option</t>
  </si>
  <si>
    <t xml:space="preserve">            Direct-IDCW Option-Daily</t>
  </si>
  <si>
    <t xml:space="preserve">            Direct-IDCW Option-Fortnightly</t>
  </si>
  <si>
    <t xml:space="preserve">            Direct-IDCW Option-Quarterly</t>
  </si>
  <si>
    <t xml:space="preserve">            Direct-IDCW Option-Weekly</t>
  </si>
  <si>
    <t xml:space="preserve">            Direct -IDCW Option-Monthly</t>
  </si>
  <si>
    <t xml:space="preserve">            Regular Plan - Growth Option</t>
  </si>
  <si>
    <t xml:space="preserve">            Regular IDCW Option-Daily</t>
  </si>
  <si>
    <t xml:space="preserve">            Regular IDCW Option-Fortnightly</t>
  </si>
  <si>
    <t xml:space="preserve">            Regular IDCW Option-Quarterly</t>
  </si>
  <si>
    <t xml:space="preserve">            Regular IDCW Option-Weekly</t>
  </si>
  <si>
    <t xml:space="preserve">            Regular-IDCW Option-Monthly</t>
  </si>
  <si>
    <t xml:space="preserve">            Unclaimed Redemption Plan Below 3 years</t>
  </si>
  <si>
    <t xml:space="preserve">            Unclaimed Redemption Plan Above 3 years</t>
  </si>
  <si>
    <t>YO15-ZDD</t>
  </si>
  <si>
    <t>Direct -IDCW Option-Monthly</t>
  </si>
  <si>
    <t>YO15-ZF</t>
  </si>
  <si>
    <t>YO15-ZM</t>
  </si>
  <si>
    <t>Direct-IDCW Option-Fortnightly</t>
  </si>
  <si>
    <t>YO15-ZQ</t>
  </si>
  <si>
    <t>Direct-IDCW Option-Quarterly</t>
  </si>
  <si>
    <t>YO15-ZW</t>
  </si>
  <si>
    <t>Direct-IDCW Option-Weekly</t>
  </si>
  <si>
    <t>YO15-RDD</t>
  </si>
  <si>
    <t>Regular IDCW Option-Daily</t>
  </si>
  <si>
    <t>YO15-RF</t>
  </si>
  <si>
    <t>Regular IDCW Option-Fortnightly</t>
  </si>
  <si>
    <t>YO15-RM</t>
  </si>
  <si>
    <t>Regular IDCW Option-Weekly</t>
  </si>
  <si>
    <t>YO15-RQ</t>
  </si>
  <si>
    <t>Regular-IDCW Option-Monthly</t>
  </si>
  <si>
    <t>Regular-IDCW Option-Quarterly</t>
  </si>
  <si>
    <t>BENCHMARK NAME - CRISIL LIQUID FUND AI INDEX</t>
  </si>
  <si>
    <t>YO25</t>
  </si>
  <si>
    <t xml:space="preserve">Motilal Oswal Nifty 5 year Benchmark G-Sec ETF 
</t>
  </si>
  <si>
    <t>(An open ended scheme investing in Equity, International Equity Index Funds/Equity ETFs, Debt and Money Market Instruments and Gold Exchange Traded Funds)
(A Relatively High Interest Rate Risk and Relatively Low Credit Risk)</t>
  </si>
  <si>
    <t>Debt Instruments</t>
  </si>
  <si>
    <t>BENCHMARK NAME - NIFTY 5 YR BENCHMARK G-SEC INDEX</t>
  </si>
  <si>
    <t>YO28</t>
  </si>
  <si>
    <t xml:space="preserve">Motilal Oswal 5 Year G-Sec Fund of Fund </t>
  </si>
  <si>
    <t xml:space="preserve">
(An open ended fund of funds scheme investing in units of Motilal Oswal Nifty 5 YR Benchmark G-Sec ETF)</t>
  </si>
  <si>
    <t>Exchange Traded Funds</t>
  </si>
  <si>
    <t>Motilal Oswal Nifty 5 Year Benchmark G-sec ETF-Gr</t>
  </si>
  <si>
    <t>INF247L01AK4</t>
  </si>
  <si>
    <t>ISIN</t>
  </si>
  <si>
    <t>Market/Fair Value (Rs. in Lacs)</t>
  </si>
  <si>
    <t>% to Net Assets</t>
  </si>
  <si>
    <t>YTM</t>
  </si>
  <si>
    <t>Tri-Party REPO - Corporate Bonds for which settlement is guaranteed by clearing corporation</t>
  </si>
  <si>
    <t xml:space="preserve"> </t>
  </si>
  <si>
    <t>3.   NAV at the beginning of the fortnightly period (Rs. per unit)</t>
  </si>
  <si>
    <t>4.  NAV at the end of the fortnightly period (Rs. per unit)</t>
  </si>
  <si>
    <t>7.   Investment in foreign securities/ADRs/GDRs at the end of the fortnightly period</t>
  </si>
  <si>
    <t>NIL</t>
  </si>
  <si>
    <t>91 Days Tbill (MD 09/07/2026)</t>
  </si>
  <si>
    <t>IN002026X016</t>
  </si>
  <si>
    <t>Corporate Debt Market Development Fund</t>
  </si>
  <si>
    <t>INF0RQ622028</t>
  </si>
  <si>
    <t>Rating</t>
  </si>
  <si>
    <t>Treasury Bill</t>
  </si>
  <si>
    <t>**  Thinly Traded / Non Traded Security</t>
  </si>
  <si>
    <t xml:space="preserve">             Unclaimed Dividend Plan Above 3 years</t>
  </si>
  <si>
    <t xml:space="preserve">             Unclaimed Dividend Plan Below 3 years</t>
  </si>
  <si>
    <t>4.   NAV at the end of the fortnightly period (Rs. per unit)</t>
  </si>
  <si>
    <t>5.   Investment in foreign securities/ADRs/GDRs at the end of the fortnightly period</t>
  </si>
  <si>
    <t>(e)</t>
  </si>
  <si>
    <t>INE028A16KZ7</t>
  </si>
  <si>
    <t>INE261F16AQ3</t>
  </si>
  <si>
    <t>364 Days Tbill (MD 11/02/2027)</t>
  </si>
  <si>
    <t>IN002025Z450</t>
  </si>
  <si>
    <t>2.   NAV at the beginning of the fortnightly period (Rs. per unit)</t>
  </si>
  <si>
    <t>3.   NAV at the end of the fortnightly period (Rs. per unit)</t>
  </si>
  <si>
    <t>4.   Exposure to derivative instrument at the end of the fortnightly period</t>
  </si>
  <si>
    <t>DEBT INSTRUMENTS</t>
  </si>
  <si>
    <t>a</t>
  </si>
  <si>
    <t>-</t>
  </si>
  <si>
    <t>Securitized Debt Instruments</t>
  </si>
  <si>
    <t>Privately placed/Unlisted</t>
  </si>
  <si>
    <t>Listed / awaiting listing on Stock Exchanges</t>
  </si>
  <si>
    <t>Listed / awaiting listing on Stock Exchange</t>
  </si>
  <si>
    <t>Privately placed / Unlisted</t>
  </si>
  <si>
    <t>BENCHMARK NAME - CRISIL ULTRA SHORT DURATION FUND AI INDEX</t>
  </si>
  <si>
    <t>Relatively Low (Class A: CRV &gt;=12)</t>
  </si>
  <si>
    <t>Moderate (Class B : CRV &gt;=10)</t>
  </si>
  <si>
    <t>Relatively High (Class C: CRV &lt;10)</t>
  </si>
  <si>
    <t>Relatively Low Class I: (MD&lt;=1 year)</t>
  </si>
  <si>
    <t>B-I</t>
  </si>
  <si>
    <t>Moderate Class II: (MD&lt;=3 years)</t>
  </si>
  <si>
    <t>Relatively High Class III: Any Macaulay duration</t>
  </si>
  <si>
    <t>Max Credit Risk of scheme→ Max Interest Rate Risk of the scheme ↓</t>
  </si>
  <si>
    <t>A-I</t>
  </si>
  <si>
    <t>A-III</t>
  </si>
  <si>
    <t>8.   Exposure to derivative instrument at the end of the fortnightly period</t>
  </si>
  <si>
    <t>5.   Exposure to derivative instrument at the end of the fortnightly period</t>
  </si>
  <si>
    <t>INE296A14F94</t>
  </si>
  <si>
    <t>INE976I14RG0</t>
  </si>
  <si>
    <t>IN0020250141</t>
  </si>
  <si>
    <t>7.   IDCW declared during the fortnightly period</t>
  </si>
  <si>
    <t>INE160A16UC6</t>
  </si>
  <si>
    <t>INE028A16MD0</t>
  </si>
  <si>
    <t>INE476A16I91</t>
  </si>
  <si>
    <t>INE674K14CJ3</t>
  </si>
  <si>
    <t>A</t>
  </si>
  <si>
    <t>B</t>
  </si>
  <si>
    <t>INE556F16CD0</t>
  </si>
  <si>
    <t>Corporate Debt Market Development Fund Class A2</t>
  </si>
  <si>
    <t>INE238AD6BC1</t>
  </si>
  <si>
    <t>INE040A16JH2</t>
  </si>
  <si>
    <t>INE084A16FX5</t>
  </si>
  <si>
    <t>INE692A16MH4</t>
  </si>
  <si>
    <t>INE018A14LV0</t>
  </si>
  <si>
    <t>INE261F14PI3</t>
  </si>
  <si>
    <t>4.7 years</t>
  </si>
  <si>
    <t>1 days</t>
  </si>
  <si>
    <t>Axis Bank Limited (10/08/2026) ** #</t>
  </si>
  <si>
    <t>6.36% Government of India (16/02/2031)</t>
  </si>
  <si>
    <t>INE562A16QG2</t>
  </si>
  <si>
    <t>INE476A16G10</t>
  </si>
  <si>
    <t>131 days</t>
  </si>
  <si>
    <t xml:space="preserve"> FORTNIGHTLY PORTFOLIO STATEMENT AS ON JUNE 15, 2026</t>
  </si>
  <si>
    <t xml:space="preserve">Hedging Positions through Futures as on JUNE 15, 2026 : </t>
  </si>
  <si>
    <t>Other than Hedging Positions through Futures as on JUNE 15, 2026 :</t>
  </si>
  <si>
    <t xml:space="preserve">Hedging Positions through Options as on JUNE 15, 2026 : </t>
  </si>
  <si>
    <t>Other Than Hedging Positions through Options as on JUNE 15, 2026:</t>
  </si>
  <si>
    <t xml:space="preserve">Hedging Positions through Swaps as on JUNE 15, 2026 : </t>
  </si>
  <si>
    <t>8.   Aggregate Investments by other schemes as on JUNE 15,2026</t>
  </si>
  <si>
    <t>INE237AD6075</t>
  </si>
  <si>
    <t>INE160A16VE0</t>
  </si>
  <si>
    <t>INE556F14MI3</t>
  </si>
  <si>
    <t>182 Days Tbill (MD 10/09/2026)</t>
  </si>
  <si>
    <t>IN002025Y495</t>
  </si>
  <si>
    <t>51 days</t>
  </si>
  <si>
    <t>HDFC Bank Limited (10/08/2026) ** #</t>
  </si>
  <si>
    <t>Bank of India (11/08/2026) ** #</t>
  </si>
  <si>
    <t>Bank of Baroda (12/08/2026) ** #</t>
  </si>
  <si>
    <t>Canara Bank (13/08/2026) ** #</t>
  </si>
  <si>
    <t>Kotak Mahindra Bank Limited (31/08/2026)** #</t>
  </si>
  <si>
    <t>Punjab National Bank (01/09/2026) ** #</t>
  </si>
  <si>
    <t>Union Bank of India (25/06/2026) #</t>
  </si>
  <si>
    <t>Union Bank of India (24/08/2026)** #</t>
  </si>
  <si>
    <t>Larsen &amp; Toubro Limited (23/06/2026) **</t>
  </si>
  <si>
    <t>Bajaj Finance Limited (20/07/2026) **</t>
  </si>
  <si>
    <t>Tata Capital Limited (20/07/2026) **</t>
  </si>
  <si>
    <t>National Bank For Agriculture and Rural Development (14/08/2026)</t>
  </si>
  <si>
    <t>Aditya Birla Capital Limited (12/08/2026) **</t>
  </si>
  <si>
    <t>Small Industries Dev Bank of India (03/09/2026) **</t>
  </si>
  <si>
    <t>TRP_160626</t>
  </si>
  <si>
    <t>8.   Aggregate Investments by other schemes as on June 15,2026</t>
  </si>
  <si>
    <t>97.88%</t>
  </si>
  <si>
    <t>Axis Bank Limited (11/08/2026) ** #</t>
  </si>
  <si>
    <t>Bank of Baroda (11/01/2027)** #</t>
  </si>
  <si>
    <t>HDFC Bank Limited (11/09/2026) #</t>
  </si>
  <si>
    <t>Indian Bank (22/01/2027)#</t>
  </si>
  <si>
    <t>Canara Bank (22/01/2027) ** #</t>
  </si>
  <si>
    <t>Punjab National Bank (28/01/2027) ** #</t>
  </si>
  <si>
    <t>National Bank For Agriculture and Rural Development (18/03/2027) ** #</t>
  </si>
  <si>
    <t>Small Industries Dev Bank of India (25/03/2027) ** #</t>
  </si>
  <si>
    <t>Sundaram Finance Limited (31/07/2026) **</t>
  </si>
  <si>
    <t>Bajaj Finance Limited (06/11/2026) 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</si>
</sst>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(* #,##0.00_);_(* \(#,##0.00\);_(* &quot;-&quot;??_);_(@_)"/>
    <numFmt numFmtId="164" formatCode="_ * #,##0.00_ ;_ * \-#,##0.00_ ;_ * &quot;-&quot;??_ ;_ @_ "/>
    <numFmt numFmtId="165" formatCode="#,##0;\(#,##0\)"/>
    <numFmt numFmtId="166" formatCode="#,##0.00;\(#,##0.00\)"/>
    <numFmt numFmtId="167" formatCode="0.0000"/>
    <numFmt numFmtId="168" formatCode="0.00000000"/>
    <numFmt numFmtId="169" formatCode="_(* #,##0.00000000_);_(* \(#,##0.00000000\);_(* &quot;-&quot;??_);_(@_)"/>
    <numFmt numFmtId="170" formatCode="_(* #,##0.0000_);_(* \(#,##0.0000\);_(* &quot;-&quot;??_);_(@_)"/>
    <numFmt numFmtId="171" formatCode="#,##0.00%;\(#,##0.00\)%"/>
    <numFmt numFmtId="172" formatCode="#,##0.00%"/>
    <numFmt numFmtId="173" formatCode="#,##0.000;\(#,##0.000\)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0"/>
      <name val="Arial"/>
      <family val="2"/>
    </font>
    <font>
      <b/>
      <sz val="20"/>
      <name val="Franklin Gothic Book"/>
      <family val="2"/>
    </font>
    <font>
      <b/>
      <sz val="12"/>
      <name val="Franklin Gothic Book"/>
      <family val="2"/>
    </font>
    <font>
      <sz val="10"/>
      <name val="Franklin Gothic Book"/>
      <family val="2"/>
    </font>
    <font>
      <b/>
      <sz val="14"/>
      <name val="Franklin Gothic Book"/>
      <family val="2"/>
    </font>
    <font>
      <b/>
      <sz val="1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color rgb="FF000000"/>
      <name val="Arial"/>
      <family val="2"/>
    </font>
    <font>
      <sz val="10"/>
      <color rgb="FF000000"/>
      <name val="SansSerif"/>
      <family val="2"/>
    </font>
    <font>
      <sz val="11"/>
      <color rgb="FF000000"/>
      <name val="Times New Roman"/>
      <family val="1"/>
    </font>
    <font>
      <b/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7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indexed="64"/>
      </left>
      <right style="thin">
        <color rgb="FF000000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10" fillId="0" borderId="0"/>
    <xf numFmtId="0" fontId="10" fillId="0" borderId="0"/>
    <xf numFmtId="43" fontId="10" fillId="0" borderId="0" applyFont="0" applyFill="0" applyBorder="0" applyAlignment="0" applyProtection="0"/>
    <xf numFmtId="0" fontId="1" fillId="0" borderId="0"/>
  </cellStyleXfs>
  <cellXfs count="224">
    <xf numFmtId="0" fontId="0" fillId="0" borderId="0" xfId="0"/>
    <xf numFmtId="0" fontId="4" fillId="0" borderId="0" xfId="0" applyFont="1"/>
    <xf numFmtId="0" fontId="12" fillId="0" borderId="2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left" vertical="top" wrapText="1"/>
    </xf>
    <xf numFmtId="0" fontId="14" fillId="0" borderId="9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/>
    </xf>
    <xf numFmtId="0" fontId="14" fillId="0" borderId="0" xfId="0" applyFont="1" applyAlignment="1">
      <alignment horizontal="left" vertical="top" wrapText="1"/>
    </xf>
    <xf numFmtId="166" fontId="13" fillId="0" borderId="0" xfId="0" applyNumberFormat="1" applyFont="1" applyAlignment="1">
      <alignment horizontal="right" vertical="top" wrapText="1"/>
    </xf>
    <xf numFmtId="0" fontId="0" fillId="0" borderId="0" xfId="0" applyAlignment="1" applyProtection="1">
      <alignment wrapText="1"/>
      <protection locked="0"/>
    </xf>
    <xf numFmtId="0" fontId="11" fillId="0" borderId="0" xfId="3" applyFont="1"/>
    <xf numFmtId="0" fontId="11" fillId="0" borderId="0" xfId="0" applyFont="1"/>
    <xf numFmtId="0" fontId="7" fillId="0" borderId="0" xfId="3" applyFont="1" applyProtection="1">
      <protection locked="0"/>
    </xf>
    <xf numFmtId="39" fontId="7" fillId="0" borderId="0" xfId="0" applyNumberFormat="1" applyFont="1" applyAlignment="1">
      <alignment horizontal="right"/>
    </xf>
    <xf numFmtId="43" fontId="7" fillId="0" borderId="0" xfId="4" applyFont="1" applyFill="1" applyBorder="1" applyAlignment="1" applyProtection="1">
      <alignment horizontal="right"/>
      <protection locked="0"/>
    </xf>
    <xf numFmtId="0" fontId="7" fillId="0" borderId="0" xfId="0" applyFont="1"/>
    <xf numFmtId="0" fontId="7" fillId="0" borderId="0" xfId="5" applyFont="1"/>
    <xf numFmtId="167" fontId="7" fillId="0" borderId="0" xfId="4" applyNumberFormat="1" applyFont="1" applyFill="1" applyBorder="1" applyAlignment="1" applyProtection="1">
      <alignment horizontal="right"/>
      <protection locked="0"/>
    </xf>
    <xf numFmtId="0" fontId="7" fillId="0" borderId="0" xfId="3" applyFont="1"/>
    <xf numFmtId="0" fontId="0" fillId="0" borderId="0" xfId="0" applyAlignment="1">
      <alignment horizontal="right"/>
    </xf>
    <xf numFmtId="0" fontId="11" fillId="0" borderId="0" xfId="0" applyFont="1" applyAlignment="1">
      <alignment horizontal="center" wrapText="1"/>
    </xf>
    <xf numFmtId="43" fontId="11" fillId="0" borderId="0" xfId="4" applyFont="1" applyFill="1" applyBorder="1" applyAlignment="1">
      <alignment horizontal="right"/>
    </xf>
    <xf numFmtId="0" fontId="3" fillId="0" borderId="0" xfId="0" applyFont="1" applyAlignment="1" applyProtection="1">
      <alignment wrapText="1"/>
      <protection locked="0"/>
    </xf>
    <xf numFmtId="0" fontId="11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168" fontId="7" fillId="0" borderId="0" xfId="0" applyNumberFormat="1" applyFont="1" applyAlignment="1">
      <alignment horizontal="center"/>
    </xf>
    <xf numFmtId="43" fontId="7" fillId="0" borderId="0" xfId="4" applyFont="1" applyFill="1" applyBorder="1" applyAlignment="1">
      <alignment horizontal="right"/>
    </xf>
    <xf numFmtId="0" fontId="2" fillId="0" borderId="0" xfId="0" applyFont="1"/>
    <xf numFmtId="170" fontId="7" fillId="0" borderId="0" xfId="4" applyNumberFormat="1" applyFont="1" applyFill="1" applyBorder="1" applyAlignment="1" applyProtection="1">
      <alignment horizontal="right"/>
      <protection locked="0"/>
    </xf>
    <xf numFmtId="170" fontId="7" fillId="0" borderId="0" xfId="4" applyNumberFormat="1" applyFont="1" applyFill="1" applyBorder="1" applyAlignment="1"/>
    <xf numFmtId="0" fontId="3" fillId="0" borderId="0" xfId="0" applyFont="1"/>
    <xf numFmtId="4" fontId="13" fillId="0" borderId="0" xfId="0" applyNumberFormat="1" applyFont="1" applyAlignment="1">
      <alignment horizontal="right" vertical="top" wrapText="1"/>
    </xf>
    <xf numFmtId="0" fontId="7" fillId="0" borderId="0" xfId="4" applyNumberFormat="1" applyFont="1" applyFill="1" applyBorder="1" applyAlignment="1" applyProtection="1">
      <alignment horizontal="right"/>
      <protection locked="0"/>
    </xf>
    <xf numFmtId="10" fontId="13" fillId="0" borderId="0" xfId="0" applyNumberFormat="1" applyFont="1" applyAlignment="1">
      <alignment horizontal="right" vertical="top" wrapText="1"/>
    </xf>
    <xf numFmtId="0" fontId="7" fillId="0" borderId="0" xfId="0" applyFont="1" applyProtection="1">
      <protection locked="0"/>
    </xf>
    <xf numFmtId="43" fontId="7" fillId="0" borderId="0" xfId="0" applyNumberFormat="1" applyFont="1" applyAlignment="1" applyProtection="1">
      <alignment horizontal="right"/>
      <protection locked="0"/>
    </xf>
    <xf numFmtId="0" fontId="7" fillId="0" borderId="0" xfId="0" applyFont="1" applyAlignment="1" applyProtection="1">
      <alignment horizontal="right"/>
      <protection locked="0"/>
    </xf>
    <xf numFmtId="0" fontId="18" fillId="0" borderId="7" xfId="0" applyFont="1" applyBorder="1" applyAlignment="1">
      <alignment horizontal="right" vertical="top" wrapText="1"/>
    </xf>
    <xf numFmtId="166" fontId="13" fillId="0" borderId="12" xfId="0" applyNumberFormat="1" applyFont="1" applyBorder="1" applyAlignment="1">
      <alignment horizontal="right" vertical="top" wrapText="1"/>
    </xf>
    <xf numFmtId="0" fontId="13" fillId="0" borderId="13" xfId="0" applyFont="1" applyBorder="1" applyAlignment="1">
      <alignment horizontal="left" vertical="top" wrapText="1"/>
    </xf>
    <xf numFmtId="0" fontId="14" fillId="0" borderId="13" xfId="0" applyFont="1" applyBorder="1" applyAlignment="1">
      <alignment horizontal="left" vertical="top" wrapText="1"/>
    </xf>
    <xf numFmtId="167" fontId="7" fillId="0" borderId="0" xfId="0" applyNumberFormat="1" applyFont="1"/>
    <xf numFmtId="0" fontId="7" fillId="0" borderId="0" xfId="0" applyFont="1" applyAlignment="1">
      <alignment horizontal="right"/>
    </xf>
    <xf numFmtId="164" fontId="7" fillId="0" borderId="0" xfId="1" applyFont="1" applyAlignment="1">
      <alignment horizontal="center"/>
    </xf>
    <xf numFmtId="0" fontId="14" fillId="0" borderId="19" xfId="0" applyFont="1" applyBorder="1" applyAlignment="1">
      <alignment horizontal="left" vertical="top" wrapText="1"/>
    </xf>
    <xf numFmtId="0" fontId="0" fillId="0" borderId="13" xfId="0" applyBorder="1" applyAlignment="1" applyProtection="1">
      <alignment wrapText="1"/>
      <protection locked="0"/>
    </xf>
    <xf numFmtId="0" fontId="18" fillId="0" borderId="13" xfId="0" applyFont="1" applyBorder="1" applyAlignment="1">
      <alignment horizontal="right" vertical="top" wrapText="1"/>
    </xf>
    <xf numFmtId="0" fontId="2" fillId="0" borderId="0" xfId="0" applyFont="1" applyAlignment="1" applyProtection="1">
      <alignment wrapText="1"/>
      <protection locked="0"/>
    </xf>
    <xf numFmtId="0" fontId="11" fillId="0" borderId="0" xfId="3" applyFont="1" applyProtection="1">
      <protection locked="0"/>
    </xf>
    <xf numFmtId="43" fontId="11" fillId="0" borderId="0" xfId="4" applyFont="1" applyFill="1" applyBorder="1" applyAlignment="1" applyProtection="1">
      <alignment horizontal="right"/>
      <protection locked="0"/>
    </xf>
    <xf numFmtId="0" fontId="11" fillId="0" borderId="0" xfId="0" applyFont="1" applyProtection="1">
      <protection locked="0"/>
    </xf>
    <xf numFmtId="43" fontId="11" fillId="0" borderId="0" xfId="0" applyNumberFormat="1" applyFont="1" applyAlignment="1" applyProtection="1">
      <alignment horizontal="right"/>
      <protection locked="0"/>
    </xf>
    <xf numFmtId="0" fontId="14" fillId="0" borderId="20" xfId="0" applyFont="1" applyBorder="1" applyAlignment="1">
      <alignment horizontal="left" vertical="top" wrapText="1"/>
    </xf>
    <xf numFmtId="0" fontId="14" fillId="0" borderId="10" xfId="0" applyFont="1" applyBorder="1" applyAlignment="1">
      <alignment horizontal="left" vertical="top" wrapText="1"/>
    </xf>
    <xf numFmtId="0" fontId="7" fillId="0" borderId="13" xfId="3" applyFont="1" applyBorder="1" applyProtection="1">
      <protection locked="0"/>
    </xf>
    <xf numFmtId="43" fontId="7" fillId="0" borderId="13" xfId="4" applyFont="1" applyFill="1" applyBorder="1" applyAlignment="1" applyProtection="1">
      <alignment horizontal="right"/>
      <protection locked="0"/>
    </xf>
    <xf numFmtId="0" fontId="14" fillId="0" borderId="7" xfId="0" applyFont="1" applyBorder="1" applyAlignment="1">
      <alignment horizontal="left" vertical="top" wrapText="1"/>
    </xf>
    <xf numFmtId="165" fontId="14" fillId="0" borderId="6" xfId="0" applyNumberFormat="1" applyFont="1" applyBorder="1" applyAlignment="1">
      <alignment horizontal="right" vertical="top" wrapText="1"/>
    </xf>
    <xf numFmtId="166" fontId="14" fillId="0" borderId="6" xfId="0" applyNumberFormat="1" applyFont="1" applyBorder="1" applyAlignment="1">
      <alignment horizontal="right" vertical="top" wrapText="1"/>
    </xf>
    <xf numFmtId="166" fontId="13" fillId="0" borderId="8" xfId="0" applyNumberFormat="1" applyFont="1" applyBorder="1" applyAlignment="1">
      <alignment horizontal="right" vertical="top" wrapText="1"/>
    </xf>
    <xf numFmtId="4" fontId="0" fillId="0" borderId="0" xfId="0" applyNumberFormat="1"/>
    <xf numFmtId="4" fontId="0" fillId="0" borderId="0" xfId="0" applyNumberFormat="1" applyAlignment="1" applyProtection="1">
      <alignment wrapText="1"/>
      <protection locked="0"/>
    </xf>
    <xf numFmtId="168" fontId="7" fillId="0" borderId="0" xfId="0" applyNumberFormat="1" applyFont="1" applyAlignment="1">
      <alignment horizontal="right"/>
    </xf>
    <xf numFmtId="169" fontId="7" fillId="0" borderId="0" xfId="4" applyNumberFormat="1" applyFont="1" applyFill="1" applyBorder="1" applyAlignment="1">
      <alignment horizontal="right"/>
    </xf>
    <xf numFmtId="164" fontId="7" fillId="0" borderId="0" xfId="1" applyFont="1" applyFill="1" applyAlignment="1">
      <alignment horizontal="right"/>
    </xf>
    <xf numFmtId="10" fontId="14" fillId="0" borderId="6" xfId="0" applyNumberFormat="1" applyFont="1" applyBorder="1" applyAlignment="1">
      <alignment horizontal="right" vertical="top" wrapText="1"/>
    </xf>
    <xf numFmtId="10" fontId="13" fillId="0" borderId="8" xfId="0" applyNumberFormat="1" applyFont="1" applyBorder="1" applyAlignment="1">
      <alignment horizontal="right" vertical="top" wrapText="1"/>
    </xf>
    <xf numFmtId="0" fontId="18" fillId="0" borderId="26" xfId="0" applyFont="1" applyBorder="1" applyAlignment="1">
      <alignment horizontal="right" vertical="top" wrapText="1"/>
    </xf>
    <xf numFmtId="172" fontId="14" fillId="0" borderId="27" xfId="0" applyNumberFormat="1" applyFont="1" applyBorder="1" applyAlignment="1">
      <alignment horizontal="right" vertical="top" wrapText="1"/>
    </xf>
    <xf numFmtId="0" fontId="14" fillId="0" borderId="27" xfId="0" applyFont="1" applyBorder="1" applyAlignment="1">
      <alignment horizontal="right" vertical="top" wrapText="1"/>
    </xf>
    <xf numFmtId="0" fontId="13" fillId="0" borderId="26" xfId="0" applyFont="1" applyBorder="1" applyAlignment="1">
      <alignment horizontal="right" vertical="top" wrapText="1"/>
    </xf>
    <xf numFmtId="0" fontId="13" fillId="0" borderId="28" xfId="0" applyFont="1" applyBorder="1" applyAlignment="1">
      <alignment horizontal="right" vertical="top" wrapText="1"/>
    </xf>
    <xf numFmtId="0" fontId="18" fillId="0" borderId="29" xfId="0" applyFont="1" applyBorder="1" applyAlignment="1">
      <alignment horizontal="right" vertical="top" wrapText="1"/>
    </xf>
    <xf numFmtId="0" fontId="14" fillId="0" borderId="25" xfId="0" applyFont="1" applyBorder="1" applyAlignment="1">
      <alignment horizontal="left" vertical="top" wrapText="1"/>
    </xf>
    <xf numFmtId="0" fontId="14" fillId="0" borderId="30" xfId="0" applyFont="1" applyBorder="1" applyAlignment="1">
      <alignment horizontal="left" vertical="top" wrapText="1"/>
    </xf>
    <xf numFmtId="0" fontId="13" fillId="0" borderId="32" xfId="0" applyFont="1" applyBorder="1" applyAlignment="1">
      <alignment horizontal="left" vertical="center" wrapText="1"/>
    </xf>
    <xf numFmtId="0" fontId="13" fillId="0" borderId="3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center"/>
    </xf>
    <xf numFmtId="0" fontId="0" fillId="0" borderId="34" xfId="0" applyBorder="1" applyAlignment="1" applyProtection="1">
      <alignment wrapText="1"/>
      <protection locked="0"/>
    </xf>
    <xf numFmtId="0" fontId="14" fillId="0" borderId="35" xfId="0" applyFont="1" applyBorder="1" applyAlignment="1">
      <alignment horizontal="left" vertical="top" wrapText="1"/>
    </xf>
    <xf numFmtId="0" fontId="13" fillId="0" borderId="35" xfId="0" applyFont="1" applyBorder="1" applyAlignment="1">
      <alignment horizontal="left" vertical="top" wrapText="1"/>
    </xf>
    <xf numFmtId="0" fontId="13" fillId="0" borderId="36" xfId="0" applyFont="1" applyBorder="1" applyAlignment="1">
      <alignment horizontal="left" vertical="top" wrapText="1"/>
    </xf>
    <xf numFmtId="0" fontId="13" fillId="0" borderId="37" xfId="0" applyFont="1" applyBorder="1" applyAlignment="1">
      <alignment horizontal="left" vertical="top" wrapText="1"/>
    </xf>
    <xf numFmtId="0" fontId="13" fillId="0" borderId="38" xfId="0" applyFont="1" applyBorder="1" applyAlignment="1">
      <alignment horizontal="left" vertical="top" wrapText="1"/>
    </xf>
    <xf numFmtId="0" fontId="15" fillId="0" borderId="1" xfId="0" applyFont="1" applyBorder="1" applyAlignment="1">
      <alignment horizontal="center" vertical="top" wrapText="1"/>
    </xf>
    <xf numFmtId="0" fontId="15" fillId="0" borderId="1" xfId="0" applyFont="1" applyBorder="1" applyAlignment="1">
      <alignment horizontal="center"/>
    </xf>
    <xf numFmtId="0" fontId="13" fillId="0" borderId="39" xfId="0" applyFont="1" applyBorder="1" applyAlignment="1">
      <alignment horizontal="left" vertical="top" wrapText="1"/>
    </xf>
    <xf numFmtId="172" fontId="18" fillId="0" borderId="29" xfId="0" applyNumberFormat="1" applyFont="1" applyBorder="1" applyAlignment="1">
      <alignment horizontal="right" vertical="top" wrapText="1"/>
    </xf>
    <xf numFmtId="0" fontId="0" fillId="0" borderId="1" xfId="0" applyBorder="1" applyAlignment="1" applyProtection="1">
      <alignment wrapText="1"/>
      <protection locked="0"/>
    </xf>
    <xf numFmtId="0" fontId="0" fillId="0" borderId="40" xfId="0" applyBorder="1" applyAlignment="1" applyProtection="1">
      <alignment wrapText="1"/>
      <protection locked="0"/>
    </xf>
    <xf numFmtId="0" fontId="10" fillId="0" borderId="1" xfId="0" applyFont="1" applyBorder="1" applyAlignment="1">
      <alignment horizontal="center"/>
    </xf>
    <xf numFmtId="0" fontId="13" fillId="0" borderId="41" xfId="0" applyFont="1" applyBorder="1" applyAlignment="1">
      <alignment horizontal="right" vertical="top" wrapText="1"/>
    </xf>
    <xf numFmtId="0" fontId="14" fillId="0" borderId="42" xfId="0" applyFont="1" applyBorder="1" applyAlignment="1">
      <alignment horizontal="left" vertical="top" wrapText="1"/>
    </xf>
    <xf numFmtId="166" fontId="14" fillId="0" borderId="0" xfId="0" applyNumberFormat="1" applyFont="1" applyAlignment="1">
      <alignment horizontal="right" vertical="top" wrapText="1"/>
    </xf>
    <xf numFmtId="0" fontId="13" fillId="0" borderId="44" xfId="0" applyFont="1" applyBorder="1" applyAlignment="1">
      <alignment horizontal="left" vertical="top" wrapText="1"/>
    </xf>
    <xf numFmtId="0" fontId="14" fillId="0" borderId="45" xfId="0" applyFont="1" applyBorder="1" applyAlignment="1">
      <alignment horizontal="left" vertical="top" wrapText="1"/>
    </xf>
    <xf numFmtId="166" fontId="13" fillId="0" borderId="46" xfId="0" applyNumberFormat="1" applyFont="1" applyBorder="1" applyAlignment="1">
      <alignment horizontal="right" vertical="top" wrapText="1"/>
    </xf>
    <xf numFmtId="0" fontId="13" fillId="0" borderId="47" xfId="0" applyFont="1" applyBorder="1" applyAlignment="1">
      <alignment horizontal="left" vertical="top" wrapText="1"/>
    </xf>
    <xf numFmtId="0" fontId="14" fillId="0" borderId="47" xfId="0" applyFont="1" applyBorder="1" applyAlignment="1">
      <alignment horizontal="left" vertical="top" wrapText="1"/>
    </xf>
    <xf numFmtId="166" fontId="13" fillId="0" borderId="47" xfId="0" applyNumberFormat="1" applyFont="1" applyBorder="1" applyAlignment="1">
      <alignment horizontal="right" vertical="top" wrapText="1"/>
    </xf>
    <xf numFmtId="171" fontId="13" fillId="0" borderId="47" xfId="0" applyNumberFormat="1" applyFont="1" applyBorder="1" applyAlignment="1">
      <alignment horizontal="right" vertical="top" wrapText="1"/>
    </xf>
    <xf numFmtId="0" fontId="13" fillId="0" borderId="48" xfId="0" applyFont="1" applyBorder="1" applyAlignment="1">
      <alignment horizontal="right" vertical="top" wrapText="1"/>
    </xf>
    <xf numFmtId="0" fontId="14" fillId="0" borderId="44" xfId="0" applyFont="1" applyBorder="1" applyAlignment="1">
      <alignment horizontal="left" vertical="top" wrapText="1"/>
    </xf>
    <xf numFmtId="0" fontId="13" fillId="0" borderId="49" xfId="0" applyFont="1" applyBorder="1" applyAlignment="1">
      <alignment horizontal="left" vertical="top" wrapText="1"/>
    </xf>
    <xf numFmtId="0" fontId="14" fillId="0" borderId="50" xfId="0" applyFont="1" applyBorder="1" applyAlignment="1">
      <alignment horizontal="left" vertical="top" wrapText="1"/>
    </xf>
    <xf numFmtId="0" fontId="16" fillId="0" borderId="1" xfId="0" applyFont="1" applyBorder="1" applyAlignment="1">
      <alignment horizontal="center" vertical="top" wrapText="1"/>
    </xf>
    <xf numFmtId="0" fontId="18" fillId="0" borderId="27" xfId="0" applyFont="1" applyBorder="1" applyAlignment="1">
      <alignment horizontal="right" vertical="top" wrapText="1"/>
    </xf>
    <xf numFmtId="0" fontId="13" fillId="0" borderId="27" xfId="0" applyFont="1" applyBorder="1" applyAlignment="1">
      <alignment horizontal="right" vertical="top" wrapText="1"/>
    </xf>
    <xf numFmtId="0" fontId="13" fillId="0" borderId="51" xfId="0" applyFont="1" applyBorder="1" applyAlignment="1">
      <alignment horizontal="left" vertical="top" wrapText="1"/>
    </xf>
    <xf numFmtId="0" fontId="14" fillId="0" borderId="51" xfId="0" applyFont="1" applyBorder="1" applyAlignment="1">
      <alignment horizontal="left" vertical="top" wrapText="1"/>
    </xf>
    <xf numFmtId="0" fontId="13" fillId="0" borderId="57" xfId="0" applyFont="1" applyBorder="1" applyAlignment="1">
      <alignment horizontal="right" vertical="top" wrapText="1"/>
    </xf>
    <xf numFmtId="0" fontId="14" fillId="0" borderId="55" xfId="0" applyFont="1" applyBorder="1" applyAlignment="1">
      <alignment horizontal="left" vertical="top" wrapText="1"/>
    </xf>
    <xf numFmtId="0" fontId="14" fillId="0" borderId="58" xfId="0" applyFont="1" applyBorder="1" applyAlignment="1">
      <alignment horizontal="left" vertical="top" wrapText="1"/>
    </xf>
    <xf numFmtId="0" fontId="14" fillId="0" borderId="60" xfId="0" applyFont="1" applyBorder="1" applyAlignment="1">
      <alignment horizontal="left" vertical="top" wrapText="1"/>
    </xf>
    <xf numFmtId="166" fontId="14" fillId="0" borderId="55" xfId="0" applyNumberFormat="1" applyFont="1" applyBorder="1" applyAlignment="1">
      <alignment horizontal="right" vertical="top" wrapText="1"/>
    </xf>
    <xf numFmtId="166" fontId="13" fillId="0" borderId="55" xfId="0" applyNumberFormat="1" applyFont="1" applyBorder="1" applyAlignment="1">
      <alignment horizontal="right" vertical="top" wrapText="1"/>
    </xf>
    <xf numFmtId="10" fontId="14" fillId="0" borderId="55" xfId="0" applyNumberFormat="1" applyFont="1" applyBorder="1" applyAlignment="1">
      <alignment horizontal="right" vertical="top" wrapText="1"/>
    </xf>
    <xf numFmtId="10" fontId="13" fillId="0" borderId="55" xfId="0" applyNumberFormat="1" applyFont="1" applyBorder="1" applyAlignment="1">
      <alignment horizontal="right" vertical="top" wrapText="1"/>
    </xf>
    <xf numFmtId="0" fontId="18" fillId="0" borderId="43" xfId="0" applyFont="1" applyBorder="1" applyAlignment="1">
      <alignment horizontal="right" vertical="top" wrapText="1"/>
    </xf>
    <xf numFmtId="0" fontId="14" fillId="0" borderId="43" xfId="0" applyFont="1" applyBorder="1" applyAlignment="1">
      <alignment horizontal="right" vertical="top" wrapText="1"/>
    </xf>
    <xf numFmtId="0" fontId="13" fillId="0" borderId="43" xfId="0" applyFont="1" applyBorder="1" applyAlignment="1">
      <alignment horizontal="right" vertical="top" wrapText="1"/>
    </xf>
    <xf numFmtId="0" fontId="13" fillId="0" borderId="62" xfId="0" applyFont="1" applyBorder="1" applyAlignment="1">
      <alignment horizontal="right" vertical="top" wrapText="1"/>
    </xf>
    <xf numFmtId="0" fontId="13" fillId="0" borderId="32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59" xfId="0" applyFont="1" applyBorder="1" applyAlignment="1">
      <alignment horizontal="center" vertical="center" wrapText="1"/>
    </xf>
    <xf numFmtId="0" fontId="13" fillId="0" borderId="61" xfId="0" applyFont="1" applyBorder="1" applyAlignment="1">
      <alignment horizontal="center" vertical="center" wrapText="1"/>
    </xf>
    <xf numFmtId="0" fontId="13" fillId="0" borderId="24" xfId="0" applyFont="1" applyBorder="1" applyAlignment="1">
      <alignment horizontal="left" vertical="top" wrapText="1"/>
    </xf>
    <xf numFmtId="0" fontId="14" fillId="0" borderId="24" xfId="0" applyFont="1" applyBorder="1" applyAlignment="1">
      <alignment horizontal="left" vertical="top" wrapText="1"/>
    </xf>
    <xf numFmtId="0" fontId="13" fillId="0" borderId="24" xfId="0" applyFont="1" applyBorder="1" applyAlignment="1">
      <alignment horizontal="right" vertical="top" wrapText="1"/>
    </xf>
    <xf numFmtId="0" fontId="0" fillId="0" borderId="63" xfId="0" applyBorder="1" applyAlignment="1" applyProtection="1">
      <alignment wrapText="1"/>
      <protection locked="0"/>
    </xf>
    <xf numFmtId="0" fontId="14" fillId="0" borderId="52" xfId="0" applyFont="1" applyBorder="1" applyAlignment="1">
      <alignment horizontal="left" vertical="top" wrapText="1"/>
    </xf>
    <xf numFmtId="0" fontId="13" fillId="0" borderId="31" xfId="0" applyFont="1" applyBorder="1" applyAlignment="1">
      <alignment horizontal="right" vertical="top" wrapText="1"/>
    </xf>
    <xf numFmtId="0" fontId="14" fillId="0" borderId="6" xfId="0" applyFont="1" applyBorder="1" applyAlignment="1">
      <alignment horizontal="right" vertical="top" wrapText="1"/>
    </xf>
    <xf numFmtId="0" fontId="14" fillId="0" borderId="54" xfId="0" applyFont="1" applyBorder="1" applyAlignment="1">
      <alignment horizontal="left" vertical="top" wrapText="1"/>
    </xf>
    <xf numFmtId="0" fontId="13" fillId="0" borderId="52" xfId="0" applyFont="1" applyBorder="1" applyAlignment="1">
      <alignment horizontal="left" vertical="top" wrapText="1"/>
    </xf>
    <xf numFmtId="0" fontId="14" fillId="0" borderId="53" xfId="0" applyFont="1" applyBorder="1" applyAlignment="1">
      <alignment horizontal="left" vertical="top" wrapText="1"/>
    </xf>
    <xf numFmtId="166" fontId="13" fillId="0" borderId="53" xfId="0" applyNumberFormat="1" applyFont="1" applyBorder="1" applyAlignment="1">
      <alignment horizontal="right" vertical="top" wrapText="1"/>
    </xf>
    <xf numFmtId="0" fontId="13" fillId="0" borderId="64" xfId="0" applyFont="1" applyBorder="1" applyAlignment="1">
      <alignment horizontal="right" vertical="top" wrapText="1"/>
    </xf>
    <xf numFmtId="172" fontId="18" fillId="0" borderId="41" xfId="0" applyNumberFormat="1" applyFont="1" applyBorder="1" applyAlignment="1">
      <alignment horizontal="right" vertical="top" wrapText="1"/>
    </xf>
    <xf numFmtId="0" fontId="14" fillId="0" borderId="41" xfId="0" applyFont="1" applyBorder="1" applyAlignment="1">
      <alignment horizontal="right" vertical="top" wrapText="1"/>
    </xf>
    <xf numFmtId="0" fontId="13" fillId="0" borderId="42" xfId="0" applyFont="1" applyBorder="1" applyAlignment="1">
      <alignment horizontal="left" vertical="top" wrapText="1"/>
    </xf>
    <xf numFmtId="3" fontId="14" fillId="0" borderId="42" xfId="0" applyNumberFormat="1" applyFont="1" applyBorder="1" applyAlignment="1">
      <alignment horizontal="right" vertical="top" wrapText="1"/>
    </xf>
    <xf numFmtId="165" fontId="14" fillId="0" borderId="42" xfId="0" applyNumberFormat="1" applyFont="1" applyBorder="1" applyAlignment="1">
      <alignment horizontal="right" vertical="top" wrapText="1"/>
    </xf>
    <xf numFmtId="171" fontId="14" fillId="0" borderId="42" xfId="0" applyNumberFormat="1" applyFont="1" applyBorder="1" applyAlignment="1">
      <alignment horizontal="right" vertical="top" wrapText="1"/>
    </xf>
    <xf numFmtId="0" fontId="12" fillId="0" borderId="65" xfId="0" applyFont="1" applyBorder="1" applyAlignment="1">
      <alignment horizontal="center" vertical="center" wrapText="1"/>
    </xf>
    <xf numFmtId="0" fontId="14" fillId="0" borderId="66" xfId="0" applyFont="1" applyBorder="1" applyAlignment="1">
      <alignment horizontal="left" vertical="top" wrapText="1"/>
    </xf>
    <xf numFmtId="172" fontId="14" fillId="0" borderId="67" xfId="0" applyNumberFormat="1" applyFont="1" applyBorder="1" applyAlignment="1">
      <alignment horizontal="right" vertical="top" wrapText="1"/>
    </xf>
    <xf numFmtId="172" fontId="18" fillId="0" borderId="27" xfId="0" applyNumberFormat="1" applyFont="1" applyBorder="1" applyAlignment="1">
      <alignment horizontal="right" vertical="top" wrapText="1"/>
    </xf>
    <xf numFmtId="0" fontId="13" fillId="0" borderId="68" xfId="0" applyFont="1" applyBorder="1" applyAlignment="1">
      <alignment horizontal="right" vertical="top" wrapText="1"/>
    </xf>
    <xf numFmtId="166" fontId="13" fillId="0" borderId="69" xfId="0" applyNumberFormat="1" applyFont="1" applyBorder="1" applyAlignment="1">
      <alignment horizontal="right" vertical="top" wrapText="1"/>
    </xf>
    <xf numFmtId="173" fontId="14" fillId="0" borderId="6" xfId="0" applyNumberFormat="1" applyFont="1" applyBorder="1" applyAlignment="1">
      <alignment horizontal="right" vertical="top" wrapText="1"/>
    </xf>
    <xf numFmtId="0" fontId="14" fillId="0" borderId="0" xfId="0" applyFont="1" applyAlignment="1">
      <alignment horizontal="right" vertical="top" wrapText="1"/>
    </xf>
    <xf numFmtId="0" fontId="13" fillId="0" borderId="71" xfId="0" applyFont="1" applyBorder="1" applyAlignment="1">
      <alignment horizontal="center" vertical="center" wrapText="1"/>
    </xf>
    <xf numFmtId="0" fontId="14" fillId="0" borderId="47" xfId="0" applyFont="1" applyBorder="1" applyAlignment="1">
      <alignment horizontal="right" vertical="top" wrapText="1"/>
    </xf>
    <xf numFmtId="0" fontId="14" fillId="0" borderId="42" xfId="0" applyFont="1" applyBorder="1" applyAlignment="1">
      <alignment horizontal="right" vertical="top" wrapText="1"/>
    </xf>
    <xf numFmtId="0" fontId="18" fillId="0" borderId="42" xfId="0" applyFont="1" applyBorder="1" applyAlignment="1">
      <alignment horizontal="right" vertical="top" wrapText="1"/>
    </xf>
    <xf numFmtId="166" fontId="13" fillId="0" borderId="72" xfId="0" applyNumberFormat="1" applyFont="1" applyBorder="1" applyAlignment="1">
      <alignment horizontal="right" vertical="top" wrapText="1"/>
    </xf>
    <xf numFmtId="0" fontId="13" fillId="0" borderId="73" xfId="0" applyFont="1" applyBorder="1" applyAlignment="1">
      <alignment horizontal="right" vertical="top" wrapText="1"/>
    </xf>
    <xf numFmtId="9" fontId="13" fillId="0" borderId="69" xfId="0" applyNumberFormat="1" applyFont="1" applyBorder="1" applyAlignment="1">
      <alignment horizontal="right" vertical="top" wrapText="1"/>
    </xf>
    <xf numFmtId="0" fontId="18" fillId="0" borderId="74" xfId="0" applyFont="1" applyBorder="1" applyAlignment="1">
      <alignment horizontal="right" vertical="top" wrapText="1"/>
    </xf>
    <xf numFmtId="0" fontId="13" fillId="0" borderId="66" xfId="0" applyFont="1" applyBorder="1" applyAlignment="1">
      <alignment horizontal="left" vertical="top" wrapText="1"/>
    </xf>
    <xf numFmtId="0" fontId="14" fillId="0" borderId="67" xfId="0" applyFont="1" applyBorder="1" applyAlignment="1">
      <alignment horizontal="right" vertical="top" wrapText="1"/>
    </xf>
    <xf numFmtId="166" fontId="13" fillId="0" borderId="45" xfId="0" applyNumberFormat="1" applyFont="1" applyBorder="1" applyAlignment="1">
      <alignment horizontal="right" vertical="top" wrapText="1"/>
    </xf>
    <xf numFmtId="0" fontId="13" fillId="0" borderId="75" xfId="0" applyFont="1" applyBorder="1" applyAlignment="1">
      <alignment horizontal="left" vertical="top" wrapText="1"/>
    </xf>
    <xf numFmtId="0" fontId="14" fillId="0" borderId="8" xfId="0" applyFont="1" applyBorder="1" applyAlignment="1">
      <alignment horizontal="left" vertical="top" wrapText="1"/>
    </xf>
    <xf numFmtId="10" fontId="13" fillId="0" borderId="25" xfId="0" applyNumberFormat="1" applyFont="1" applyBorder="1" applyAlignment="1">
      <alignment horizontal="right" vertical="top" wrapText="1"/>
    </xf>
    <xf numFmtId="10" fontId="13" fillId="0" borderId="12" xfId="0" applyNumberFormat="1" applyFont="1" applyBorder="1" applyAlignment="1">
      <alignment horizontal="right" vertical="top" wrapText="1"/>
    </xf>
    <xf numFmtId="9" fontId="13" fillId="0" borderId="72" xfId="0" applyNumberFormat="1" applyFont="1" applyBorder="1" applyAlignment="1">
      <alignment horizontal="right" vertical="top" wrapText="1"/>
    </xf>
    <xf numFmtId="10" fontId="0" fillId="0" borderId="56" xfId="0" applyNumberFormat="1" applyBorder="1"/>
    <xf numFmtId="10" fontId="2" fillId="0" borderId="56" xfId="0" applyNumberFormat="1" applyFont="1" applyBorder="1"/>
    <xf numFmtId="166" fontId="13" fillId="0" borderId="76" xfId="0" applyNumberFormat="1" applyFont="1" applyBorder="1" applyAlignment="1">
      <alignment horizontal="right" vertical="top" wrapText="1"/>
    </xf>
    <xf numFmtId="9" fontId="2" fillId="0" borderId="77" xfId="0" applyNumberFormat="1" applyFont="1" applyBorder="1"/>
    <xf numFmtId="172" fontId="14" fillId="0" borderId="42" xfId="0" applyNumberFormat="1" applyFont="1" applyBorder="1" applyAlignment="1">
      <alignment horizontal="right" vertical="top" wrapText="1"/>
    </xf>
    <xf numFmtId="0" fontId="13" fillId="0" borderId="42" xfId="0" applyFont="1" applyBorder="1" applyAlignment="1">
      <alignment horizontal="right" vertical="top" wrapText="1"/>
    </xf>
    <xf numFmtId="0" fontId="13" fillId="0" borderId="70" xfId="0" applyFont="1" applyBorder="1" applyAlignment="1">
      <alignment horizontal="right" vertical="top" wrapText="1"/>
    </xf>
    <xf numFmtId="0" fontId="13" fillId="0" borderId="60" xfId="0" applyFont="1" applyBorder="1" applyAlignment="1">
      <alignment horizontal="right" vertical="top" wrapText="1"/>
    </xf>
    <xf numFmtId="9" fontId="13" fillId="0" borderId="53" xfId="0" applyNumberFormat="1" applyFont="1" applyBorder="1" applyAlignment="1">
      <alignment horizontal="right" vertical="top" wrapText="1"/>
    </xf>
    <xf numFmtId="9" fontId="13" fillId="0" borderId="8" xfId="0" applyNumberFormat="1" applyFont="1" applyBorder="1" applyAlignment="1">
      <alignment horizontal="right" vertical="top" wrapText="1"/>
    </xf>
    <xf numFmtId="0" fontId="13" fillId="0" borderId="55" xfId="0" applyFont="1" applyBorder="1" applyAlignment="1">
      <alignment horizontal="left" vertical="top" wrapText="1"/>
    </xf>
    <xf numFmtId="0" fontId="13" fillId="0" borderId="78" xfId="0" applyFont="1" applyBorder="1" applyAlignment="1">
      <alignment horizontal="left" vertical="top" wrapText="1"/>
    </xf>
    <xf numFmtId="0" fontId="13" fillId="0" borderId="58" xfId="0" applyFont="1" applyBorder="1" applyAlignment="1">
      <alignment horizontal="left" vertical="top" wrapText="1"/>
    </xf>
    <xf numFmtId="0" fontId="7" fillId="0" borderId="13" xfId="3" applyFont="1" applyBorder="1" applyAlignment="1" applyProtection="1">
      <alignment horizontal="left"/>
      <protection locked="0"/>
    </xf>
    <xf numFmtId="0" fontId="19" fillId="0" borderId="21" xfId="0" applyFont="1" applyBorder="1" applyAlignment="1">
      <alignment horizontal="center" vertical="center" wrapText="1"/>
    </xf>
    <xf numFmtId="0" fontId="19" fillId="0" borderId="5" xfId="0" applyFont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0" fillId="0" borderId="21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5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11" fillId="0" borderId="1" xfId="2" applyFont="1" applyBorder="1" applyAlignment="1">
      <alignment horizontal="center"/>
    </xf>
    <xf numFmtId="0" fontId="11" fillId="0" borderId="0" xfId="2" applyFont="1" applyAlignment="1">
      <alignment horizontal="center"/>
    </xf>
    <xf numFmtId="0" fontId="11" fillId="0" borderId="1" xfId="2" applyFont="1" applyBorder="1" applyAlignment="1">
      <alignment horizontal="center" wrapText="1"/>
    </xf>
    <xf numFmtId="0" fontId="11" fillId="0" borderId="0" xfId="2" applyFont="1" applyAlignment="1">
      <alignment horizontal="center" wrapText="1"/>
    </xf>
    <xf numFmtId="0" fontId="5" fillId="0" borderId="14" xfId="0" applyFont="1" applyBorder="1" applyAlignment="1">
      <alignment horizontal="center"/>
    </xf>
    <xf numFmtId="0" fontId="5" fillId="0" borderId="15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7" fillId="0" borderId="13" xfId="0" applyFont="1" applyBorder="1" applyAlignment="1">
      <alignment horizontal="center"/>
    </xf>
    <xf numFmtId="0" fontId="8" fillId="0" borderId="16" xfId="0" applyFont="1" applyBorder="1" applyAlignment="1">
      <alignment horizontal="center"/>
    </xf>
    <xf numFmtId="0" fontId="8" fillId="0" borderId="13" xfId="0" applyFont="1" applyBorder="1" applyAlignment="1">
      <alignment horizontal="center"/>
    </xf>
    <xf numFmtId="0" fontId="7" fillId="0" borderId="24" xfId="3" applyFont="1" applyBorder="1" applyAlignment="1" applyProtection="1">
      <alignment horizontal="left"/>
      <protection locked="0"/>
    </xf>
    <xf numFmtId="0" fontId="7" fillId="0" borderId="25" xfId="3" applyFont="1" applyBorder="1" applyAlignment="1" applyProtection="1">
      <alignment horizontal="left"/>
      <protection locked="0"/>
    </xf>
    <xf numFmtId="0" fontId="11" fillId="0" borderId="16" xfId="2" applyFont="1" applyBorder="1" applyAlignment="1">
      <alignment horizontal="center"/>
    </xf>
    <xf numFmtId="0" fontId="11" fillId="0" borderId="13" xfId="2" applyFont="1" applyBorder="1" applyAlignment="1">
      <alignment horizontal="center"/>
    </xf>
    <xf numFmtId="0" fontId="11" fillId="0" borderId="17" xfId="2" applyFont="1" applyBorder="1" applyAlignment="1">
      <alignment horizontal="center"/>
    </xf>
    <xf numFmtId="0" fontId="11" fillId="0" borderId="18" xfId="2" applyFont="1" applyBorder="1" applyAlignment="1">
      <alignment horizontal="center"/>
    </xf>
    <xf numFmtId="0" fontId="9" fillId="0" borderId="24" xfId="2" applyFont="1" applyBorder="1" applyAlignment="1">
      <alignment horizontal="center" wrapText="1"/>
    </xf>
    <xf numFmtId="0" fontId="9" fillId="0" borderId="54" xfId="2" applyFont="1" applyBorder="1" applyAlignment="1">
      <alignment horizontal="center" wrapText="1"/>
    </xf>
    <xf numFmtId="0" fontId="9" fillId="0" borderId="25" xfId="2" applyFont="1" applyBorder="1" applyAlignment="1">
      <alignment horizontal="center" wrapText="1"/>
    </xf>
    <xf numFmtId="0" fontId="9" fillId="0" borderId="55" xfId="2" applyFont="1" applyBorder="1" applyAlignment="1">
      <alignment horizontal="center" wrapText="1"/>
    </xf>
    <xf numFmtId="0" fontId="9" fillId="0" borderId="0" xfId="2" applyFont="1" applyAlignment="1">
      <alignment horizontal="center" wrapText="1"/>
    </xf>
    <xf numFmtId="0" fontId="9" fillId="0" borderId="56" xfId="2" applyFont="1" applyBorder="1" applyAlignment="1">
      <alignment horizontal="center" wrapText="1"/>
    </xf>
    <xf numFmtId="0" fontId="14" fillId="0" borderId="0" xfId="0" applyFont="1" applyAlignment="1">
      <alignment horizontal="left" vertical="top" wrapText="1"/>
    </xf>
    <xf numFmtId="0" fontId="17" fillId="0" borderId="0" xfId="0" applyFont="1" applyAlignment="1">
      <alignment horizontal="left" vertical="top" wrapText="1"/>
    </xf>
    <xf numFmtId="0" fontId="7" fillId="0" borderId="0" xfId="3" applyFont="1" applyAlignment="1">
      <alignment horizontal="left" vertical="top" wrapText="1"/>
    </xf>
    <xf numFmtId="0" fontId="5" fillId="0" borderId="13" xfId="0" applyFont="1" applyBorder="1" applyAlignment="1">
      <alignment horizontal="center"/>
    </xf>
    <xf numFmtId="0" fontId="9" fillId="0" borderId="13" xfId="2" applyFont="1" applyBorder="1" applyAlignment="1">
      <alignment horizontal="center" wrapText="1"/>
    </xf>
    <xf numFmtId="0" fontId="9" fillId="0" borderId="47" xfId="2" applyFont="1" applyBorder="1" applyAlignment="1">
      <alignment horizontal="center" wrapText="1"/>
    </xf>
  </cellXfs>
  <cellStyles count="6">
    <cellStyle name="Comma" xfId="1" builtinId="3"/>
    <cellStyle name="Comma 2 2" xfId="4" xr:uid="{00000000-0005-0000-0000-000001000000}"/>
    <cellStyle name="Normal" xfId="0" builtinId="0"/>
    <cellStyle name="Normal 2" xfId="2" xr:uid="{00000000-0005-0000-0000-000003000000}"/>
    <cellStyle name="Normal 7" xfId="5" xr:uid="{00000000-0005-0000-0000-000004000000}"/>
    <cellStyle name="Normal_VALUATION November 01" xfId="3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Low%20to%20Moderate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Low%20to%20Moderate.png" TargetMode="Externa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file:///P:\CommonFundADM7\Motilal\Reporting\2.%20Monthly\2024-2025\March%202025\RiskoMeter\Low%20to%20Moderate.png" TargetMode="External"/><Relationship Id="rId1" Type="http://schemas.openxmlformats.org/officeDocument/2006/relationships/image" Target="../media/image3.jpeg"/><Relationship Id="rId4" Type="http://schemas.openxmlformats.org/officeDocument/2006/relationships/image" Target="file:///P:\CommonFundADM7\Motilal\Reporting\2.%20Monthly\2024-2025\March%202025\RiskoMeter\Benchmark%20Low%20to%20Moderate.png" TargetMode="Externa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eg"/><Relationship Id="rId2" Type="http://schemas.openxmlformats.org/officeDocument/2006/relationships/image" Target="file:///P:\CommonFundADM7\Motilal\Reporting\2.%20Monthly\2024-2025\March%202025\RiskoMeter\Moderate.png" TargetMode="External"/><Relationship Id="rId1" Type="http://schemas.openxmlformats.org/officeDocument/2006/relationships/image" Target="../media/image5.jpeg"/><Relationship Id="rId4" Type="http://schemas.openxmlformats.org/officeDocument/2006/relationships/image" Target="file:///P:\CommonFundADM7\Motilal\Reporting\2.%20Monthly\2024-2025\March%202025\RiskoMeter\Benchmark%20Moderate.png" TargetMode="Externa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jpeg"/><Relationship Id="rId2" Type="http://schemas.openxmlformats.org/officeDocument/2006/relationships/image" Target="file:///P:\CommonFundADM7\Motilal\Reporting\2.%20Monthly\2024-2025\March%202025\RiskoMeter\Moderate.png" TargetMode="External"/><Relationship Id="rId1" Type="http://schemas.openxmlformats.org/officeDocument/2006/relationships/image" Target="../media/image7.jpeg"/><Relationship Id="rId4" Type="http://schemas.openxmlformats.org/officeDocument/2006/relationships/image" Target="file:///P:\CommonFundADM7\Motilal\Reporting\2.%20Monthly\2024-2025\March%202025\RiskoMeter\Benchmark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104</xdr:row>
      <xdr:rowOff>0</xdr:rowOff>
    </xdr:from>
    <xdr:to>
      <xdr:col>1</xdr:col>
      <xdr:colOff>2827020</xdr:colOff>
      <xdr:row>114</xdr:row>
      <xdr:rowOff>63498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AFEA5E9-A4D0-4CA3-AA19-84925711769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320" y="17122140"/>
          <a:ext cx="2857500" cy="18923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104</xdr:row>
      <xdr:rowOff>0</xdr:rowOff>
    </xdr:from>
    <xdr:to>
      <xdr:col>5</xdr:col>
      <xdr:colOff>2795270</xdr:colOff>
      <xdr:row>114</xdr:row>
      <xdr:rowOff>63498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5B14E4C-EEF0-4DF8-AFFE-3206A40E64C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46820" y="17122140"/>
          <a:ext cx="2825750" cy="18923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116</xdr:row>
      <xdr:rowOff>0</xdr:rowOff>
    </xdr:from>
    <xdr:to>
      <xdr:col>1</xdr:col>
      <xdr:colOff>2827020</xdr:colOff>
      <xdr:row>126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BE69948-8A5F-4918-88CF-026177BC139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7700" y="18737580"/>
          <a:ext cx="2857500" cy="18923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116</xdr:row>
      <xdr:rowOff>0</xdr:rowOff>
    </xdr:from>
    <xdr:to>
      <xdr:col>6</xdr:col>
      <xdr:colOff>1080770</xdr:colOff>
      <xdr:row>126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7DD11DF-7F1F-42D2-BF1D-0F5A3678389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40140" y="18737580"/>
          <a:ext cx="2825750" cy="18923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51</xdr:row>
      <xdr:rowOff>0</xdr:rowOff>
    </xdr:from>
    <xdr:to>
      <xdr:col>1</xdr:col>
      <xdr:colOff>2827020</xdr:colOff>
      <xdr:row>61</xdr:row>
      <xdr:rowOff>63499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F53165F-AEF5-4554-A274-06B3B573676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" y="9052560"/>
          <a:ext cx="2857500" cy="18923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51</xdr:row>
      <xdr:rowOff>0</xdr:rowOff>
    </xdr:from>
    <xdr:to>
      <xdr:col>6</xdr:col>
      <xdr:colOff>1080770</xdr:colOff>
      <xdr:row>61</xdr:row>
      <xdr:rowOff>63499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CA7322C-F74A-47B7-937F-FDD0A07C412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48700" y="9052560"/>
          <a:ext cx="2825750" cy="18923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56</xdr:row>
      <xdr:rowOff>0</xdr:rowOff>
    </xdr:from>
    <xdr:to>
      <xdr:col>1</xdr:col>
      <xdr:colOff>2827020</xdr:colOff>
      <xdr:row>66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9F4F030-68E4-4113-830F-CFA85F46776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8140" y="8808720"/>
          <a:ext cx="2857500" cy="18923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56</xdr:row>
      <xdr:rowOff>0</xdr:rowOff>
    </xdr:from>
    <xdr:to>
      <xdr:col>6</xdr:col>
      <xdr:colOff>1080770</xdr:colOff>
      <xdr:row>66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C0F9C7D-E598-42D7-9CA6-F51495873FF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57260" y="8808720"/>
          <a:ext cx="2825750" cy="1892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128"/>
  <sheetViews>
    <sheetView tabSelected="1" topLeftCell="A7" zoomScale="55" zoomScaleNormal="55" workbookViewId="0"/>
  </sheetViews>
  <sheetFormatPr defaultColWidth="8.6328125" defaultRowHeight="14.5" x14ac:dyDescent="0.35"/>
  <cols>
    <col min="1" max="1" width="9.6328125" bestFit="1" customWidth="1"/>
    <col min="2" max="2" width="78.90625" customWidth="1"/>
    <col min="3" max="3" width="31.81640625" bestFit="1" customWidth="1"/>
    <col min="4" max="4" width="27.1796875" bestFit="1" customWidth="1"/>
    <col min="5" max="5" width="30.6328125" bestFit="1" customWidth="1"/>
    <col min="6" max="6" width="60.54296875" bestFit="1" customWidth="1"/>
    <col min="7" max="7" width="12.36328125" bestFit="1" customWidth="1"/>
  </cols>
  <sheetData>
    <row r="1" spans="1:8" ht="15" thickBot="1" x14ac:dyDescent="0.4">
      <c r="A1" s="1" t="s">
        <v>162</v>
      </c>
    </row>
    <row r="2" spans="1:8" ht="21" customHeight="1" x14ac:dyDescent="0.5">
      <c r="A2" s="198" t="s">
        <v>0</v>
      </c>
      <c r="B2" s="199"/>
      <c r="C2" s="199"/>
      <c r="D2" s="199"/>
      <c r="E2" s="199"/>
      <c r="F2" s="199"/>
      <c r="G2" s="199"/>
      <c r="H2" s="199"/>
    </row>
    <row r="3" spans="1:8" ht="21" customHeight="1" x14ac:dyDescent="0.4">
      <c r="A3" s="200" t="s">
        <v>1</v>
      </c>
      <c r="B3" s="201"/>
      <c r="C3" s="201"/>
      <c r="D3" s="201"/>
      <c r="E3" s="201"/>
      <c r="F3" s="201"/>
      <c r="G3" s="201"/>
      <c r="H3" s="201"/>
    </row>
    <row r="4" spans="1:8" ht="21" customHeight="1" x14ac:dyDescent="0.35">
      <c r="A4" s="202" t="s">
        <v>2</v>
      </c>
      <c r="B4" s="203"/>
      <c r="C4" s="203"/>
      <c r="D4" s="203"/>
      <c r="E4" s="203"/>
      <c r="F4" s="203"/>
      <c r="G4" s="203"/>
      <c r="H4" s="203"/>
    </row>
    <row r="5" spans="1:8" ht="21" customHeight="1" x14ac:dyDescent="0.35">
      <c r="A5" s="202" t="s">
        <v>3</v>
      </c>
      <c r="B5" s="203"/>
      <c r="C5" s="203"/>
      <c r="D5" s="203"/>
      <c r="E5" s="203"/>
      <c r="F5" s="203"/>
      <c r="G5" s="203"/>
      <c r="H5" s="203"/>
    </row>
    <row r="6" spans="1:8" ht="21" customHeight="1" x14ac:dyDescent="0.5">
      <c r="A6" s="204" t="s">
        <v>207</v>
      </c>
      <c r="B6" s="205"/>
      <c r="C6" s="205"/>
      <c r="D6" s="205"/>
      <c r="E6" s="205"/>
      <c r="F6" s="205"/>
      <c r="G6" s="205"/>
      <c r="H6" s="205"/>
    </row>
    <row r="7" spans="1:8" ht="15.75" customHeight="1" x14ac:dyDescent="0.35">
      <c r="A7" s="194" t="s">
        <v>4</v>
      </c>
      <c r="B7" s="195"/>
      <c r="C7" s="195"/>
      <c r="D7" s="195"/>
      <c r="E7" s="195"/>
      <c r="F7" s="195"/>
      <c r="G7" s="195"/>
      <c r="H7" s="195"/>
    </row>
    <row r="8" spans="1:8" ht="15.75" customHeight="1" thickBot="1" x14ac:dyDescent="0.4">
      <c r="A8" s="196" t="s">
        <v>5</v>
      </c>
      <c r="B8" s="197"/>
      <c r="C8" s="197"/>
      <c r="D8" s="197"/>
      <c r="E8" s="197"/>
      <c r="F8" s="197"/>
      <c r="G8" s="197"/>
      <c r="H8" s="197"/>
    </row>
    <row r="9" spans="1:8" ht="28.25" customHeight="1" thickBot="1" x14ac:dyDescent="0.4">
      <c r="A9" s="2" t="s">
        <v>6</v>
      </c>
      <c r="B9" s="76" t="s">
        <v>7</v>
      </c>
      <c r="C9" s="77" t="s">
        <v>132</v>
      </c>
      <c r="D9" s="3" t="s">
        <v>146</v>
      </c>
      <c r="E9" s="3" t="s">
        <v>10</v>
      </c>
      <c r="F9" s="3" t="s">
        <v>133</v>
      </c>
      <c r="G9" s="153" t="s">
        <v>134</v>
      </c>
      <c r="H9" s="4" t="s">
        <v>135</v>
      </c>
    </row>
    <row r="10" spans="1:8" ht="13.25" customHeight="1" x14ac:dyDescent="0.35">
      <c r="A10" s="78" t="s">
        <v>190</v>
      </c>
      <c r="B10" s="87" t="s">
        <v>161</v>
      </c>
      <c r="C10" s="5" t="s">
        <v>163</v>
      </c>
      <c r="D10" s="5" t="s">
        <v>163</v>
      </c>
      <c r="E10" s="133" t="s">
        <v>163</v>
      </c>
      <c r="F10" s="152" t="s">
        <v>163</v>
      </c>
      <c r="G10" s="154" t="s">
        <v>163</v>
      </c>
      <c r="H10" s="148" t="s">
        <v>163</v>
      </c>
    </row>
    <row r="11" spans="1:8" ht="13.25" customHeight="1" x14ac:dyDescent="0.35">
      <c r="A11" s="78" t="s">
        <v>14</v>
      </c>
      <c r="B11" s="80" t="s">
        <v>166</v>
      </c>
      <c r="C11" s="5" t="s">
        <v>163</v>
      </c>
      <c r="D11" s="5" t="s">
        <v>163</v>
      </c>
      <c r="E11" s="133" t="s">
        <v>163</v>
      </c>
      <c r="F11" s="152" t="s">
        <v>163</v>
      </c>
      <c r="G11" s="155" t="s">
        <v>163</v>
      </c>
      <c r="H11" s="148" t="s">
        <v>163</v>
      </c>
    </row>
    <row r="12" spans="1:8" ht="13.25" customHeight="1" x14ac:dyDescent="0.35">
      <c r="A12" s="78" t="s">
        <v>21</v>
      </c>
      <c r="B12" s="80" t="s">
        <v>165</v>
      </c>
      <c r="C12" s="5" t="s">
        <v>163</v>
      </c>
      <c r="D12" s="5" t="s">
        <v>163</v>
      </c>
      <c r="E12" s="133" t="s">
        <v>163</v>
      </c>
      <c r="F12" s="152" t="s">
        <v>163</v>
      </c>
      <c r="G12" s="155" t="s">
        <v>163</v>
      </c>
      <c r="H12" s="148" t="s">
        <v>163</v>
      </c>
    </row>
    <row r="13" spans="1:8" ht="13.25" customHeight="1" x14ac:dyDescent="0.35">
      <c r="A13" s="78" t="s">
        <v>29</v>
      </c>
      <c r="B13" s="80" t="s">
        <v>164</v>
      </c>
      <c r="C13" s="5" t="s">
        <v>163</v>
      </c>
      <c r="D13" s="5" t="s">
        <v>163</v>
      </c>
      <c r="E13" s="133" t="s">
        <v>163</v>
      </c>
      <c r="F13" s="152" t="s">
        <v>163</v>
      </c>
      <c r="G13" s="155" t="s">
        <v>163</v>
      </c>
      <c r="H13" s="148" t="s">
        <v>163</v>
      </c>
    </row>
    <row r="14" spans="1:8" ht="13.25" customHeight="1" x14ac:dyDescent="0.35">
      <c r="A14" s="78" t="s">
        <v>191</v>
      </c>
      <c r="B14" s="81" t="s">
        <v>13</v>
      </c>
      <c r="C14" s="5"/>
      <c r="D14" s="5"/>
      <c r="E14" s="5"/>
      <c r="F14" s="10"/>
      <c r="G14" s="156"/>
      <c r="H14" s="107"/>
    </row>
    <row r="15" spans="1:8" ht="13.25" customHeight="1" x14ac:dyDescent="0.35">
      <c r="A15" s="78" t="s">
        <v>14</v>
      </c>
      <c r="B15" s="81" t="s">
        <v>22</v>
      </c>
      <c r="C15" s="5"/>
      <c r="D15" s="5"/>
      <c r="E15" s="5"/>
      <c r="F15" s="10"/>
      <c r="G15" s="156"/>
      <c r="H15" s="156"/>
    </row>
    <row r="16" spans="1:8" ht="13.25" customHeight="1" x14ac:dyDescent="0.35">
      <c r="A16" s="85">
        <v>1</v>
      </c>
      <c r="B16" s="146" t="s">
        <v>226</v>
      </c>
      <c r="C16" s="57" t="s">
        <v>25</v>
      </c>
      <c r="D16" s="5" t="s">
        <v>26</v>
      </c>
      <c r="E16" s="58">
        <v>2500000</v>
      </c>
      <c r="F16" s="59">
        <v>2496.23</v>
      </c>
      <c r="G16" s="169">
        <v>6.4000000000000001E-2</v>
      </c>
      <c r="H16" s="173">
        <v>6.1209E-2</v>
      </c>
    </row>
    <row r="17" spans="1:8" ht="13.25" customHeight="1" x14ac:dyDescent="0.35">
      <c r="A17" s="85">
        <f>A16+1</f>
        <v>2</v>
      </c>
      <c r="B17" s="146" t="s">
        <v>237</v>
      </c>
      <c r="C17" s="57" t="s">
        <v>27</v>
      </c>
      <c r="D17" s="5" t="s">
        <v>23</v>
      </c>
      <c r="E17" s="58">
        <v>2500000</v>
      </c>
      <c r="F17" s="59">
        <v>2474.34</v>
      </c>
      <c r="G17" s="169">
        <v>6.3399999999999998E-2</v>
      </c>
      <c r="H17" s="173">
        <v>6.7599999999999993E-2</v>
      </c>
    </row>
    <row r="18" spans="1:8" ht="13.25" customHeight="1" x14ac:dyDescent="0.35">
      <c r="A18" s="85">
        <f>A17+1</f>
        <v>3</v>
      </c>
      <c r="B18" s="146" t="s">
        <v>239</v>
      </c>
      <c r="C18" s="57" t="s">
        <v>28</v>
      </c>
      <c r="D18" s="5" t="s">
        <v>23</v>
      </c>
      <c r="E18" s="58">
        <v>2500000</v>
      </c>
      <c r="F18" s="59">
        <v>2459.9499999999998</v>
      </c>
      <c r="G18" s="169">
        <v>6.3E-2</v>
      </c>
      <c r="H18" s="173">
        <v>6.8307000000000007E-2</v>
      </c>
    </row>
    <row r="19" spans="1:8" ht="13.25" customHeight="1" x14ac:dyDescent="0.35">
      <c r="A19" s="85">
        <f>A18+1</f>
        <v>4</v>
      </c>
      <c r="B19" s="146" t="s">
        <v>238</v>
      </c>
      <c r="C19" s="57" t="s">
        <v>154</v>
      </c>
      <c r="D19" s="5" t="s">
        <v>24</v>
      </c>
      <c r="E19" s="58">
        <v>2500000</v>
      </c>
      <c r="F19" s="59">
        <v>2399.42</v>
      </c>
      <c r="G19" s="169">
        <v>6.1499999999999999E-2</v>
      </c>
      <c r="H19" s="173">
        <v>7.3205999999999993E-2</v>
      </c>
    </row>
    <row r="20" spans="1:8" ht="13.25" customHeight="1" x14ac:dyDescent="0.35">
      <c r="A20" s="85">
        <f t="shared" ref="A20:A21" si="0">A19+1</f>
        <v>5</v>
      </c>
      <c r="B20" s="146" t="s">
        <v>240</v>
      </c>
      <c r="C20" s="57" t="s">
        <v>204</v>
      </c>
      <c r="D20" s="5" t="s">
        <v>23</v>
      </c>
      <c r="E20" s="58">
        <v>2500000</v>
      </c>
      <c r="F20" s="59">
        <v>2395.19</v>
      </c>
      <c r="G20" s="169">
        <v>6.1400000000000003E-2</v>
      </c>
      <c r="H20" s="173">
        <v>7.2599999999999998E-2</v>
      </c>
    </row>
    <row r="21" spans="1:8" ht="13.25" customHeight="1" x14ac:dyDescent="0.35">
      <c r="A21" s="85">
        <f t="shared" si="0"/>
        <v>6</v>
      </c>
      <c r="B21" s="146" t="s">
        <v>241</v>
      </c>
      <c r="C21" s="57" t="s">
        <v>205</v>
      </c>
      <c r="D21" s="5" t="s">
        <v>23</v>
      </c>
      <c r="E21" s="58">
        <v>2500000</v>
      </c>
      <c r="F21" s="59">
        <v>2394.5</v>
      </c>
      <c r="G21" s="169">
        <v>6.1400000000000003E-2</v>
      </c>
      <c r="H21" s="173">
        <v>7.3099999999999998E-2</v>
      </c>
    </row>
    <row r="22" spans="1:8" ht="13.25" customHeight="1" x14ac:dyDescent="0.35">
      <c r="A22" s="85">
        <v>7</v>
      </c>
      <c r="B22" s="146" t="s">
        <v>242</v>
      </c>
      <c r="C22" s="57" t="s">
        <v>186</v>
      </c>
      <c r="D22" s="5" t="s">
        <v>23</v>
      </c>
      <c r="E22" s="58">
        <v>2500000</v>
      </c>
      <c r="F22" s="59">
        <v>2391.6999999999998</v>
      </c>
      <c r="G22" s="169">
        <v>6.13E-2</v>
      </c>
      <c r="H22" s="173">
        <v>7.3134000000000005E-2</v>
      </c>
    </row>
    <row r="23" spans="1:8" ht="13.25" customHeight="1" x14ac:dyDescent="0.35">
      <c r="A23" s="85">
        <v>8</v>
      </c>
      <c r="B23" s="146" t="s">
        <v>243</v>
      </c>
      <c r="C23" s="57" t="s">
        <v>155</v>
      </c>
      <c r="D23" s="5" t="s">
        <v>23</v>
      </c>
      <c r="E23" s="58">
        <v>2500000</v>
      </c>
      <c r="F23" s="59">
        <v>2367.14</v>
      </c>
      <c r="G23" s="169">
        <v>6.0699999999999997E-2</v>
      </c>
      <c r="H23" s="173">
        <v>7.4498999999999996E-2</v>
      </c>
    </row>
    <row r="24" spans="1:8" ht="13.25" customHeight="1" x14ac:dyDescent="0.35">
      <c r="A24" s="85">
        <v>9</v>
      </c>
      <c r="B24" s="146" t="s">
        <v>244</v>
      </c>
      <c r="C24" s="57" t="s">
        <v>192</v>
      </c>
      <c r="D24" s="5" t="s">
        <v>23</v>
      </c>
      <c r="E24" s="58">
        <v>2500000</v>
      </c>
      <c r="F24" s="59">
        <v>2364.1999999999998</v>
      </c>
      <c r="G24" s="169">
        <v>6.0600000000000001E-2</v>
      </c>
      <c r="H24" s="173">
        <v>7.4349999999999999E-2</v>
      </c>
    </row>
    <row r="25" spans="1:8" ht="13.25" customHeight="1" x14ac:dyDescent="0.35">
      <c r="A25" s="85"/>
      <c r="B25" s="95" t="s">
        <v>20</v>
      </c>
      <c r="C25" s="96"/>
      <c r="D25" s="96"/>
      <c r="E25" s="96"/>
      <c r="F25" s="163">
        <v>21742.67</v>
      </c>
      <c r="G25" s="170">
        <v>0.55730000000000002</v>
      </c>
      <c r="H25" s="155"/>
    </row>
    <row r="26" spans="1:8" ht="13.25" customHeight="1" x14ac:dyDescent="0.35">
      <c r="A26" s="78" t="s">
        <v>21</v>
      </c>
      <c r="B26" s="81" t="s">
        <v>30</v>
      </c>
      <c r="C26" s="5"/>
      <c r="D26" s="5"/>
      <c r="E26" s="5"/>
      <c r="F26" s="10"/>
      <c r="G26" s="160"/>
      <c r="H26" s="156"/>
    </row>
    <row r="27" spans="1:8" ht="13.25" customHeight="1" x14ac:dyDescent="0.35">
      <c r="A27" s="85">
        <v>1</v>
      </c>
      <c r="B27" s="146" t="s">
        <v>245</v>
      </c>
      <c r="C27" s="57" t="s">
        <v>31</v>
      </c>
      <c r="D27" s="5" t="s">
        <v>23</v>
      </c>
      <c r="E27" s="58">
        <v>2500000</v>
      </c>
      <c r="F27" s="59">
        <v>2479.31</v>
      </c>
      <c r="G27" s="169">
        <v>6.3500000000000001E-2</v>
      </c>
      <c r="H27" s="173">
        <v>6.7699999999999996E-2</v>
      </c>
    </row>
    <row r="28" spans="1:8" ht="13.25" customHeight="1" x14ac:dyDescent="0.35">
      <c r="A28" s="85">
        <f t="shared" ref="A28" si="1">A27+1</f>
        <v>2</v>
      </c>
      <c r="B28" s="146" t="s">
        <v>246</v>
      </c>
      <c r="C28" s="57" t="s">
        <v>32</v>
      </c>
      <c r="D28" s="5" t="s">
        <v>23</v>
      </c>
      <c r="E28" s="58">
        <v>2500000</v>
      </c>
      <c r="F28" s="59">
        <v>2428.36</v>
      </c>
      <c r="G28" s="169">
        <v>6.2199999999999998E-2</v>
      </c>
      <c r="H28" s="173">
        <v>7.5301000000000007E-2</v>
      </c>
    </row>
    <row r="29" spans="1:8" ht="13.25" customHeight="1" x14ac:dyDescent="0.35">
      <c r="A29" s="85"/>
      <c r="B29" s="161" t="s">
        <v>20</v>
      </c>
      <c r="C29" s="5"/>
      <c r="D29" s="5"/>
      <c r="E29" s="5"/>
      <c r="F29" s="60">
        <v>4907.67</v>
      </c>
      <c r="G29" s="170">
        <v>0.12570000000000001</v>
      </c>
      <c r="H29" s="155"/>
    </row>
    <row r="30" spans="1:8" ht="13.25" customHeight="1" x14ac:dyDescent="0.35">
      <c r="A30" s="78" t="s">
        <v>29</v>
      </c>
      <c r="B30" s="81" t="s">
        <v>147</v>
      </c>
      <c r="C30" s="5"/>
      <c r="D30" s="5"/>
      <c r="E30" s="5"/>
      <c r="F30" s="10"/>
      <c r="G30" s="160"/>
      <c r="H30" s="156"/>
    </row>
    <row r="31" spans="1:8" ht="13.25" customHeight="1" x14ac:dyDescent="0.35">
      <c r="A31" s="86">
        <v>1</v>
      </c>
      <c r="B31" s="146" t="s">
        <v>15</v>
      </c>
      <c r="C31" s="57" t="s">
        <v>16</v>
      </c>
      <c r="D31" s="5" t="s">
        <v>17</v>
      </c>
      <c r="E31" s="58">
        <v>7500000</v>
      </c>
      <c r="F31" s="59">
        <v>7453.73</v>
      </c>
      <c r="G31" s="169">
        <v>0.191</v>
      </c>
      <c r="H31" s="173">
        <v>5.1499999999999997E-2</v>
      </c>
    </row>
    <row r="32" spans="1:8" ht="13.25" customHeight="1" x14ac:dyDescent="0.35">
      <c r="A32" s="85">
        <v>2</v>
      </c>
      <c r="B32" s="146" t="s">
        <v>18</v>
      </c>
      <c r="C32" s="57" t="s">
        <v>19</v>
      </c>
      <c r="D32" s="5" t="s">
        <v>17</v>
      </c>
      <c r="E32" s="58">
        <v>2500000</v>
      </c>
      <c r="F32" s="59">
        <v>2469.6</v>
      </c>
      <c r="G32" s="169">
        <v>6.3299999999999995E-2</v>
      </c>
      <c r="H32" s="173">
        <v>5.2250999999999999E-2</v>
      </c>
    </row>
    <row r="33" spans="1:8" ht="13.25" customHeight="1" x14ac:dyDescent="0.35">
      <c r="A33" s="85">
        <v>3</v>
      </c>
      <c r="B33" s="146" t="s">
        <v>156</v>
      </c>
      <c r="C33" s="57" t="s">
        <v>157</v>
      </c>
      <c r="D33" s="5" t="s">
        <v>17</v>
      </c>
      <c r="E33" s="58">
        <v>2500000</v>
      </c>
      <c r="F33" s="59">
        <v>2409.5700000000002</v>
      </c>
      <c r="G33" s="169">
        <v>6.1699999999999998E-2</v>
      </c>
      <c r="H33" s="173">
        <v>5.7075000000000001E-2</v>
      </c>
    </row>
    <row r="34" spans="1:8" ht="13.25" customHeight="1" x14ac:dyDescent="0.35">
      <c r="A34" s="78"/>
      <c r="B34" s="161" t="s">
        <v>20</v>
      </c>
      <c r="C34" s="5"/>
      <c r="D34" s="5"/>
      <c r="E34" s="5"/>
      <c r="F34" s="60">
        <v>12332.9</v>
      </c>
      <c r="G34" s="170">
        <v>0.316</v>
      </c>
      <c r="H34" s="155"/>
    </row>
    <row r="35" spans="1:8" ht="13.25" customHeight="1" x14ac:dyDescent="0.35">
      <c r="A35" s="85"/>
      <c r="B35" s="82" t="s">
        <v>33</v>
      </c>
      <c r="C35" s="53"/>
      <c r="D35" s="54"/>
      <c r="E35" s="53"/>
      <c r="F35" s="97"/>
      <c r="G35" s="171"/>
      <c r="H35" s="174"/>
    </row>
    <row r="36" spans="1:8" ht="13.25" customHeight="1" x14ac:dyDescent="0.35">
      <c r="A36" s="85"/>
      <c r="B36" s="81" t="s">
        <v>59</v>
      </c>
      <c r="C36" s="5"/>
      <c r="D36" s="5"/>
      <c r="E36" s="5"/>
      <c r="F36" s="10"/>
      <c r="G36" s="160"/>
      <c r="H36" s="156"/>
    </row>
    <row r="37" spans="1:8" ht="13.25" customHeight="1" x14ac:dyDescent="0.35">
      <c r="A37" s="78" t="s">
        <v>34</v>
      </c>
      <c r="B37" s="81" t="s">
        <v>144</v>
      </c>
      <c r="C37" s="5"/>
      <c r="D37" s="5"/>
      <c r="E37" s="5"/>
      <c r="F37" s="10"/>
      <c r="G37" s="160"/>
      <c r="H37" s="156"/>
    </row>
    <row r="38" spans="1:8" ht="13.25" customHeight="1" x14ac:dyDescent="0.35">
      <c r="A38" s="85">
        <v>1</v>
      </c>
      <c r="B38" s="146" t="s">
        <v>193</v>
      </c>
      <c r="C38" s="57" t="s">
        <v>145</v>
      </c>
      <c r="D38" s="5"/>
      <c r="E38" s="58">
        <v>1358.2629999999999</v>
      </c>
      <c r="F38" s="59">
        <v>160.68</v>
      </c>
      <c r="G38" s="169">
        <v>4.1000000000000003E-3</v>
      </c>
      <c r="H38" s="173"/>
    </row>
    <row r="39" spans="1:8" ht="13.25" customHeight="1" x14ac:dyDescent="0.35">
      <c r="A39" s="78"/>
      <c r="B39" s="161" t="s">
        <v>20</v>
      </c>
      <c r="C39" s="5"/>
      <c r="D39" s="5"/>
      <c r="E39" s="5"/>
      <c r="F39" s="60">
        <v>160.68</v>
      </c>
      <c r="G39" s="170">
        <v>4.1000000000000003E-3</v>
      </c>
      <c r="H39" s="155"/>
    </row>
    <row r="40" spans="1:8" ht="13.25" customHeight="1" x14ac:dyDescent="0.35">
      <c r="A40" s="85"/>
      <c r="B40" s="164" t="s">
        <v>33</v>
      </c>
      <c r="C40" s="6"/>
      <c r="D40" s="6"/>
      <c r="E40" s="165"/>
      <c r="F40" s="60">
        <v>160.68</v>
      </c>
      <c r="G40" s="170">
        <v>4.1000000000000003E-3</v>
      </c>
      <c r="H40" s="175"/>
    </row>
    <row r="41" spans="1:8" ht="13.25" customHeight="1" x14ac:dyDescent="0.35">
      <c r="A41" s="78" t="s">
        <v>153</v>
      </c>
      <c r="B41" s="81" t="s">
        <v>136</v>
      </c>
      <c r="C41" s="5"/>
      <c r="D41" s="5"/>
      <c r="E41" s="5"/>
      <c r="F41" s="10"/>
      <c r="G41" s="160"/>
      <c r="H41" s="156"/>
    </row>
    <row r="42" spans="1:8" ht="13.25" customHeight="1" x14ac:dyDescent="0.35">
      <c r="A42" s="85">
        <v>1</v>
      </c>
      <c r="B42" s="146" t="s">
        <v>234</v>
      </c>
      <c r="C42" s="57"/>
      <c r="D42" s="5"/>
      <c r="E42" s="58"/>
      <c r="F42" s="59">
        <v>2094</v>
      </c>
      <c r="G42" s="169">
        <v>5.3699999999999998E-2</v>
      </c>
      <c r="H42" s="173">
        <v>5.2592403772683857E-2</v>
      </c>
    </row>
    <row r="43" spans="1:8" ht="13.25" customHeight="1" x14ac:dyDescent="0.35">
      <c r="A43" s="89"/>
      <c r="B43" s="161" t="s">
        <v>20</v>
      </c>
      <c r="C43" s="5"/>
      <c r="D43" s="5"/>
      <c r="E43" s="5"/>
      <c r="F43" s="60">
        <v>2094</v>
      </c>
      <c r="G43" s="170">
        <v>5.3699999999999998E-2</v>
      </c>
      <c r="H43" s="155"/>
    </row>
    <row r="44" spans="1:8" ht="13.25" customHeight="1" x14ac:dyDescent="0.35">
      <c r="A44" s="89"/>
      <c r="B44" s="82" t="s">
        <v>33</v>
      </c>
      <c r="C44" s="53"/>
      <c r="D44" s="54"/>
      <c r="E44" s="53"/>
      <c r="F44" s="97">
        <f>F25+F29+F34+F39+F43</f>
        <v>41237.919999999998</v>
      </c>
      <c r="G44" s="170">
        <v>1.0568</v>
      </c>
      <c r="H44" s="174"/>
    </row>
    <row r="45" spans="1:8" ht="13.25" customHeight="1" x14ac:dyDescent="0.35">
      <c r="A45" s="89"/>
      <c r="B45" s="83" t="s">
        <v>35</v>
      </c>
      <c r="C45" s="5"/>
      <c r="D45" s="6"/>
      <c r="E45" s="5"/>
      <c r="F45" s="60">
        <v>-2213.9499999999998</v>
      </c>
      <c r="G45" s="170">
        <v>-5.6800000000000003E-2</v>
      </c>
      <c r="H45" s="174"/>
    </row>
    <row r="46" spans="1:8" ht="13.25" customHeight="1" thickBot="1" x14ac:dyDescent="0.4">
      <c r="A46" s="90"/>
      <c r="B46" s="84" t="s">
        <v>36</v>
      </c>
      <c r="C46" s="45"/>
      <c r="D46" s="45"/>
      <c r="E46" s="45"/>
      <c r="F46" s="150">
        <f>F44+F45</f>
        <v>39023.97</v>
      </c>
      <c r="G46" s="172">
        <v>1</v>
      </c>
      <c r="H46" s="176"/>
    </row>
    <row r="47" spans="1:8" ht="13.25" customHeight="1" x14ac:dyDescent="0.35">
      <c r="A47" s="10"/>
      <c r="B47" s="8"/>
      <c r="C47" s="10"/>
      <c r="D47" s="10"/>
      <c r="E47" s="10"/>
      <c r="F47" s="10"/>
      <c r="G47" s="10"/>
      <c r="H47" s="10"/>
    </row>
    <row r="48" spans="1:8" x14ac:dyDescent="0.35">
      <c r="A48" s="10"/>
      <c r="B48" s="7" t="s">
        <v>137</v>
      </c>
      <c r="C48" s="10"/>
      <c r="D48" s="10"/>
      <c r="E48" s="10"/>
      <c r="F48" s="62"/>
      <c r="G48" s="10"/>
      <c r="H48" s="10"/>
    </row>
    <row r="49" spans="1:8" x14ac:dyDescent="0.35">
      <c r="A49" s="10"/>
      <c r="B49" s="7" t="s">
        <v>148</v>
      </c>
      <c r="C49" s="10"/>
      <c r="D49" s="10"/>
      <c r="E49" s="10"/>
      <c r="F49" s="10"/>
      <c r="G49" s="10"/>
      <c r="H49" s="10"/>
    </row>
    <row r="50" spans="1:8" x14ac:dyDescent="0.35">
      <c r="A50" s="10"/>
      <c r="B50" s="7" t="s">
        <v>38</v>
      </c>
      <c r="C50" s="10"/>
      <c r="D50" s="10"/>
      <c r="E50" s="10"/>
      <c r="F50" s="10"/>
      <c r="G50" s="10"/>
      <c r="H50" s="10"/>
    </row>
    <row r="51" spans="1:8" x14ac:dyDescent="0.35">
      <c r="A51" s="10"/>
    </row>
    <row r="52" spans="1:8" x14ac:dyDescent="0.35">
      <c r="A52" s="10"/>
      <c r="B52" s="11" t="s">
        <v>40</v>
      </c>
      <c r="C52" s="11"/>
      <c r="D52" s="12"/>
    </row>
    <row r="53" spans="1:8" x14ac:dyDescent="0.35">
      <c r="A53" s="10"/>
      <c r="B53" s="13" t="s">
        <v>41</v>
      </c>
      <c r="C53" s="11"/>
      <c r="D53" s="14" t="s">
        <v>42</v>
      </c>
    </row>
    <row r="54" spans="1:8" x14ac:dyDescent="0.35">
      <c r="A54" s="10"/>
      <c r="B54" s="13" t="s">
        <v>158</v>
      </c>
      <c r="C54" s="13"/>
      <c r="D54" s="12"/>
    </row>
    <row r="55" spans="1:8" x14ac:dyDescent="0.35">
      <c r="A55" s="10"/>
      <c r="B55" s="17" t="s">
        <v>46</v>
      </c>
      <c r="C55" s="16"/>
      <c r="D55" s="18">
        <v>11.8095</v>
      </c>
    </row>
    <row r="56" spans="1:8" x14ac:dyDescent="0.35">
      <c r="A56" s="10"/>
      <c r="B56" s="17" t="s">
        <v>43</v>
      </c>
      <c r="C56" s="16"/>
      <c r="D56" s="18">
        <v>18.3705</v>
      </c>
    </row>
    <row r="57" spans="1:8" x14ac:dyDescent="0.35">
      <c r="A57" s="10"/>
      <c r="B57" s="17" t="s">
        <v>47</v>
      </c>
      <c r="C57" s="16"/>
      <c r="D57" s="18">
        <v>11.741400000000001</v>
      </c>
    </row>
    <row r="58" spans="1:8" x14ac:dyDescent="0.35">
      <c r="A58" s="10"/>
      <c r="B58" s="17" t="s">
        <v>48</v>
      </c>
      <c r="C58" s="16"/>
      <c r="D58" s="18">
        <v>12.084899999999999</v>
      </c>
    </row>
    <row r="59" spans="1:8" x14ac:dyDescent="0.35">
      <c r="A59" s="10"/>
      <c r="B59" s="17" t="s">
        <v>45</v>
      </c>
      <c r="C59" s="16"/>
      <c r="D59" s="18">
        <v>11.726699999999999</v>
      </c>
    </row>
    <row r="60" spans="1:8" x14ac:dyDescent="0.35">
      <c r="A60" s="10"/>
      <c r="B60" s="17" t="s">
        <v>44</v>
      </c>
      <c r="C60" s="16"/>
      <c r="D60" s="18">
        <v>11.736700000000001</v>
      </c>
    </row>
    <row r="61" spans="1:8" x14ac:dyDescent="0.35">
      <c r="A61" s="10"/>
      <c r="B61" s="17" t="s">
        <v>50</v>
      </c>
      <c r="C61" s="16"/>
      <c r="D61" s="18">
        <v>11.4529</v>
      </c>
    </row>
    <row r="62" spans="1:8" x14ac:dyDescent="0.35">
      <c r="A62" s="10"/>
      <c r="B62" s="17" t="s">
        <v>52</v>
      </c>
      <c r="C62" s="16"/>
      <c r="D62" s="18">
        <v>11.510999999999999</v>
      </c>
    </row>
    <row r="63" spans="1:8" x14ac:dyDescent="0.35">
      <c r="A63" s="10"/>
      <c r="B63" s="17" t="s">
        <v>49</v>
      </c>
      <c r="C63" s="16"/>
      <c r="D63" s="18">
        <v>17.219799999999999</v>
      </c>
    </row>
    <row r="64" spans="1:8" x14ac:dyDescent="0.35">
      <c r="A64" s="10"/>
      <c r="B64" s="17" t="s">
        <v>53</v>
      </c>
      <c r="C64" s="16"/>
      <c r="D64" s="18">
        <v>11.469799999999999</v>
      </c>
    </row>
    <row r="65" spans="1:4" x14ac:dyDescent="0.35">
      <c r="A65" s="10"/>
      <c r="B65" s="17" t="s">
        <v>54</v>
      </c>
      <c r="C65" s="16"/>
      <c r="D65" s="18">
        <v>11.7418</v>
      </c>
    </row>
    <row r="66" spans="1:4" x14ac:dyDescent="0.35">
      <c r="A66" s="10"/>
      <c r="B66" s="17" t="s">
        <v>51</v>
      </c>
      <c r="C66" s="16"/>
      <c r="D66" s="18">
        <v>11.463100000000001</v>
      </c>
    </row>
    <row r="67" spans="1:4" x14ac:dyDescent="0.35">
      <c r="A67" s="10"/>
      <c r="B67" s="13" t="s">
        <v>159</v>
      </c>
      <c r="C67" s="13"/>
      <c r="D67" s="12"/>
    </row>
    <row r="68" spans="1:4" x14ac:dyDescent="0.35">
      <c r="A68" s="10"/>
      <c r="B68" s="17" t="s">
        <v>46</v>
      </c>
      <c r="C68" s="16"/>
      <c r="D68" s="18">
        <v>11.797599999999999</v>
      </c>
    </row>
    <row r="69" spans="1:4" x14ac:dyDescent="0.35">
      <c r="A69" s="10"/>
      <c r="B69" s="17" t="s">
        <v>43</v>
      </c>
      <c r="C69" s="16"/>
      <c r="D69" s="18">
        <v>18.4438</v>
      </c>
    </row>
    <row r="70" spans="1:4" x14ac:dyDescent="0.35">
      <c r="A70" s="10"/>
      <c r="B70" s="17" t="s">
        <v>47</v>
      </c>
      <c r="C70" s="16"/>
      <c r="D70" s="18">
        <v>11.7883</v>
      </c>
    </row>
    <row r="71" spans="1:4" x14ac:dyDescent="0.35">
      <c r="A71" s="10"/>
      <c r="B71" s="17" t="s">
        <v>48</v>
      </c>
      <c r="C71" s="16"/>
      <c r="D71" s="18">
        <v>12.133100000000001</v>
      </c>
    </row>
    <row r="72" spans="1:4" x14ac:dyDescent="0.35">
      <c r="A72" s="10"/>
      <c r="B72" s="17" t="s">
        <v>45</v>
      </c>
      <c r="C72" s="16"/>
      <c r="D72" s="18">
        <v>11.7303</v>
      </c>
    </row>
    <row r="73" spans="1:4" x14ac:dyDescent="0.35">
      <c r="A73" s="10"/>
      <c r="B73" s="17" t="s">
        <v>44</v>
      </c>
      <c r="C73" s="16"/>
      <c r="D73" s="18">
        <v>11.7326</v>
      </c>
    </row>
    <row r="74" spans="1:4" x14ac:dyDescent="0.35">
      <c r="A74" s="10"/>
      <c r="B74" s="17" t="s">
        <v>50</v>
      </c>
      <c r="C74" s="16"/>
      <c r="D74" s="18">
        <v>11.4495</v>
      </c>
    </row>
    <row r="75" spans="1:4" x14ac:dyDescent="0.35">
      <c r="A75" s="10"/>
      <c r="B75" s="17" t="s">
        <v>52</v>
      </c>
      <c r="C75" s="16"/>
      <c r="D75" s="18">
        <v>11.5016</v>
      </c>
    </row>
    <row r="76" spans="1:4" x14ac:dyDescent="0.35">
      <c r="A76" s="10"/>
      <c r="B76" s="17" t="s">
        <v>49</v>
      </c>
      <c r="C76" s="16"/>
      <c r="D76" s="18">
        <v>17.281700000000001</v>
      </c>
    </row>
    <row r="77" spans="1:4" x14ac:dyDescent="0.35">
      <c r="A77" s="10"/>
      <c r="B77" s="17" t="s">
        <v>53</v>
      </c>
      <c r="C77" s="16"/>
      <c r="D77" s="18">
        <v>11.511100000000001</v>
      </c>
    </row>
    <row r="78" spans="1:4" x14ac:dyDescent="0.35">
      <c r="A78" s="10"/>
      <c r="B78" s="17" t="s">
        <v>54</v>
      </c>
      <c r="C78" s="16"/>
      <c r="D78" s="18">
        <v>11.784000000000001</v>
      </c>
    </row>
    <row r="79" spans="1:4" x14ac:dyDescent="0.35">
      <c r="A79" s="10"/>
      <c r="B79" s="17" t="s">
        <v>51</v>
      </c>
      <c r="C79" s="16"/>
      <c r="D79" s="18">
        <v>11.4664</v>
      </c>
    </row>
    <row r="80" spans="1:4" x14ac:dyDescent="0.35">
      <c r="A80" s="10"/>
      <c r="B80" s="17"/>
      <c r="C80" s="16"/>
      <c r="D80" s="18"/>
    </row>
    <row r="81" spans="1:5" s="28" customFormat="1" x14ac:dyDescent="0.35">
      <c r="A81" s="48"/>
      <c r="B81" s="55" t="s">
        <v>160</v>
      </c>
      <c r="C81" s="55"/>
      <c r="D81" s="56"/>
      <c r="E81" s="56" t="s">
        <v>42</v>
      </c>
    </row>
    <row r="82" spans="1:5" s="28" customFormat="1" x14ac:dyDescent="0.35">
      <c r="A82" s="48"/>
      <c r="B82" s="182" t="s">
        <v>208</v>
      </c>
      <c r="C82" s="182"/>
      <c r="D82" s="56"/>
      <c r="E82" s="56" t="s">
        <v>42</v>
      </c>
    </row>
    <row r="83" spans="1:5" s="28" customFormat="1" x14ac:dyDescent="0.35">
      <c r="A83" s="48"/>
      <c r="B83" s="182" t="s">
        <v>209</v>
      </c>
      <c r="C83" s="182"/>
      <c r="D83" s="56"/>
      <c r="E83" s="56" t="s">
        <v>42</v>
      </c>
    </row>
    <row r="84" spans="1:5" s="28" customFormat="1" x14ac:dyDescent="0.35">
      <c r="A84" s="48"/>
      <c r="B84" s="182" t="s">
        <v>210</v>
      </c>
      <c r="C84" s="182"/>
      <c r="D84" s="56"/>
      <c r="E84" s="56" t="s">
        <v>42</v>
      </c>
    </row>
    <row r="85" spans="1:5" s="28" customFormat="1" x14ac:dyDescent="0.35">
      <c r="A85" s="48"/>
      <c r="B85" s="182" t="s">
        <v>211</v>
      </c>
      <c r="C85" s="182"/>
      <c r="D85" s="56"/>
      <c r="E85" s="56" t="s">
        <v>42</v>
      </c>
    </row>
    <row r="86" spans="1:5" s="28" customFormat="1" x14ac:dyDescent="0.35">
      <c r="A86" s="48"/>
      <c r="B86" s="182" t="s">
        <v>212</v>
      </c>
      <c r="C86" s="182"/>
      <c r="D86" s="56"/>
      <c r="E86" s="56" t="s">
        <v>42</v>
      </c>
    </row>
    <row r="87" spans="1:5" s="28" customFormat="1" x14ac:dyDescent="0.35">
      <c r="A87" s="48"/>
      <c r="B87" s="49"/>
      <c r="C87" s="49"/>
      <c r="D87" s="50"/>
    </row>
    <row r="88" spans="1:5" x14ac:dyDescent="0.35">
      <c r="A88" s="23"/>
      <c r="B88" s="13" t="s">
        <v>152</v>
      </c>
      <c r="C88" s="13"/>
      <c r="D88" s="15" t="s">
        <v>42</v>
      </c>
    </row>
    <row r="89" spans="1:5" x14ac:dyDescent="0.35">
      <c r="A89" s="25" t="s">
        <v>60</v>
      </c>
      <c r="B89" s="19" t="s">
        <v>55</v>
      </c>
      <c r="C89" s="19"/>
      <c r="D89" s="20" t="s">
        <v>206</v>
      </c>
    </row>
    <row r="90" spans="1:5" x14ac:dyDescent="0.35">
      <c r="A90" s="25" t="s">
        <v>62</v>
      </c>
      <c r="B90" s="11" t="s">
        <v>185</v>
      </c>
      <c r="C90" s="21"/>
      <c r="D90" s="22" t="s">
        <v>56</v>
      </c>
    </row>
    <row r="91" spans="1:5" x14ac:dyDescent="0.35">
      <c r="A91" s="25" t="s">
        <v>64</v>
      </c>
      <c r="B91" s="24" t="s">
        <v>57</v>
      </c>
      <c r="C91" s="21" t="s">
        <v>58</v>
      </c>
      <c r="D91" s="21" t="s">
        <v>59</v>
      </c>
    </row>
    <row r="92" spans="1:5" x14ac:dyDescent="0.35">
      <c r="A92" s="25" t="s">
        <v>66</v>
      </c>
      <c r="B92" s="19" t="s">
        <v>61</v>
      </c>
      <c r="C92" s="63">
        <v>5.9044350000000002E-2</v>
      </c>
      <c r="D92" s="64">
        <v>5.9044350000000002E-2</v>
      </c>
    </row>
    <row r="93" spans="1:5" x14ac:dyDescent="0.35">
      <c r="A93" s="25" t="s">
        <v>68</v>
      </c>
      <c r="B93" s="19" t="s">
        <v>63</v>
      </c>
      <c r="C93" s="65">
        <v>0</v>
      </c>
      <c r="D93" s="65">
        <v>0</v>
      </c>
    </row>
    <row r="94" spans="1:5" x14ac:dyDescent="0.35">
      <c r="A94" s="25" t="s">
        <v>70</v>
      </c>
      <c r="B94" s="19" t="s">
        <v>65</v>
      </c>
      <c r="C94" s="65">
        <v>0</v>
      </c>
      <c r="D94" s="65">
        <v>0</v>
      </c>
    </row>
    <row r="95" spans="1:5" x14ac:dyDescent="0.35">
      <c r="A95" s="25" t="s">
        <v>72</v>
      </c>
      <c r="B95" s="19" t="s">
        <v>67</v>
      </c>
      <c r="C95" s="63">
        <v>4.3105569999999996E-2</v>
      </c>
      <c r="D95" s="64">
        <v>4.3105569999999996E-2</v>
      </c>
    </row>
    <row r="96" spans="1:5" x14ac:dyDescent="0.35">
      <c r="A96" s="25" t="s">
        <v>74</v>
      </c>
      <c r="B96" s="19" t="s">
        <v>69</v>
      </c>
      <c r="C96" s="63">
        <v>5.0831300000000003E-2</v>
      </c>
      <c r="D96" s="64">
        <v>5.0831300000000003E-2</v>
      </c>
    </row>
    <row r="97" spans="1:6" x14ac:dyDescent="0.35">
      <c r="A97" s="25" t="s">
        <v>76</v>
      </c>
      <c r="B97" s="19" t="s">
        <v>71</v>
      </c>
      <c r="C97" s="63">
        <v>4.4503910000000001E-2</v>
      </c>
      <c r="D97" s="64">
        <v>4.4503910000000001E-2</v>
      </c>
    </row>
    <row r="98" spans="1:6" x14ac:dyDescent="0.35">
      <c r="A98" s="25" t="s">
        <v>78</v>
      </c>
      <c r="B98" s="19" t="s">
        <v>73</v>
      </c>
      <c r="C98" s="63">
        <v>5.0791879999999998E-2</v>
      </c>
      <c r="D98" s="64">
        <v>5.0791879999999998E-2</v>
      </c>
    </row>
    <row r="99" spans="1:6" x14ac:dyDescent="0.35">
      <c r="B99" s="19" t="s">
        <v>75</v>
      </c>
      <c r="C99" s="65">
        <v>0</v>
      </c>
      <c r="D99" s="65">
        <v>0</v>
      </c>
    </row>
    <row r="100" spans="1:6" x14ac:dyDescent="0.35">
      <c r="B100" s="19" t="s">
        <v>77</v>
      </c>
      <c r="C100" s="65">
        <v>0</v>
      </c>
      <c r="D100" s="65">
        <v>0</v>
      </c>
    </row>
    <row r="101" spans="1:6" x14ac:dyDescent="0.35">
      <c r="B101" s="19" t="s">
        <v>79</v>
      </c>
      <c r="C101" s="63">
        <v>3.7917529999999998E-2</v>
      </c>
      <c r="D101" s="64">
        <v>3.7917529999999998E-2</v>
      </c>
    </row>
    <row r="102" spans="1:6" x14ac:dyDescent="0.35">
      <c r="F102" s="28" t="s">
        <v>169</v>
      </c>
    </row>
    <row r="103" spans="1:6" x14ac:dyDescent="0.35">
      <c r="B103" s="28" t="s">
        <v>80</v>
      </c>
      <c r="F103" s="28" t="s">
        <v>81</v>
      </c>
    </row>
    <row r="117" spans="2:5" ht="15" thickBot="1" x14ac:dyDescent="0.4"/>
    <row r="118" spans="2:5" x14ac:dyDescent="0.35">
      <c r="B118" s="183" t="s">
        <v>137</v>
      </c>
      <c r="C118" s="183" t="s">
        <v>170</v>
      </c>
      <c r="D118" s="183" t="s">
        <v>171</v>
      </c>
      <c r="E118" s="183" t="s">
        <v>172</v>
      </c>
    </row>
    <row r="119" spans="2:5" ht="15" thickBot="1" x14ac:dyDescent="0.4">
      <c r="B119" s="189"/>
      <c r="C119" s="185"/>
      <c r="D119" s="185"/>
      <c r="E119" s="185"/>
    </row>
    <row r="120" spans="2:5" x14ac:dyDescent="0.35">
      <c r="B120" s="190" t="s">
        <v>173</v>
      </c>
      <c r="C120" s="191"/>
      <c r="D120" s="191" t="s">
        <v>174</v>
      </c>
      <c r="E120" s="183"/>
    </row>
    <row r="121" spans="2:5" x14ac:dyDescent="0.35">
      <c r="B121" s="184"/>
      <c r="C121" s="192"/>
      <c r="D121" s="192"/>
      <c r="E121" s="184"/>
    </row>
    <row r="122" spans="2:5" ht="15" thickBot="1" x14ac:dyDescent="0.4">
      <c r="B122" s="185"/>
      <c r="C122" s="193"/>
      <c r="D122" s="193"/>
      <c r="E122" s="185"/>
    </row>
    <row r="123" spans="2:5" x14ac:dyDescent="0.35">
      <c r="B123" s="183" t="s">
        <v>175</v>
      </c>
      <c r="C123" s="183"/>
      <c r="D123" s="183"/>
      <c r="E123" s="183"/>
    </row>
    <row r="124" spans="2:5" x14ac:dyDescent="0.35">
      <c r="B124" s="184"/>
      <c r="C124" s="184"/>
      <c r="D124" s="184"/>
      <c r="E124" s="184"/>
    </row>
    <row r="125" spans="2:5" ht="15" thickBot="1" x14ac:dyDescent="0.4">
      <c r="B125" s="185"/>
      <c r="C125" s="185"/>
      <c r="D125" s="185"/>
      <c r="E125" s="185"/>
    </row>
    <row r="126" spans="2:5" x14ac:dyDescent="0.35">
      <c r="B126" s="183" t="s">
        <v>176</v>
      </c>
      <c r="C126" s="186"/>
      <c r="D126" s="183"/>
      <c r="E126" s="183"/>
    </row>
    <row r="127" spans="2:5" x14ac:dyDescent="0.35">
      <c r="B127" s="184"/>
      <c r="C127" s="187"/>
      <c r="D127" s="184"/>
      <c r="E127" s="184"/>
    </row>
    <row r="128" spans="2:5" ht="15" thickBot="1" x14ac:dyDescent="0.4">
      <c r="B128" s="185"/>
      <c r="C128" s="188"/>
      <c r="D128" s="185"/>
      <c r="E128" s="185"/>
    </row>
  </sheetData>
  <mergeCells count="28">
    <mergeCell ref="A7:H7"/>
    <mergeCell ref="A8:H8"/>
    <mergeCell ref="A2:H2"/>
    <mergeCell ref="A3:H3"/>
    <mergeCell ref="A4:H4"/>
    <mergeCell ref="A5:H5"/>
    <mergeCell ref="A6:H6"/>
    <mergeCell ref="B118:B119"/>
    <mergeCell ref="C118:C119"/>
    <mergeCell ref="D118:D119"/>
    <mergeCell ref="E118:E119"/>
    <mergeCell ref="B120:B122"/>
    <mergeCell ref="C120:C122"/>
    <mergeCell ref="D120:D122"/>
    <mergeCell ref="E120:E122"/>
    <mergeCell ref="B123:B125"/>
    <mergeCell ref="C123:C125"/>
    <mergeCell ref="D123:D125"/>
    <mergeCell ref="E123:E125"/>
    <mergeCell ref="B126:B128"/>
    <mergeCell ref="C126:C128"/>
    <mergeCell ref="D126:D128"/>
    <mergeCell ref="E126:E128"/>
    <mergeCell ref="B82:C82"/>
    <mergeCell ref="B83:C83"/>
    <mergeCell ref="B84:C84"/>
    <mergeCell ref="B85:C85"/>
    <mergeCell ref="B86:C86"/>
  </mergeCells>
  <pageMargins left="0.7" right="0.7" top="0.75" bottom="0.75" header="0.3" footer="0.3"/>
  <pageSetup orientation="portrait" r:id="rId1"/>
  <headerFooter>
    <oddFooter xml:space="preserve">&amp;C_x000D_&amp;1#&amp;"Aptos"&amp;10&amp;K000000  For internal use only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H140"/>
  <sheetViews>
    <sheetView topLeftCell="A118" zoomScale="85" zoomScaleNormal="85" workbookViewId="0"/>
  </sheetViews>
  <sheetFormatPr defaultColWidth="8.6328125" defaultRowHeight="14.5" x14ac:dyDescent="0.35"/>
  <cols>
    <col min="1" max="1" width="9.453125" bestFit="1" customWidth="1"/>
    <col min="2" max="2" width="55.54296875" customWidth="1"/>
    <col min="3" max="4" width="25" customWidth="1"/>
    <col min="5" max="5" width="20" customWidth="1"/>
    <col min="6" max="6" width="25" customWidth="1"/>
    <col min="7" max="7" width="20" customWidth="1"/>
  </cols>
  <sheetData>
    <row r="1" spans="1:8" ht="15" thickBot="1" x14ac:dyDescent="0.4">
      <c r="A1" s="1" t="s">
        <v>82</v>
      </c>
    </row>
    <row r="2" spans="1:8" ht="23.25" customHeight="1" x14ac:dyDescent="0.5">
      <c r="A2" s="198" t="s">
        <v>0</v>
      </c>
      <c r="B2" s="199"/>
      <c r="C2" s="199"/>
      <c r="D2" s="199"/>
      <c r="E2" s="199"/>
      <c r="F2" s="199"/>
      <c r="G2" s="199"/>
      <c r="H2" s="199"/>
    </row>
    <row r="3" spans="1:8" ht="23.25" customHeight="1" x14ac:dyDescent="0.4">
      <c r="A3" s="200" t="s">
        <v>1</v>
      </c>
      <c r="B3" s="201"/>
      <c r="C3" s="201"/>
      <c r="D3" s="201"/>
      <c r="E3" s="201"/>
      <c r="F3" s="201"/>
      <c r="G3" s="201"/>
      <c r="H3" s="201"/>
    </row>
    <row r="4" spans="1:8" ht="23.25" customHeight="1" x14ac:dyDescent="0.35">
      <c r="A4" s="202" t="s">
        <v>2</v>
      </c>
      <c r="B4" s="203"/>
      <c r="C4" s="203"/>
      <c r="D4" s="203"/>
      <c r="E4" s="203"/>
      <c r="F4" s="203"/>
      <c r="G4" s="203"/>
      <c r="H4" s="203"/>
    </row>
    <row r="5" spans="1:8" ht="23.25" customHeight="1" x14ac:dyDescent="0.35">
      <c r="A5" s="202" t="s">
        <v>3</v>
      </c>
      <c r="B5" s="203"/>
      <c r="C5" s="203"/>
      <c r="D5" s="203"/>
      <c r="E5" s="203"/>
      <c r="F5" s="203"/>
      <c r="G5" s="203"/>
      <c r="H5" s="203"/>
    </row>
    <row r="6" spans="1:8" ht="23.25" customHeight="1" x14ac:dyDescent="0.5">
      <c r="A6" s="204" t="s">
        <v>207</v>
      </c>
      <c r="B6" s="205"/>
      <c r="C6" s="205"/>
      <c r="D6" s="205"/>
      <c r="E6" s="205"/>
      <c r="F6" s="205"/>
      <c r="G6" s="205"/>
      <c r="H6" s="205"/>
    </row>
    <row r="7" spans="1:8" ht="16.5" customHeight="1" x14ac:dyDescent="0.35">
      <c r="A7" s="208" t="s">
        <v>83</v>
      </c>
      <c r="B7" s="209"/>
      <c r="C7" s="209"/>
      <c r="D7" s="209"/>
      <c r="E7" s="209"/>
      <c r="F7" s="209"/>
      <c r="G7" s="209"/>
      <c r="H7" s="209"/>
    </row>
    <row r="8" spans="1:8" ht="16.5" customHeight="1" thickBot="1" x14ac:dyDescent="0.4">
      <c r="A8" s="210" t="s">
        <v>84</v>
      </c>
      <c r="B8" s="211"/>
      <c r="C8" s="211"/>
      <c r="D8" s="211"/>
      <c r="E8" s="211"/>
      <c r="F8" s="211"/>
      <c r="G8" s="211"/>
      <c r="H8" s="211"/>
    </row>
    <row r="9" spans="1:8" ht="28.25" customHeight="1" thickBot="1" x14ac:dyDescent="0.4">
      <c r="A9" s="2" t="s">
        <v>6</v>
      </c>
      <c r="B9" s="76" t="s">
        <v>7</v>
      </c>
      <c r="C9" s="77" t="s">
        <v>132</v>
      </c>
      <c r="D9" s="3" t="s">
        <v>146</v>
      </c>
      <c r="E9" s="3" t="s">
        <v>10</v>
      </c>
      <c r="F9" s="3" t="s">
        <v>133</v>
      </c>
      <c r="G9" s="3" t="s">
        <v>134</v>
      </c>
      <c r="H9" s="4" t="s">
        <v>135</v>
      </c>
    </row>
    <row r="10" spans="1:8" ht="13.25" customHeight="1" x14ac:dyDescent="0.35">
      <c r="A10" s="78" t="s">
        <v>190</v>
      </c>
      <c r="B10" s="87" t="s">
        <v>161</v>
      </c>
      <c r="C10" s="5" t="s">
        <v>163</v>
      </c>
      <c r="D10" s="5" t="s">
        <v>163</v>
      </c>
      <c r="E10" s="133" t="s">
        <v>163</v>
      </c>
      <c r="F10" s="133" t="s">
        <v>163</v>
      </c>
      <c r="G10" s="133" t="s">
        <v>163</v>
      </c>
      <c r="H10" s="88" t="s">
        <v>163</v>
      </c>
    </row>
    <row r="11" spans="1:8" ht="13.25" customHeight="1" x14ac:dyDescent="0.35">
      <c r="A11" s="78" t="s">
        <v>14</v>
      </c>
      <c r="B11" s="80" t="s">
        <v>166</v>
      </c>
      <c r="C11" s="5" t="s">
        <v>163</v>
      </c>
      <c r="D11" s="5" t="s">
        <v>163</v>
      </c>
      <c r="E11" s="133" t="s">
        <v>163</v>
      </c>
      <c r="F11" s="133" t="s">
        <v>163</v>
      </c>
      <c r="G11" s="133" t="s">
        <v>163</v>
      </c>
      <c r="H11" s="88" t="s">
        <v>163</v>
      </c>
    </row>
    <row r="12" spans="1:8" ht="13.25" customHeight="1" x14ac:dyDescent="0.35">
      <c r="A12" s="78" t="s">
        <v>21</v>
      </c>
      <c r="B12" s="80" t="s">
        <v>165</v>
      </c>
      <c r="C12" s="5" t="s">
        <v>163</v>
      </c>
      <c r="D12" s="5" t="s">
        <v>163</v>
      </c>
      <c r="E12" s="133" t="s">
        <v>163</v>
      </c>
      <c r="F12" s="133" t="s">
        <v>163</v>
      </c>
      <c r="G12" s="133" t="s">
        <v>163</v>
      </c>
      <c r="H12" s="88" t="s">
        <v>163</v>
      </c>
    </row>
    <row r="13" spans="1:8" ht="13.25" customHeight="1" x14ac:dyDescent="0.35">
      <c r="A13" s="78" t="s">
        <v>29</v>
      </c>
      <c r="B13" s="80" t="s">
        <v>164</v>
      </c>
      <c r="C13" s="5" t="s">
        <v>163</v>
      </c>
      <c r="D13" s="5" t="s">
        <v>163</v>
      </c>
      <c r="E13" s="133" t="s">
        <v>163</v>
      </c>
      <c r="F13" s="133" t="s">
        <v>163</v>
      </c>
      <c r="G13" s="133" t="s">
        <v>163</v>
      </c>
      <c r="H13" s="88" t="s">
        <v>163</v>
      </c>
    </row>
    <row r="14" spans="1:8" ht="13.25" customHeight="1" x14ac:dyDescent="0.35">
      <c r="A14" s="78" t="s">
        <v>191</v>
      </c>
      <c r="B14" s="81" t="s">
        <v>13</v>
      </c>
      <c r="C14" s="5"/>
      <c r="D14" s="5"/>
      <c r="E14" s="5"/>
      <c r="F14" s="5"/>
      <c r="G14" s="5"/>
      <c r="H14" s="88"/>
    </row>
    <row r="15" spans="1:8" ht="13.25" customHeight="1" x14ac:dyDescent="0.35">
      <c r="A15" s="78" t="s">
        <v>14</v>
      </c>
      <c r="B15" s="81" t="s">
        <v>22</v>
      </c>
      <c r="C15" s="5"/>
      <c r="D15" s="5"/>
      <c r="E15" s="5"/>
      <c r="F15" s="8"/>
      <c r="G15" s="99"/>
      <c r="H15" s="148"/>
    </row>
    <row r="16" spans="1:8" ht="13.25" customHeight="1" x14ac:dyDescent="0.35">
      <c r="A16" s="91">
        <v>1</v>
      </c>
      <c r="B16" s="146" t="s">
        <v>202</v>
      </c>
      <c r="C16" s="57" t="s">
        <v>194</v>
      </c>
      <c r="D16" s="5" t="s">
        <v>23</v>
      </c>
      <c r="E16" s="58">
        <v>5000000</v>
      </c>
      <c r="F16" s="59">
        <v>4949.59</v>
      </c>
      <c r="G16" s="66">
        <v>5.21E-2</v>
      </c>
      <c r="H16" s="147">
        <v>6.7599000000000006E-2</v>
      </c>
    </row>
    <row r="17" spans="1:8" ht="13.25" customHeight="1" x14ac:dyDescent="0.35">
      <c r="A17" s="91">
        <f>A16+1</f>
        <v>2</v>
      </c>
      <c r="B17" s="146" t="s">
        <v>220</v>
      </c>
      <c r="C17" s="57" t="s">
        <v>195</v>
      </c>
      <c r="D17" s="5" t="s">
        <v>85</v>
      </c>
      <c r="E17" s="58">
        <v>5000000</v>
      </c>
      <c r="F17" s="59">
        <v>4949.29</v>
      </c>
      <c r="G17" s="66">
        <v>5.21E-2</v>
      </c>
      <c r="H17" s="147">
        <v>6.8000000000000005E-2</v>
      </c>
    </row>
    <row r="18" spans="1:8" ht="13.25" customHeight="1" x14ac:dyDescent="0.35">
      <c r="A18" s="91">
        <f>A17+1</f>
        <v>3</v>
      </c>
      <c r="B18" s="146" t="s">
        <v>221</v>
      </c>
      <c r="C18" s="57" t="s">
        <v>196</v>
      </c>
      <c r="D18" s="5" t="s">
        <v>23</v>
      </c>
      <c r="E18" s="58">
        <v>5000000</v>
      </c>
      <c r="F18" s="59">
        <v>4948.3</v>
      </c>
      <c r="G18" s="66">
        <v>5.21E-2</v>
      </c>
      <c r="H18" s="147">
        <v>6.8099000000000007E-2</v>
      </c>
    </row>
    <row r="19" spans="1:8" ht="13.25" customHeight="1" x14ac:dyDescent="0.35">
      <c r="A19" s="91">
        <f t="shared" ref="A19:A21" si="0">A18+1</f>
        <v>4</v>
      </c>
      <c r="B19" s="146" t="s">
        <v>222</v>
      </c>
      <c r="C19" s="57" t="s">
        <v>187</v>
      </c>
      <c r="D19" s="5" t="s">
        <v>85</v>
      </c>
      <c r="E19" s="58">
        <v>5000000</v>
      </c>
      <c r="F19" s="59">
        <v>4948.04</v>
      </c>
      <c r="G19" s="66">
        <v>5.21E-2</v>
      </c>
      <c r="H19" s="147">
        <v>6.7251000000000005E-2</v>
      </c>
    </row>
    <row r="20" spans="1:8" ht="13.25" customHeight="1" x14ac:dyDescent="0.35">
      <c r="A20" s="91">
        <f t="shared" si="0"/>
        <v>5</v>
      </c>
      <c r="B20" s="146" t="s">
        <v>223</v>
      </c>
      <c r="C20" s="57" t="s">
        <v>188</v>
      </c>
      <c r="D20" s="5" t="s">
        <v>23</v>
      </c>
      <c r="E20" s="58">
        <v>5000000</v>
      </c>
      <c r="F20" s="59">
        <v>4946.9399999999996</v>
      </c>
      <c r="G20" s="66">
        <v>5.1999999999999998E-2</v>
      </c>
      <c r="H20" s="147">
        <v>6.7500000000000004E-2</v>
      </c>
    </row>
    <row r="21" spans="1:8" ht="13.25" customHeight="1" x14ac:dyDescent="0.35">
      <c r="A21" s="91">
        <f t="shared" si="0"/>
        <v>6</v>
      </c>
      <c r="B21" s="146" t="s">
        <v>224</v>
      </c>
      <c r="C21" s="57" t="s">
        <v>214</v>
      </c>
      <c r="D21" s="5" t="s">
        <v>23</v>
      </c>
      <c r="E21" s="58">
        <v>5000000</v>
      </c>
      <c r="F21" s="59">
        <v>4931.01</v>
      </c>
      <c r="G21" s="66">
        <v>5.1900000000000002E-2</v>
      </c>
      <c r="H21" s="147">
        <v>6.7200999999999997E-2</v>
      </c>
    </row>
    <row r="22" spans="1:8" ht="13.25" customHeight="1" x14ac:dyDescent="0.35">
      <c r="A22" s="91">
        <v>7</v>
      </c>
      <c r="B22" s="146" t="s">
        <v>225</v>
      </c>
      <c r="C22" s="57" t="s">
        <v>215</v>
      </c>
      <c r="D22" s="5" t="s">
        <v>23</v>
      </c>
      <c r="E22" s="58">
        <v>5000000</v>
      </c>
      <c r="F22" s="59">
        <v>4930.28</v>
      </c>
      <c r="G22" s="66">
        <v>5.1900000000000002E-2</v>
      </c>
      <c r="H22" s="147">
        <v>6.7032999999999995E-2</v>
      </c>
    </row>
    <row r="23" spans="1:8" ht="13.25" customHeight="1" x14ac:dyDescent="0.35">
      <c r="A23" s="91">
        <v>8</v>
      </c>
      <c r="B23" s="146" t="s">
        <v>226</v>
      </c>
      <c r="C23" s="57" t="s">
        <v>25</v>
      </c>
      <c r="D23" s="5" t="s">
        <v>26</v>
      </c>
      <c r="E23" s="58">
        <v>2500000</v>
      </c>
      <c r="F23" s="59">
        <v>2496.23</v>
      </c>
      <c r="G23" s="66">
        <v>2.63E-2</v>
      </c>
      <c r="H23" s="147">
        <v>6.1209E-2</v>
      </c>
    </row>
    <row r="24" spans="1:8" ht="13.25" customHeight="1" x14ac:dyDescent="0.35">
      <c r="A24" s="91">
        <v>9</v>
      </c>
      <c r="B24" s="146" t="s">
        <v>227</v>
      </c>
      <c r="C24" s="57" t="s">
        <v>197</v>
      </c>
      <c r="D24" s="5" t="s">
        <v>26</v>
      </c>
      <c r="E24" s="58">
        <v>2500000</v>
      </c>
      <c r="F24" s="59">
        <v>2468.65</v>
      </c>
      <c r="G24" s="66">
        <v>2.5999999999999999E-2</v>
      </c>
      <c r="H24" s="147">
        <v>6.7184999999999995E-2</v>
      </c>
    </row>
    <row r="25" spans="1:8" s="28" customFormat="1" ht="13.25" customHeight="1" x14ac:dyDescent="0.35">
      <c r="A25" s="91"/>
      <c r="B25" s="95" t="s">
        <v>20</v>
      </c>
      <c r="C25" s="96"/>
      <c r="D25" s="96"/>
      <c r="E25" s="96"/>
      <c r="F25" s="163">
        <v>39568.33</v>
      </c>
      <c r="G25" s="166">
        <v>0.41649999999999998</v>
      </c>
      <c r="H25" s="162"/>
    </row>
    <row r="26" spans="1:8" ht="13.25" customHeight="1" x14ac:dyDescent="0.35">
      <c r="A26" s="78" t="s">
        <v>21</v>
      </c>
      <c r="B26" s="81" t="s">
        <v>30</v>
      </c>
      <c r="C26" s="57"/>
      <c r="D26" s="5"/>
      <c r="E26" s="58"/>
      <c r="F26" s="59"/>
      <c r="G26" s="66"/>
      <c r="H26" s="69"/>
    </row>
    <row r="27" spans="1:8" ht="13.25" customHeight="1" x14ac:dyDescent="0.35">
      <c r="A27" s="91">
        <v>1</v>
      </c>
      <c r="B27" s="146" t="s">
        <v>228</v>
      </c>
      <c r="C27" s="57" t="s">
        <v>198</v>
      </c>
      <c r="D27" s="5" t="s">
        <v>23</v>
      </c>
      <c r="E27" s="58">
        <v>5000000</v>
      </c>
      <c r="F27" s="59">
        <v>4994.05</v>
      </c>
      <c r="G27" s="66">
        <v>5.2499999999999998E-2</v>
      </c>
      <c r="H27" s="147">
        <v>6.2202E-2</v>
      </c>
    </row>
    <row r="28" spans="1:8" ht="13.25" customHeight="1" x14ac:dyDescent="0.35">
      <c r="A28" s="91">
        <v>2</v>
      </c>
      <c r="B28" s="146" t="s">
        <v>229</v>
      </c>
      <c r="C28" s="57" t="s">
        <v>182</v>
      </c>
      <c r="D28" s="5" t="s">
        <v>23</v>
      </c>
      <c r="E28" s="58">
        <v>5000000</v>
      </c>
      <c r="F28" s="59">
        <v>4968.28</v>
      </c>
      <c r="G28" s="66">
        <v>5.2299999999999999E-2</v>
      </c>
      <c r="H28" s="147">
        <v>6.855E-2</v>
      </c>
    </row>
    <row r="29" spans="1:8" ht="13.25" customHeight="1" x14ac:dyDescent="0.35">
      <c r="A29" s="91">
        <v>3</v>
      </c>
      <c r="B29" s="146" t="s">
        <v>230</v>
      </c>
      <c r="C29" s="57" t="s">
        <v>183</v>
      </c>
      <c r="D29" s="5" t="s">
        <v>23</v>
      </c>
      <c r="E29" s="58">
        <v>5000000</v>
      </c>
      <c r="F29" s="59">
        <v>4968.07</v>
      </c>
      <c r="G29" s="66">
        <v>5.2299999999999999E-2</v>
      </c>
      <c r="H29" s="147">
        <v>6.9001999999999994E-2</v>
      </c>
    </row>
    <row r="30" spans="1:8" ht="13.25" customHeight="1" x14ac:dyDescent="0.35">
      <c r="A30" s="91">
        <v>4</v>
      </c>
      <c r="B30" s="146" t="s">
        <v>231</v>
      </c>
      <c r="C30" s="57" t="s">
        <v>199</v>
      </c>
      <c r="D30" s="5" t="s">
        <v>26</v>
      </c>
      <c r="E30" s="58">
        <v>5000000</v>
      </c>
      <c r="F30" s="59">
        <v>4946.2700000000004</v>
      </c>
      <c r="G30" s="66">
        <v>5.1999999999999998E-2</v>
      </c>
      <c r="H30" s="147">
        <v>6.7201999999999998E-2</v>
      </c>
    </row>
    <row r="31" spans="1:8" ht="13.25" customHeight="1" x14ac:dyDescent="0.35">
      <c r="A31" s="91">
        <v>5</v>
      </c>
      <c r="B31" s="146" t="s">
        <v>232</v>
      </c>
      <c r="C31" s="57" t="s">
        <v>189</v>
      </c>
      <c r="D31" s="5" t="s">
        <v>26</v>
      </c>
      <c r="E31" s="58">
        <v>5000000</v>
      </c>
      <c r="F31" s="59">
        <v>4944.87</v>
      </c>
      <c r="G31" s="66">
        <v>5.1999999999999998E-2</v>
      </c>
      <c r="H31" s="147">
        <v>7.1399000000000004E-2</v>
      </c>
    </row>
    <row r="32" spans="1:8" ht="13.25" customHeight="1" x14ac:dyDescent="0.35">
      <c r="A32" s="91">
        <v>6</v>
      </c>
      <c r="B32" s="146" t="s">
        <v>233</v>
      </c>
      <c r="C32" s="57" t="s">
        <v>216</v>
      </c>
      <c r="D32" s="5" t="s">
        <v>23</v>
      </c>
      <c r="E32" s="58">
        <v>5000000</v>
      </c>
      <c r="F32" s="59">
        <v>4927.43</v>
      </c>
      <c r="G32" s="66">
        <v>5.1799999999999999E-2</v>
      </c>
      <c r="H32" s="147">
        <v>6.8047999999999997E-2</v>
      </c>
    </row>
    <row r="33" spans="1:8" ht="13.25" customHeight="1" x14ac:dyDescent="0.35">
      <c r="A33" s="78"/>
      <c r="B33" s="161" t="s">
        <v>20</v>
      </c>
      <c r="C33" s="5"/>
      <c r="D33" s="5"/>
      <c r="E33" s="5"/>
      <c r="F33" s="60">
        <v>29748.97</v>
      </c>
      <c r="G33" s="67">
        <v>0.31290000000000001</v>
      </c>
      <c r="H33" s="162"/>
    </row>
    <row r="34" spans="1:8" ht="13.25" customHeight="1" x14ac:dyDescent="0.35">
      <c r="A34" s="78" t="s">
        <v>29</v>
      </c>
      <c r="B34" s="40" t="s">
        <v>147</v>
      </c>
      <c r="C34" s="41"/>
      <c r="D34" s="41"/>
      <c r="E34" s="41"/>
      <c r="F34" s="46"/>
      <c r="G34" s="47"/>
      <c r="H34" s="68"/>
    </row>
    <row r="35" spans="1:8" ht="13.25" customHeight="1" x14ac:dyDescent="0.35">
      <c r="A35" s="91">
        <v>1</v>
      </c>
      <c r="B35" s="146" t="s">
        <v>142</v>
      </c>
      <c r="C35" s="57" t="s">
        <v>143</v>
      </c>
      <c r="D35" s="5" t="s">
        <v>17</v>
      </c>
      <c r="E35" s="58">
        <v>10000000</v>
      </c>
      <c r="F35" s="59">
        <v>9968.2800000000007</v>
      </c>
      <c r="G35" s="66">
        <v>0.10489999999999999</v>
      </c>
      <c r="H35" s="147">
        <v>5.0500000000000003E-2</v>
      </c>
    </row>
    <row r="36" spans="1:8" ht="13.25" customHeight="1" x14ac:dyDescent="0.35">
      <c r="A36" s="91">
        <v>2</v>
      </c>
      <c r="B36" s="146" t="s">
        <v>217</v>
      </c>
      <c r="C36" s="57" t="s">
        <v>218</v>
      </c>
      <c r="D36" s="5" t="s">
        <v>17</v>
      </c>
      <c r="E36" s="58">
        <v>10000000</v>
      </c>
      <c r="F36" s="59">
        <v>9878.39</v>
      </c>
      <c r="G36" s="66">
        <v>0.10390000000000001</v>
      </c>
      <c r="H36" s="147">
        <v>5.2250999999999999E-2</v>
      </c>
    </row>
    <row r="37" spans="1:8" ht="13.25" customHeight="1" x14ac:dyDescent="0.35">
      <c r="A37" s="78"/>
      <c r="B37" s="161" t="s">
        <v>20</v>
      </c>
      <c r="C37" s="5"/>
      <c r="D37" s="5"/>
      <c r="E37" s="5"/>
      <c r="F37" s="60">
        <v>19846.669999999998</v>
      </c>
      <c r="G37" s="67">
        <v>0.20880000000000001</v>
      </c>
      <c r="H37" s="162"/>
    </row>
    <row r="38" spans="1:8" ht="13.25" customHeight="1" x14ac:dyDescent="0.35">
      <c r="A38" s="78"/>
      <c r="B38" s="98" t="s">
        <v>33</v>
      </c>
      <c r="C38" s="99"/>
      <c r="D38" s="99"/>
      <c r="E38" s="99"/>
      <c r="F38" s="100"/>
      <c r="G38" s="101"/>
      <c r="H38" s="102"/>
    </row>
    <row r="39" spans="1:8" ht="13.25" customHeight="1" x14ac:dyDescent="0.35">
      <c r="A39" s="78"/>
      <c r="B39" s="81" t="s">
        <v>59</v>
      </c>
      <c r="C39" s="5"/>
      <c r="D39" s="5"/>
      <c r="E39" s="58"/>
      <c r="F39" s="59"/>
      <c r="G39" s="66"/>
      <c r="H39" s="69"/>
    </row>
    <row r="40" spans="1:8" ht="13.25" customHeight="1" x14ac:dyDescent="0.35">
      <c r="A40" s="78" t="s">
        <v>34</v>
      </c>
      <c r="B40" s="81" t="s">
        <v>144</v>
      </c>
      <c r="C40" s="5"/>
      <c r="D40" s="5"/>
      <c r="E40" s="58"/>
      <c r="F40" s="59"/>
      <c r="G40" s="66"/>
      <c r="H40" s="69"/>
    </row>
    <row r="41" spans="1:8" ht="13.25" customHeight="1" x14ac:dyDescent="0.35">
      <c r="A41" s="91">
        <v>1</v>
      </c>
      <c r="B41" s="146" t="s">
        <v>193</v>
      </c>
      <c r="C41" s="57" t="s">
        <v>145</v>
      </c>
      <c r="D41" s="5"/>
      <c r="E41" s="58">
        <v>2819.0940000000001</v>
      </c>
      <c r="F41" s="59">
        <v>333.49</v>
      </c>
      <c r="G41" s="66">
        <v>3.5000000000000001E-3</v>
      </c>
      <c r="H41" s="69"/>
    </row>
    <row r="42" spans="1:8" ht="13.25" customHeight="1" x14ac:dyDescent="0.35">
      <c r="A42" s="78"/>
      <c r="B42" s="161" t="s">
        <v>20</v>
      </c>
      <c r="C42" s="5"/>
      <c r="D42" s="5"/>
      <c r="E42" s="5"/>
      <c r="F42" s="60">
        <v>333.49</v>
      </c>
      <c r="G42" s="67">
        <v>3.5000000000000001E-3</v>
      </c>
      <c r="H42" s="70"/>
    </row>
    <row r="43" spans="1:8" ht="13.25" customHeight="1" x14ac:dyDescent="0.35">
      <c r="A43" s="78"/>
      <c r="B43" s="104" t="s">
        <v>33</v>
      </c>
      <c r="C43" s="103"/>
      <c r="D43" s="105"/>
      <c r="E43" s="74"/>
      <c r="F43" s="60">
        <v>333.49</v>
      </c>
      <c r="G43" s="67">
        <v>3.5000000000000001E-3</v>
      </c>
      <c r="H43" s="72"/>
    </row>
    <row r="44" spans="1:8" ht="13.25" customHeight="1" x14ac:dyDescent="0.35">
      <c r="A44" s="78" t="s">
        <v>153</v>
      </c>
      <c r="B44" s="81" t="s">
        <v>136</v>
      </c>
      <c r="C44" s="5"/>
      <c r="D44" s="5"/>
      <c r="E44" s="5"/>
      <c r="F44" s="10"/>
      <c r="G44" s="38"/>
      <c r="H44" s="73"/>
    </row>
    <row r="45" spans="1:8" ht="13.25" customHeight="1" x14ac:dyDescent="0.35">
      <c r="A45" s="91">
        <v>1</v>
      </c>
      <c r="B45" s="146" t="s">
        <v>234</v>
      </c>
      <c r="C45" s="57"/>
      <c r="D45" s="5"/>
      <c r="E45" s="58"/>
      <c r="F45" s="59">
        <v>5504</v>
      </c>
      <c r="G45" s="66">
        <v>5.79E-2</v>
      </c>
      <c r="H45" s="147">
        <v>5.2545224927325579E-2</v>
      </c>
    </row>
    <row r="46" spans="1:8" ht="13.25" customHeight="1" x14ac:dyDescent="0.35">
      <c r="A46" s="78"/>
      <c r="B46" s="161" t="s">
        <v>20</v>
      </c>
      <c r="C46" s="5"/>
      <c r="D46" s="5"/>
      <c r="E46" s="5"/>
      <c r="F46" s="60">
        <v>5504</v>
      </c>
      <c r="G46" s="67">
        <v>5.79E-2</v>
      </c>
      <c r="H46" s="162"/>
    </row>
    <row r="47" spans="1:8" ht="13.25" customHeight="1" x14ac:dyDescent="0.35">
      <c r="A47" s="78"/>
      <c r="B47" s="82" t="s">
        <v>33</v>
      </c>
      <c r="C47" s="53"/>
      <c r="D47" s="54"/>
      <c r="E47" s="53"/>
      <c r="F47" s="39">
        <f>F25+F33+F37+F42+F46</f>
        <v>95001.46</v>
      </c>
      <c r="G47" s="167">
        <v>0.99960000000000004</v>
      </c>
      <c r="H47" s="149"/>
    </row>
    <row r="48" spans="1:8" ht="13.25" customHeight="1" x14ac:dyDescent="0.35">
      <c r="A48" s="78"/>
      <c r="B48" s="83" t="s">
        <v>35</v>
      </c>
      <c r="C48" s="5"/>
      <c r="D48" s="6"/>
      <c r="E48" s="5"/>
      <c r="F48" s="60">
        <v>54.67</v>
      </c>
      <c r="G48" s="67">
        <v>4.0000000000000002E-4</v>
      </c>
      <c r="H48" s="149"/>
    </row>
    <row r="49" spans="1:8" ht="13.25" customHeight="1" thickBot="1" x14ac:dyDescent="0.4">
      <c r="A49" s="79"/>
      <c r="B49" s="84" t="s">
        <v>36</v>
      </c>
      <c r="C49" s="45"/>
      <c r="D49" s="45"/>
      <c r="E49" s="45"/>
      <c r="F49" s="157">
        <f>F47+F48</f>
        <v>95056.13</v>
      </c>
      <c r="G49" s="168">
        <v>1</v>
      </c>
      <c r="H49" s="158"/>
    </row>
    <row r="50" spans="1:8" ht="13.25" customHeight="1" x14ac:dyDescent="0.35">
      <c r="A50" s="10"/>
      <c r="B50" s="8"/>
      <c r="C50" s="8"/>
      <c r="D50" s="8"/>
      <c r="E50" s="8"/>
      <c r="F50" s="10"/>
      <c r="G50" s="10"/>
    </row>
    <row r="51" spans="1:8" ht="13.25" customHeight="1" x14ac:dyDescent="0.35">
      <c r="A51" s="10"/>
      <c r="B51" s="8"/>
      <c r="C51" s="8"/>
      <c r="D51" s="8"/>
      <c r="E51" s="8"/>
      <c r="F51" s="10"/>
      <c r="G51" s="10"/>
    </row>
    <row r="52" spans="1:8" ht="13.25" customHeight="1" x14ac:dyDescent="0.35">
      <c r="A52" s="10"/>
      <c r="B52" s="7" t="s">
        <v>148</v>
      </c>
      <c r="C52" s="8"/>
      <c r="D52" s="8"/>
      <c r="E52" s="8"/>
      <c r="F52" s="10"/>
      <c r="G52" s="10"/>
    </row>
    <row r="53" spans="1:8" ht="13.25" customHeight="1" x14ac:dyDescent="0.35">
      <c r="A53" s="10"/>
      <c r="B53" s="7" t="s">
        <v>38</v>
      </c>
      <c r="C53" s="8"/>
      <c r="D53" s="8"/>
      <c r="E53" s="8"/>
      <c r="F53" s="10"/>
      <c r="G53" s="10"/>
    </row>
    <row r="54" spans="1:8" ht="13.25" customHeight="1" x14ac:dyDescent="0.35">
      <c r="A54" s="10"/>
      <c r="B54" s="8"/>
      <c r="C54" s="8"/>
      <c r="D54" s="8"/>
      <c r="E54" s="8"/>
      <c r="F54" s="10"/>
      <c r="G54" s="10"/>
    </row>
    <row r="55" spans="1:8" x14ac:dyDescent="0.35">
      <c r="B55" s="11" t="s">
        <v>40</v>
      </c>
      <c r="C55" s="11"/>
      <c r="D55" s="12"/>
      <c r="E55" s="12"/>
    </row>
    <row r="56" spans="1:8" x14ac:dyDescent="0.35">
      <c r="B56" s="13" t="s">
        <v>86</v>
      </c>
      <c r="C56" s="13"/>
      <c r="D56" s="12"/>
      <c r="E56" s="15" t="s">
        <v>42</v>
      </c>
    </row>
    <row r="57" spans="1:8" x14ac:dyDescent="0.35">
      <c r="B57" s="13" t="s">
        <v>87</v>
      </c>
      <c r="C57" s="13"/>
      <c r="D57" s="12"/>
      <c r="E57" s="15" t="s">
        <v>42</v>
      </c>
    </row>
    <row r="58" spans="1:8" x14ac:dyDescent="0.35">
      <c r="B58" s="13" t="s">
        <v>138</v>
      </c>
      <c r="C58" s="13"/>
      <c r="D58" s="12"/>
      <c r="E58" s="29"/>
    </row>
    <row r="59" spans="1:8" x14ac:dyDescent="0.35">
      <c r="B59" s="13" t="s">
        <v>88</v>
      </c>
      <c r="C59" s="13"/>
      <c r="D59" s="42">
        <v>14.685600000000001</v>
      </c>
      <c r="E59" s="18"/>
    </row>
    <row r="60" spans="1:8" x14ac:dyDescent="0.35">
      <c r="B60" s="13" t="s">
        <v>89</v>
      </c>
      <c r="C60" s="13"/>
      <c r="D60" s="42">
        <v>10.0077</v>
      </c>
      <c r="E60" s="18"/>
    </row>
    <row r="61" spans="1:8" x14ac:dyDescent="0.35">
      <c r="B61" s="13" t="s">
        <v>90</v>
      </c>
      <c r="C61" s="13"/>
      <c r="D61" s="42">
        <v>10.0206</v>
      </c>
      <c r="E61" s="18"/>
    </row>
    <row r="62" spans="1:8" x14ac:dyDescent="0.35">
      <c r="B62" s="13" t="s">
        <v>91</v>
      </c>
      <c r="C62" s="13"/>
      <c r="D62" s="42">
        <v>10.2286</v>
      </c>
      <c r="E62" s="18"/>
    </row>
    <row r="63" spans="1:8" x14ac:dyDescent="0.35">
      <c r="B63" s="13" t="s">
        <v>92</v>
      </c>
      <c r="C63" s="13"/>
      <c r="D63" s="42">
        <v>10.0092</v>
      </c>
      <c r="E63" s="18"/>
      <c r="F63" s="30"/>
    </row>
    <row r="64" spans="1:8" x14ac:dyDescent="0.35">
      <c r="B64" s="13" t="s">
        <v>93</v>
      </c>
      <c r="C64" s="13"/>
      <c r="D64" s="42">
        <v>10.0334</v>
      </c>
      <c r="E64" s="18"/>
      <c r="F64" s="30"/>
    </row>
    <row r="65" spans="2:5" x14ac:dyDescent="0.35">
      <c r="B65" s="13" t="s">
        <v>94</v>
      </c>
      <c r="C65" s="13"/>
      <c r="D65" s="42">
        <v>14.516400000000001</v>
      </c>
      <c r="E65" s="18"/>
    </row>
    <row r="66" spans="2:5" x14ac:dyDescent="0.35">
      <c r="B66" s="13" t="s">
        <v>95</v>
      </c>
      <c r="C66" s="13"/>
      <c r="D66" s="42">
        <v>10.0055</v>
      </c>
      <c r="E66" s="18"/>
    </row>
    <row r="67" spans="2:5" x14ac:dyDescent="0.35">
      <c r="B67" s="13" t="s">
        <v>96</v>
      </c>
      <c r="C67" s="13"/>
      <c r="D67" s="42">
        <v>10.02</v>
      </c>
      <c r="E67" s="18"/>
    </row>
    <row r="68" spans="2:5" x14ac:dyDescent="0.35">
      <c r="B68" s="13" t="s">
        <v>98</v>
      </c>
      <c r="C68" s="13"/>
      <c r="D68" s="42">
        <v>10.016299999999999</v>
      </c>
      <c r="E68" s="18"/>
    </row>
    <row r="69" spans="2:5" x14ac:dyDescent="0.35">
      <c r="B69" s="13" t="s">
        <v>99</v>
      </c>
      <c r="C69" s="13"/>
      <c r="D69" s="42">
        <v>10.033300000000001</v>
      </c>
      <c r="E69" s="18"/>
    </row>
    <row r="70" spans="2:5" x14ac:dyDescent="0.35">
      <c r="B70" s="13" t="s">
        <v>97</v>
      </c>
      <c r="C70" s="13"/>
      <c r="D70" s="42">
        <v>10.220599999999999</v>
      </c>
      <c r="E70" s="18"/>
    </row>
    <row r="71" spans="2:5" x14ac:dyDescent="0.35">
      <c r="B71" s="13" t="s">
        <v>149</v>
      </c>
      <c r="C71" s="13"/>
      <c r="D71" s="42">
        <v>10</v>
      </c>
      <c r="E71" s="18"/>
    </row>
    <row r="72" spans="2:5" x14ac:dyDescent="0.35">
      <c r="B72" s="13" t="s">
        <v>150</v>
      </c>
      <c r="C72" s="13"/>
      <c r="D72" s="42">
        <v>14.3033</v>
      </c>
      <c r="E72" s="18"/>
    </row>
    <row r="73" spans="2:5" x14ac:dyDescent="0.35">
      <c r="B73" s="13" t="s">
        <v>101</v>
      </c>
      <c r="C73" s="13"/>
      <c r="D73" s="42">
        <v>10</v>
      </c>
      <c r="E73" s="18"/>
    </row>
    <row r="74" spans="2:5" x14ac:dyDescent="0.35">
      <c r="B74" s="13" t="s">
        <v>100</v>
      </c>
      <c r="C74" s="13"/>
      <c r="D74" s="42">
        <v>14.018599999999999</v>
      </c>
      <c r="E74" s="18"/>
    </row>
    <row r="75" spans="2:5" x14ac:dyDescent="0.35">
      <c r="B75" s="13" t="s">
        <v>151</v>
      </c>
      <c r="C75" s="13"/>
      <c r="D75" s="12"/>
      <c r="E75" s="30"/>
    </row>
    <row r="76" spans="2:5" x14ac:dyDescent="0.35">
      <c r="B76" s="13" t="s">
        <v>88</v>
      </c>
      <c r="C76" s="13"/>
      <c r="D76" s="42">
        <v>14.734</v>
      </c>
      <c r="E76" s="18"/>
    </row>
    <row r="77" spans="2:5" x14ac:dyDescent="0.35">
      <c r="B77" s="13" t="s">
        <v>89</v>
      </c>
      <c r="C77" s="13"/>
      <c r="D77" s="42">
        <v>10.0077</v>
      </c>
      <c r="E77" s="18"/>
    </row>
    <row r="78" spans="2:5" x14ac:dyDescent="0.35">
      <c r="B78" s="13" t="s">
        <v>90</v>
      </c>
      <c r="C78" s="13"/>
      <c r="D78" s="42">
        <v>10.0122</v>
      </c>
      <c r="E78" s="18"/>
    </row>
    <row r="79" spans="2:5" x14ac:dyDescent="0.35">
      <c r="B79" s="13" t="s">
        <v>91</v>
      </c>
      <c r="C79" s="13"/>
      <c r="D79" s="42">
        <v>10.2623</v>
      </c>
      <c r="E79" s="18"/>
    </row>
    <row r="80" spans="2:5" x14ac:dyDescent="0.35">
      <c r="B80" s="13" t="s">
        <v>92</v>
      </c>
      <c r="C80" s="13"/>
      <c r="D80" s="42">
        <v>10.0124</v>
      </c>
      <c r="E80" s="18"/>
    </row>
    <row r="81" spans="2:6" x14ac:dyDescent="0.35">
      <c r="B81" s="13" t="s">
        <v>93</v>
      </c>
      <c r="C81" s="13"/>
      <c r="D81" s="42">
        <v>10.0665</v>
      </c>
      <c r="E81" s="18"/>
      <c r="F81" s="18"/>
    </row>
    <row r="82" spans="2:6" x14ac:dyDescent="0.35">
      <c r="B82" s="13" t="s">
        <v>94</v>
      </c>
      <c r="C82" s="13"/>
      <c r="D82" s="42">
        <v>14.562900000000001</v>
      </c>
      <c r="E82" s="18"/>
    </row>
    <row r="83" spans="2:6" x14ac:dyDescent="0.35">
      <c r="B83" s="13" t="s">
        <v>95</v>
      </c>
      <c r="C83" s="13"/>
      <c r="D83" s="42">
        <v>10.007</v>
      </c>
      <c r="E83" s="18"/>
    </row>
    <row r="84" spans="2:6" x14ac:dyDescent="0.35">
      <c r="B84" s="13" t="s">
        <v>96</v>
      </c>
      <c r="C84" s="13"/>
      <c r="D84" s="42">
        <v>10.012</v>
      </c>
      <c r="E84" s="18"/>
    </row>
    <row r="85" spans="2:6" x14ac:dyDescent="0.35">
      <c r="B85" s="13" t="s">
        <v>98</v>
      </c>
      <c r="C85" s="13"/>
      <c r="D85" s="42">
        <v>10.019399999999999</v>
      </c>
      <c r="E85" s="18"/>
    </row>
    <row r="86" spans="2:6" x14ac:dyDescent="0.35">
      <c r="B86" s="13" t="s">
        <v>99</v>
      </c>
      <c r="C86" s="13"/>
      <c r="D86" s="42">
        <v>10.0655</v>
      </c>
      <c r="E86" s="18"/>
    </row>
    <row r="87" spans="2:6" x14ac:dyDescent="0.35">
      <c r="B87" s="13" t="s">
        <v>97</v>
      </c>
      <c r="C87" s="13"/>
      <c r="D87" s="42">
        <v>10.253299999999999</v>
      </c>
      <c r="E87" s="18"/>
    </row>
    <row r="88" spans="2:6" x14ac:dyDescent="0.35">
      <c r="B88" s="13" t="s">
        <v>149</v>
      </c>
      <c r="C88" s="13"/>
      <c r="D88" s="42">
        <v>10</v>
      </c>
      <c r="E88" s="18"/>
    </row>
    <row r="89" spans="2:6" x14ac:dyDescent="0.35">
      <c r="B89" s="13" t="s">
        <v>150</v>
      </c>
      <c r="C89" s="13"/>
      <c r="D89" s="42">
        <v>14.3505</v>
      </c>
      <c r="E89" s="18"/>
    </row>
    <row r="90" spans="2:6" x14ac:dyDescent="0.35">
      <c r="B90" s="13" t="s">
        <v>101</v>
      </c>
      <c r="C90" s="13"/>
      <c r="D90" s="42">
        <v>10</v>
      </c>
      <c r="E90" s="18"/>
    </row>
    <row r="91" spans="2:6" x14ac:dyDescent="0.35">
      <c r="B91" s="13" t="s">
        <v>100</v>
      </c>
      <c r="C91" s="13"/>
      <c r="D91" s="42">
        <v>14.0649</v>
      </c>
      <c r="E91" s="18"/>
    </row>
    <row r="92" spans="2:6" x14ac:dyDescent="0.35">
      <c r="B92" s="13" t="s">
        <v>152</v>
      </c>
      <c r="C92" s="13"/>
      <c r="D92" s="12"/>
      <c r="E92" s="15" t="s">
        <v>42</v>
      </c>
    </row>
    <row r="93" spans="2:6" x14ac:dyDescent="0.35">
      <c r="B93" s="19" t="s">
        <v>55</v>
      </c>
      <c r="C93" s="13"/>
      <c r="D93" s="43" t="s">
        <v>219</v>
      </c>
      <c r="E93" s="20"/>
    </row>
    <row r="94" spans="2:6" x14ac:dyDescent="0.35">
      <c r="B94" s="11" t="s">
        <v>185</v>
      </c>
      <c r="C94" s="19"/>
      <c r="D94" s="22" t="s">
        <v>56</v>
      </c>
    </row>
    <row r="95" spans="2:6" x14ac:dyDescent="0.35">
      <c r="B95" s="24" t="s">
        <v>57</v>
      </c>
      <c r="C95" s="21" t="s">
        <v>58</v>
      </c>
      <c r="D95" s="21" t="s">
        <v>59</v>
      </c>
      <c r="E95" s="22"/>
    </row>
    <row r="96" spans="2:6" x14ac:dyDescent="0.35">
      <c r="B96" s="19" t="s">
        <v>69</v>
      </c>
      <c r="C96" s="63">
        <v>3.2890619999999995E-2</v>
      </c>
      <c r="D96" s="63">
        <v>3.2890619999999995E-2</v>
      </c>
      <c r="E96" s="26"/>
    </row>
    <row r="97" spans="1:6" x14ac:dyDescent="0.35">
      <c r="A97" s="31" t="s">
        <v>102</v>
      </c>
      <c r="B97" s="19" t="s">
        <v>106</v>
      </c>
      <c r="C97" s="63">
        <v>4.1390000000000003E-2</v>
      </c>
      <c r="D97" s="63">
        <v>4.1390000000000003E-2</v>
      </c>
      <c r="E97" s="26"/>
    </row>
    <row r="98" spans="1:6" x14ac:dyDescent="0.35">
      <c r="A98" s="31" t="s">
        <v>104</v>
      </c>
      <c r="B98" s="19" t="s">
        <v>103</v>
      </c>
      <c r="C98" s="44">
        <v>0</v>
      </c>
      <c r="D98" s="44">
        <v>0</v>
      </c>
      <c r="E98" s="26"/>
    </row>
    <row r="99" spans="1:6" x14ac:dyDescent="0.35">
      <c r="A99" s="31" t="s">
        <v>105</v>
      </c>
      <c r="B99" s="19" t="s">
        <v>108</v>
      </c>
      <c r="C99" s="44">
        <v>0</v>
      </c>
      <c r="D99" s="44">
        <v>0</v>
      </c>
      <c r="E99" s="26"/>
    </row>
    <row r="100" spans="1:6" x14ac:dyDescent="0.35">
      <c r="A100" s="31" t="s">
        <v>107</v>
      </c>
      <c r="B100" s="19" t="s">
        <v>110</v>
      </c>
      <c r="C100" s="63">
        <v>2.9710979999999998E-2</v>
      </c>
      <c r="D100" s="63">
        <v>2.9710979999999998E-2</v>
      </c>
      <c r="E100" s="26"/>
    </row>
    <row r="101" spans="1:6" x14ac:dyDescent="0.35">
      <c r="A101" s="31" t="s">
        <v>109</v>
      </c>
      <c r="B101" s="19" t="s">
        <v>112</v>
      </c>
      <c r="C101" s="63">
        <v>3.051421E-2</v>
      </c>
      <c r="D101" s="63">
        <v>3.051421E-2</v>
      </c>
      <c r="E101" s="26"/>
    </row>
    <row r="102" spans="1:6" x14ac:dyDescent="0.35">
      <c r="A102" s="31" t="s">
        <v>111</v>
      </c>
      <c r="B102" s="19" t="s">
        <v>114</v>
      </c>
      <c r="C102" s="63">
        <v>4.0090000000000001E-2</v>
      </c>
      <c r="D102" s="63">
        <v>4.0090000000000001E-2</v>
      </c>
      <c r="E102" s="26"/>
    </row>
    <row r="103" spans="1:6" x14ac:dyDescent="0.35">
      <c r="A103" s="31" t="s">
        <v>113</v>
      </c>
      <c r="B103" s="19" t="s">
        <v>116</v>
      </c>
      <c r="C103" s="63">
        <v>2.891206E-2</v>
      </c>
      <c r="D103" s="63">
        <v>2.891206E-2</v>
      </c>
      <c r="E103" s="26"/>
    </row>
    <row r="104" spans="1:6" x14ac:dyDescent="0.35">
      <c r="A104" s="31" t="s">
        <v>115</v>
      </c>
      <c r="B104" s="19" t="s">
        <v>118</v>
      </c>
      <c r="C104" s="44">
        <v>0</v>
      </c>
      <c r="D104" s="44">
        <v>0</v>
      </c>
      <c r="E104" s="26"/>
    </row>
    <row r="105" spans="1:6" x14ac:dyDescent="0.35">
      <c r="A105" s="31" t="s">
        <v>117</v>
      </c>
      <c r="B105" s="19" t="s">
        <v>119</v>
      </c>
      <c r="C105" s="44">
        <v>0</v>
      </c>
      <c r="D105" s="44">
        <v>0</v>
      </c>
      <c r="E105" s="26"/>
    </row>
    <row r="106" spans="1:6" x14ac:dyDescent="0.35">
      <c r="A106" s="31"/>
      <c r="B106" s="19"/>
      <c r="C106" s="44"/>
      <c r="D106" s="44"/>
      <c r="E106" s="26"/>
    </row>
    <row r="107" spans="1:6" x14ac:dyDescent="0.35">
      <c r="A107" s="31"/>
      <c r="B107" s="55" t="s">
        <v>180</v>
      </c>
      <c r="C107" s="55"/>
      <c r="D107" s="56"/>
      <c r="E107" s="56" t="s">
        <v>42</v>
      </c>
    </row>
    <row r="108" spans="1:6" x14ac:dyDescent="0.35">
      <c r="A108" s="31"/>
      <c r="B108" s="206" t="s">
        <v>208</v>
      </c>
      <c r="C108" s="207"/>
      <c r="D108" s="56"/>
      <c r="E108" s="56" t="s">
        <v>42</v>
      </c>
    </row>
    <row r="109" spans="1:6" x14ac:dyDescent="0.35">
      <c r="A109" s="31"/>
      <c r="B109" s="206" t="s">
        <v>209</v>
      </c>
      <c r="C109" s="207"/>
      <c r="D109" s="56"/>
      <c r="E109" s="56" t="s">
        <v>42</v>
      </c>
    </row>
    <row r="110" spans="1:6" x14ac:dyDescent="0.35">
      <c r="A110" s="31"/>
      <c r="B110" s="206" t="s">
        <v>210</v>
      </c>
      <c r="C110" s="207"/>
      <c r="D110" s="56"/>
      <c r="E110" s="56" t="s">
        <v>42</v>
      </c>
    </row>
    <row r="111" spans="1:6" x14ac:dyDescent="0.35">
      <c r="A111" s="31"/>
      <c r="B111" s="206" t="s">
        <v>211</v>
      </c>
      <c r="C111" s="207"/>
      <c r="D111" s="56"/>
      <c r="E111" s="56" t="s">
        <v>42</v>
      </c>
    </row>
    <row r="112" spans="1:6" x14ac:dyDescent="0.35">
      <c r="B112" s="206" t="s">
        <v>212</v>
      </c>
      <c r="C112" s="207"/>
      <c r="D112" s="56"/>
      <c r="E112" s="56" t="s">
        <v>42</v>
      </c>
      <c r="F112" s="28"/>
    </row>
    <row r="113" spans="2:6" x14ac:dyDescent="0.35">
      <c r="B113" s="28"/>
      <c r="F113" s="28"/>
    </row>
    <row r="114" spans="2:6" x14ac:dyDescent="0.35">
      <c r="F114" s="28" t="s">
        <v>120</v>
      </c>
    </row>
    <row r="115" spans="2:6" x14ac:dyDescent="0.35">
      <c r="B115" s="28" t="s">
        <v>80</v>
      </c>
      <c r="F115" s="28" t="s">
        <v>81</v>
      </c>
    </row>
    <row r="129" spans="2:5" ht="15" thickBot="1" x14ac:dyDescent="0.4"/>
    <row r="130" spans="2:5" x14ac:dyDescent="0.35">
      <c r="B130" s="183" t="s">
        <v>177</v>
      </c>
      <c r="C130" s="183" t="s">
        <v>170</v>
      </c>
      <c r="D130" s="183" t="s">
        <v>171</v>
      </c>
      <c r="E130" s="183" t="s">
        <v>172</v>
      </c>
    </row>
    <row r="131" spans="2:5" ht="15" thickBot="1" x14ac:dyDescent="0.4">
      <c r="B131" s="189"/>
      <c r="C131" s="185"/>
      <c r="D131" s="185"/>
      <c r="E131" s="185"/>
    </row>
    <row r="132" spans="2:5" x14ac:dyDescent="0.35">
      <c r="B132" s="190" t="s">
        <v>173</v>
      </c>
      <c r="C132" s="191" t="s">
        <v>178</v>
      </c>
      <c r="D132" s="191"/>
      <c r="E132" s="183"/>
    </row>
    <row r="133" spans="2:5" x14ac:dyDescent="0.35">
      <c r="B133" s="184"/>
      <c r="C133" s="192"/>
      <c r="D133" s="192"/>
      <c r="E133" s="184"/>
    </row>
    <row r="134" spans="2:5" ht="15" thickBot="1" x14ac:dyDescent="0.4">
      <c r="B134" s="185"/>
      <c r="C134" s="193"/>
      <c r="D134" s="193"/>
      <c r="E134" s="185"/>
    </row>
    <row r="135" spans="2:5" x14ac:dyDescent="0.35">
      <c r="B135" s="183" t="s">
        <v>175</v>
      </c>
      <c r="C135" s="183"/>
      <c r="D135" s="183"/>
      <c r="E135" s="183"/>
    </row>
    <row r="136" spans="2:5" x14ac:dyDescent="0.35">
      <c r="B136" s="184"/>
      <c r="C136" s="184"/>
      <c r="D136" s="184"/>
      <c r="E136" s="184"/>
    </row>
    <row r="137" spans="2:5" ht="15" thickBot="1" x14ac:dyDescent="0.4">
      <c r="B137" s="185"/>
      <c r="C137" s="185"/>
      <c r="D137" s="185"/>
      <c r="E137" s="185"/>
    </row>
    <row r="138" spans="2:5" x14ac:dyDescent="0.35">
      <c r="B138" s="183" t="s">
        <v>176</v>
      </c>
      <c r="C138" s="186"/>
      <c r="D138" s="183"/>
      <c r="E138" s="183"/>
    </row>
    <row r="139" spans="2:5" x14ac:dyDescent="0.35">
      <c r="B139" s="184"/>
      <c r="C139" s="187"/>
      <c r="D139" s="184"/>
      <c r="E139" s="184"/>
    </row>
    <row r="140" spans="2:5" ht="15" thickBot="1" x14ac:dyDescent="0.4">
      <c r="B140" s="185"/>
      <c r="C140" s="188"/>
      <c r="D140" s="185"/>
      <c r="E140" s="185"/>
    </row>
  </sheetData>
  <mergeCells count="28">
    <mergeCell ref="A7:H7"/>
    <mergeCell ref="A8:H8"/>
    <mergeCell ref="A2:H2"/>
    <mergeCell ref="A3:H3"/>
    <mergeCell ref="A4:H4"/>
    <mergeCell ref="A5:H5"/>
    <mergeCell ref="A6:H6"/>
    <mergeCell ref="B130:B131"/>
    <mergeCell ref="C130:C131"/>
    <mergeCell ref="D130:D131"/>
    <mergeCell ref="E130:E131"/>
    <mergeCell ref="B132:B134"/>
    <mergeCell ref="C132:C134"/>
    <mergeCell ref="D132:D134"/>
    <mergeCell ref="E132:E134"/>
    <mergeCell ref="B135:B137"/>
    <mergeCell ref="C135:C137"/>
    <mergeCell ref="D135:D137"/>
    <mergeCell ref="E135:E137"/>
    <mergeCell ref="B138:B140"/>
    <mergeCell ref="C138:C140"/>
    <mergeCell ref="D138:D140"/>
    <mergeCell ref="E138:E140"/>
    <mergeCell ref="B108:C108"/>
    <mergeCell ref="B109:C109"/>
    <mergeCell ref="B110:C110"/>
    <mergeCell ref="B111:C111"/>
    <mergeCell ref="B112:C112"/>
  </mergeCells>
  <pageMargins left="0.7" right="0.7" top="0.75" bottom="0.75" header="0.3" footer="0.3"/>
  <headerFooter>
    <oddFooter xml:space="preserve">&amp;C_x000D_&amp;1#&amp;"Aptos"&amp;10&amp;K000000  For internal use only 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H75"/>
  <sheetViews>
    <sheetView topLeftCell="A49" zoomScale="70" zoomScaleNormal="70" workbookViewId="0"/>
  </sheetViews>
  <sheetFormatPr defaultColWidth="8.6328125" defaultRowHeight="14.5" x14ac:dyDescent="0.35"/>
  <cols>
    <col min="1" max="1" width="5.54296875" customWidth="1"/>
    <col min="2" max="2" width="50.54296875" customWidth="1"/>
    <col min="3" max="4" width="25" customWidth="1"/>
    <col min="5" max="5" width="20" customWidth="1"/>
    <col min="6" max="6" width="25" customWidth="1"/>
    <col min="7" max="7" width="20" customWidth="1"/>
  </cols>
  <sheetData>
    <row r="1" spans="1:8" ht="15" thickBot="1" x14ac:dyDescent="0.4">
      <c r="A1" s="1" t="s">
        <v>121</v>
      </c>
    </row>
    <row r="2" spans="1:8" ht="23.25" customHeight="1" x14ac:dyDescent="0.5">
      <c r="A2" s="198" t="s">
        <v>0</v>
      </c>
      <c r="B2" s="199"/>
      <c r="C2" s="199"/>
      <c r="D2" s="199"/>
      <c r="E2" s="199"/>
      <c r="F2" s="199"/>
      <c r="G2" s="199"/>
      <c r="H2" s="199"/>
    </row>
    <row r="3" spans="1:8" ht="23.25" customHeight="1" x14ac:dyDescent="0.4">
      <c r="A3" s="200" t="s">
        <v>1</v>
      </c>
      <c r="B3" s="201"/>
      <c r="C3" s="201"/>
      <c r="D3" s="201"/>
      <c r="E3" s="201"/>
      <c r="F3" s="201"/>
      <c r="G3" s="201"/>
      <c r="H3" s="201"/>
    </row>
    <row r="4" spans="1:8" ht="23.25" customHeight="1" x14ac:dyDescent="0.35">
      <c r="A4" s="202" t="s">
        <v>2</v>
      </c>
      <c r="B4" s="203"/>
      <c r="C4" s="203"/>
      <c r="D4" s="203"/>
      <c r="E4" s="203"/>
      <c r="F4" s="203"/>
      <c r="G4" s="203"/>
      <c r="H4" s="203"/>
    </row>
    <row r="5" spans="1:8" ht="23.25" customHeight="1" x14ac:dyDescent="0.35">
      <c r="A5" s="202" t="s">
        <v>3</v>
      </c>
      <c r="B5" s="203"/>
      <c r="C5" s="203"/>
      <c r="D5" s="203"/>
      <c r="E5" s="203"/>
      <c r="F5" s="203"/>
      <c r="G5" s="203"/>
      <c r="H5" s="203"/>
    </row>
    <row r="6" spans="1:8" ht="23.25" customHeight="1" x14ac:dyDescent="0.5">
      <c r="A6" s="204" t="s">
        <v>207</v>
      </c>
      <c r="B6" s="205"/>
      <c r="C6" s="205"/>
      <c r="D6" s="205"/>
      <c r="E6" s="205"/>
      <c r="F6" s="205"/>
      <c r="G6" s="205"/>
      <c r="H6" s="205"/>
    </row>
    <row r="7" spans="1:8" ht="30" customHeight="1" x14ac:dyDescent="0.4">
      <c r="A7" s="212" t="s">
        <v>122</v>
      </c>
      <c r="B7" s="213"/>
      <c r="C7" s="213"/>
      <c r="D7" s="213"/>
      <c r="E7" s="213"/>
      <c r="F7" s="213"/>
      <c r="G7" s="213"/>
      <c r="H7" s="214"/>
    </row>
    <row r="8" spans="1:8" ht="33.65" customHeight="1" thickBot="1" x14ac:dyDescent="0.45">
      <c r="A8" s="215" t="s">
        <v>123</v>
      </c>
      <c r="B8" s="216"/>
      <c r="C8" s="216"/>
      <c r="D8" s="216"/>
      <c r="E8" s="216"/>
      <c r="F8" s="216"/>
      <c r="G8" s="216"/>
      <c r="H8" s="217"/>
    </row>
    <row r="9" spans="1:8" ht="28.25" customHeight="1" thickBot="1" x14ac:dyDescent="0.4">
      <c r="A9" s="2" t="s">
        <v>6</v>
      </c>
      <c r="B9" s="123" t="s">
        <v>7</v>
      </c>
      <c r="C9" s="124" t="s">
        <v>8</v>
      </c>
      <c r="D9" s="125" t="s">
        <v>9</v>
      </c>
      <c r="E9" s="124" t="s">
        <v>10</v>
      </c>
      <c r="F9" s="124" t="s">
        <v>11</v>
      </c>
      <c r="G9" s="124" t="s">
        <v>12</v>
      </c>
      <c r="H9" s="126" t="s">
        <v>135</v>
      </c>
    </row>
    <row r="10" spans="1:8" ht="13.25" customHeight="1" x14ac:dyDescent="0.35">
      <c r="A10" s="78" t="s">
        <v>190</v>
      </c>
      <c r="B10" s="180" t="s">
        <v>124</v>
      </c>
      <c r="C10" s="112"/>
      <c r="D10" s="93"/>
      <c r="E10" s="112"/>
      <c r="F10" s="112"/>
      <c r="G10" s="112"/>
      <c r="H10" s="119"/>
    </row>
    <row r="11" spans="1:8" ht="13.25" customHeight="1" x14ac:dyDescent="0.35">
      <c r="A11" s="78" t="s">
        <v>14</v>
      </c>
      <c r="B11" s="179" t="s">
        <v>167</v>
      </c>
      <c r="C11" s="112"/>
      <c r="D11" s="93"/>
      <c r="E11" s="112"/>
      <c r="F11" s="115"/>
      <c r="G11" s="117"/>
      <c r="H11" s="120"/>
    </row>
    <row r="12" spans="1:8" ht="13.25" customHeight="1" x14ac:dyDescent="0.35">
      <c r="A12" s="85"/>
      <c r="B12" s="80" t="s">
        <v>203</v>
      </c>
      <c r="C12" s="57" t="s">
        <v>184</v>
      </c>
      <c r="D12" s="5" t="s">
        <v>17</v>
      </c>
      <c r="E12" s="58">
        <v>16638600</v>
      </c>
      <c r="F12" s="59">
        <v>16570.61</v>
      </c>
      <c r="G12" s="59" t="s">
        <v>236</v>
      </c>
      <c r="H12" s="147">
        <v>6.5643000000000007E-2</v>
      </c>
    </row>
    <row r="13" spans="1:8" ht="13.25" customHeight="1" x14ac:dyDescent="0.35">
      <c r="A13" s="85"/>
      <c r="B13" s="127" t="s">
        <v>20</v>
      </c>
      <c r="C13" s="128"/>
      <c r="D13" s="41"/>
      <c r="E13" s="128"/>
      <c r="F13" s="60">
        <v>16570.61</v>
      </c>
      <c r="G13" s="60" t="s">
        <v>236</v>
      </c>
      <c r="H13" s="71"/>
    </row>
    <row r="14" spans="1:8" ht="13.25" customHeight="1" x14ac:dyDescent="0.35">
      <c r="A14" s="106" t="s">
        <v>29</v>
      </c>
      <c r="B14" s="179" t="s">
        <v>168</v>
      </c>
      <c r="C14" s="112"/>
      <c r="D14" s="93"/>
      <c r="E14" s="112"/>
      <c r="F14" s="116" t="s">
        <v>141</v>
      </c>
      <c r="G14" s="118" t="s">
        <v>141</v>
      </c>
      <c r="H14" s="121"/>
    </row>
    <row r="15" spans="1:8" ht="13.25" customHeight="1" x14ac:dyDescent="0.35">
      <c r="A15" s="106" t="s">
        <v>21</v>
      </c>
      <c r="B15" s="179" t="s">
        <v>164</v>
      </c>
      <c r="C15" s="112"/>
      <c r="D15" s="93"/>
      <c r="E15" s="112"/>
      <c r="F15" s="116"/>
      <c r="G15" s="118"/>
      <c r="H15" s="121"/>
    </row>
    <row r="16" spans="1:8" ht="13.25" customHeight="1" x14ac:dyDescent="0.35">
      <c r="A16" s="85"/>
      <c r="B16" s="127" t="s">
        <v>20</v>
      </c>
      <c r="C16" s="128"/>
      <c r="D16" s="41"/>
      <c r="E16" s="128"/>
      <c r="F16" s="129" t="s">
        <v>141</v>
      </c>
      <c r="G16" s="129" t="s">
        <v>141</v>
      </c>
      <c r="H16" s="71"/>
    </row>
    <row r="17" spans="1:8" ht="13.25" customHeight="1" x14ac:dyDescent="0.35">
      <c r="A17" s="85"/>
      <c r="B17" s="127" t="s">
        <v>33</v>
      </c>
      <c r="C17" s="128"/>
      <c r="D17" s="41"/>
      <c r="E17" s="128"/>
      <c r="F17" s="60">
        <v>16570.61</v>
      </c>
      <c r="G17" s="67">
        <v>0.9788</v>
      </c>
      <c r="H17" s="71"/>
    </row>
    <row r="18" spans="1:8" ht="13.25" customHeight="1" x14ac:dyDescent="0.35">
      <c r="A18" s="130"/>
      <c r="B18" s="135" t="s">
        <v>35</v>
      </c>
      <c r="C18" s="131"/>
      <c r="D18" s="75"/>
      <c r="E18" s="131"/>
      <c r="F18" s="60">
        <v>359.07</v>
      </c>
      <c r="G18" s="67">
        <v>2.12E-2</v>
      </c>
      <c r="H18" s="132"/>
    </row>
    <row r="19" spans="1:8" ht="13.25" customHeight="1" thickBot="1" x14ac:dyDescent="0.4">
      <c r="A19" s="90"/>
      <c r="B19" s="181" t="s">
        <v>36</v>
      </c>
      <c r="C19" s="113"/>
      <c r="D19" s="114"/>
      <c r="E19" s="113"/>
      <c r="F19" s="150">
        <v>16929.68</v>
      </c>
      <c r="G19" s="159">
        <v>1</v>
      </c>
      <c r="H19" s="122"/>
    </row>
    <row r="20" spans="1:8" ht="13.25" customHeight="1" x14ac:dyDescent="0.35">
      <c r="A20" s="10"/>
      <c r="B20" s="7"/>
      <c r="C20" s="8"/>
      <c r="D20" s="8"/>
      <c r="E20" s="8"/>
      <c r="F20" s="9"/>
      <c r="G20" s="32"/>
    </row>
    <row r="21" spans="1:8" ht="13.25" customHeight="1" x14ac:dyDescent="0.35">
      <c r="A21" s="10"/>
      <c r="B21" s="7"/>
      <c r="C21" s="8"/>
      <c r="D21" s="8"/>
      <c r="E21" s="8"/>
      <c r="F21" s="9"/>
      <c r="G21" s="32"/>
    </row>
    <row r="22" spans="1:8" x14ac:dyDescent="0.35">
      <c r="B22" s="218" t="s">
        <v>37</v>
      </c>
      <c r="C22" s="218"/>
      <c r="D22" s="218"/>
      <c r="E22" s="218"/>
    </row>
    <row r="23" spans="1:8" x14ac:dyDescent="0.35">
      <c r="B23" s="218" t="s">
        <v>38</v>
      </c>
      <c r="C23" s="218"/>
      <c r="D23" s="218"/>
      <c r="E23" s="218"/>
    </row>
    <row r="24" spans="1:8" x14ac:dyDescent="0.35">
      <c r="B24" s="219" t="s">
        <v>39</v>
      </c>
      <c r="C24" s="219"/>
      <c r="D24" s="219"/>
      <c r="E24" s="219"/>
    </row>
    <row r="26" spans="1:8" x14ac:dyDescent="0.35">
      <c r="B26" s="11" t="s">
        <v>40</v>
      </c>
      <c r="C26" s="11"/>
      <c r="D26" s="12"/>
      <c r="E26" s="12"/>
    </row>
    <row r="27" spans="1:8" x14ac:dyDescent="0.35">
      <c r="B27" s="13" t="s">
        <v>86</v>
      </c>
      <c r="C27" s="13"/>
      <c r="D27" s="12"/>
      <c r="E27" s="15" t="s">
        <v>42</v>
      </c>
    </row>
    <row r="28" spans="1:8" x14ac:dyDescent="0.35">
      <c r="B28" s="13" t="s">
        <v>87</v>
      </c>
      <c r="C28" s="13"/>
      <c r="D28" s="12"/>
      <c r="E28" s="15" t="s">
        <v>42</v>
      </c>
    </row>
    <row r="29" spans="1:8" x14ac:dyDescent="0.35">
      <c r="B29" s="13" t="s">
        <v>138</v>
      </c>
      <c r="C29" s="13"/>
      <c r="D29" s="12"/>
      <c r="E29" s="33"/>
    </row>
    <row r="30" spans="1:8" x14ac:dyDescent="0.35">
      <c r="B30" s="13" t="s">
        <v>94</v>
      </c>
      <c r="C30" s="13"/>
      <c r="D30" s="12"/>
      <c r="E30" s="18">
        <v>63.618000000000002</v>
      </c>
    </row>
    <row r="31" spans="1:8" x14ac:dyDescent="0.35">
      <c r="B31" s="13" t="s">
        <v>139</v>
      </c>
      <c r="C31" s="13"/>
      <c r="D31" s="12"/>
      <c r="E31" s="18"/>
    </row>
    <row r="32" spans="1:8" x14ac:dyDescent="0.35">
      <c r="B32" s="13" t="s">
        <v>94</v>
      </c>
      <c r="C32" s="13"/>
      <c r="D32" s="12"/>
      <c r="E32" s="18">
        <v>64.690799999999996</v>
      </c>
    </row>
    <row r="33" spans="2:6" x14ac:dyDescent="0.35">
      <c r="B33" s="13"/>
      <c r="C33" s="13"/>
      <c r="D33" s="12"/>
      <c r="E33" s="18"/>
    </row>
    <row r="34" spans="2:6" x14ac:dyDescent="0.35">
      <c r="B34" s="55" t="s">
        <v>181</v>
      </c>
      <c r="C34" s="55"/>
      <c r="D34" s="56"/>
      <c r="E34" s="56" t="s">
        <v>42</v>
      </c>
    </row>
    <row r="35" spans="2:6" x14ac:dyDescent="0.35">
      <c r="B35" s="206" t="s">
        <v>208</v>
      </c>
      <c r="C35" s="207"/>
      <c r="D35" s="56"/>
      <c r="E35" s="56" t="s">
        <v>42</v>
      </c>
    </row>
    <row r="36" spans="2:6" x14ac:dyDescent="0.35">
      <c r="B36" s="206" t="s">
        <v>209</v>
      </c>
      <c r="C36" s="207"/>
      <c r="D36" s="56"/>
      <c r="E36" s="56" t="s">
        <v>42</v>
      </c>
    </row>
    <row r="37" spans="2:6" x14ac:dyDescent="0.35">
      <c r="B37" s="206" t="s">
        <v>210</v>
      </c>
      <c r="C37" s="207"/>
      <c r="D37" s="56"/>
      <c r="E37" s="56" t="s">
        <v>42</v>
      </c>
    </row>
    <row r="38" spans="2:6" x14ac:dyDescent="0.35">
      <c r="B38" s="206" t="s">
        <v>211</v>
      </c>
      <c r="C38" s="207"/>
      <c r="D38" s="56"/>
      <c r="E38" s="56" t="s">
        <v>42</v>
      </c>
    </row>
    <row r="39" spans="2:6" x14ac:dyDescent="0.35">
      <c r="B39" s="206" t="s">
        <v>212</v>
      </c>
      <c r="C39" s="207"/>
      <c r="D39" s="56"/>
      <c r="E39" s="56" t="s">
        <v>42</v>
      </c>
    </row>
    <row r="40" spans="2:6" x14ac:dyDescent="0.35">
      <c r="B40" s="13"/>
      <c r="C40" s="13"/>
      <c r="D40" s="12"/>
      <c r="E40" s="15"/>
    </row>
    <row r="41" spans="2:6" x14ac:dyDescent="0.35">
      <c r="B41" s="19" t="s">
        <v>55</v>
      </c>
      <c r="C41" s="13"/>
      <c r="D41" s="12"/>
      <c r="E41" s="20" t="s">
        <v>200</v>
      </c>
    </row>
    <row r="42" spans="2:6" x14ac:dyDescent="0.35">
      <c r="B42" s="13" t="s">
        <v>140</v>
      </c>
      <c r="C42" s="13"/>
      <c r="D42" s="12"/>
      <c r="E42" s="15" t="s">
        <v>42</v>
      </c>
    </row>
    <row r="43" spans="2:6" x14ac:dyDescent="0.35">
      <c r="B43" s="19" t="s">
        <v>235</v>
      </c>
      <c r="C43" s="19"/>
      <c r="D43" s="12"/>
      <c r="E43" s="27" t="s">
        <v>42</v>
      </c>
    </row>
    <row r="44" spans="2:6" x14ac:dyDescent="0.35">
      <c r="B44" s="19"/>
      <c r="C44" s="19"/>
      <c r="D44" s="12"/>
      <c r="E44" s="27"/>
    </row>
    <row r="45" spans="2:6" x14ac:dyDescent="0.35">
      <c r="B45" s="19"/>
      <c r="C45" s="19"/>
      <c r="D45" s="12"/>
      <c r="E45" s="27"/>
    </row>
    <row r="46" spans="2:6" x14ac:dyDescent="0.35">
      <c r="B46" s="220"/>
      <c r="C46" s="220"/>
      <c r="D46" s="220"/>
      <c r="E46" s="27"/>
    </row>
    <row r="47" spans="2:6" x14ac:dyDescent="0.35">
      <c r="F47" s="28"/>
    </row>
    <row r="48" spans="2:6" x14ac:dyDescent="0.35">
      <c r="B48" s="28"/>
      <c r="F48" s="28"/>
    </row>
    <row r="49" spans="2:6" x14ac:dyDescent="0.35">
      <c r="F49" s="28" t="s">
        <v>125</v>
      </c>
    </row>
    <row r="50" spans="2:6" x14ac:dyDescent="0.35">
      <c r="B50" s="28" t="s">
        <v>80</v>
      </c>
      <c r="F50" s="28" t="s">
        <v>81</v>
      </c>
    </row>
    <row r="64" spans="2:6" ht="15" thickBot="1" x14ac:dyDescent="0.4"/>
    <row r="65" spans="2:5" x14ac:dyDescent="0.35">
      <c r="B65" s="183" t="s">
        <v>177</v>
      </c>
      <c r="C65" s="183" t="s">
        <v>170</v>
      </c>
      <c r="D65" s="183" t="s">
        <v>171</v>
      </c>
      <c r="E65" s="183" t="s">
        <v>172</v>
      </c>
    </row>
    <row r="66" spans="2:5" ht="15" thickBot="1" x14ac:dyDescent="0.4">
      <c r="B66" s="189"/>
      <c r="C66" s="185"/>
      <c r="D66" s="185"/>
      <c r="E66" s="185"/>
    </row>
    <row r="67" spans="2:5" x14ac:dyDescent="0.35">
      <c r="B67" s="190" t="s">
        <v>173</v>
      </c>
      <c r="C67" s="191"/>
      <c r="D67" s="191"/>
      <c r="E67" s="183"/>
    </row>
    <row r="68" spans="2:5" x14ac:dyDescent="0.35">
      <c r="B68" s="184"/>
      <c r="C68" s="192"/>
      <c r="D68" s="192"/>
      <c r="E68" s="184"/>
    </row>
    <row r="69" spans="2:5" ht="15" thickBot="1" x14ac:dyDescent="0.4">
      <c r="B69" s="185"/>
      <c r="C69" s="193"/>
      <c r="D69" s="193"/>
      <c r="E69" s="185"/>
    </row>
    <row r="70" spans="2:5" x14ac:dyDescent="0.35">
      <c r="B70" s="183" t="s">
        <v>175</v>
      </c>
      <c r="C70" s="183"/>
      <c r="D70" s="183"/>
      <c r="E70" s="183"/>
    </row>
    <row r="71" spans="2:5" x14ac:dyDescent="0.35">
      <c r="B71" s="184"/>
      <c r="C71" s="184"/>
      <c r="D71" s="184"/>
      <c r="E71" s="184"/>
    </row>
    <row r="72" spans="2:5" ht="15" thickBot="1" x14ac:dyDescent="0.4">
      <c r="B72" s="185"/>
      <c r="C72" s="185"/>
      <c r="D72" s="185"/>
      <c r="E72" s="185"/>
    </row>
    <row r="73" spans="2:5" x14ac:dyDescent="0.35">
      <c r="B73" s="183" t="s">
        <v>176</v>
      </c>
      <c r="C73" s="191" t="s">
        <v>179</v>
      </c>
      <c r="D73" s="183"/>
      <c r="E73" s="183"/>
    </row>
    <row r="74" spans="2:5" x14ac:dyDescent="0.35">
      <c r="B74" s="184"/>
      <c r="C74" s="192"/>
      <c r="D74" s="184"/>
      <c r="E74" s="184"/>
    </row>
    <row r="75" spans="2:5" ht="15" thickBot="1" x14ac:dyDescent="0.4">
      <c r="B75" s="185"/>
      <c r="C75" s="193"/>
      <c r="D75" s="185"/>
      <c r="E75" s="185"/>
    </row>
  </sheetData>
  <mergeCells count="32">
    <mergeCell ref="A2:H2"/>
    <mergeCell ref="A3:H3"/>
    <mergeCell ref="A4:H4"/>
    <mergeCell ref="A5:H5"/>
    <mergeCell ref="A6:H6"/>
    <mergeCell ref="A7:H7"/>
    <mergeCell ref="A8:H8"/>
    <mergeCell ref="B22:E22"/>
    <mergeCell ref="B23:E23"/>
    <mergeCell ref="B65:B66"/>
    <mergeCell ref="C65:C66"/>
    <mergeCell ref="D65:D66"/>
    <mergeCell ref="E65:E66"/>
    <mergeCell ref="B24:E24"/>
    <mergeCell ref="B46:D46"/>
    <mergeCell ref="B35:C35"/>
    <mergeCell ref="B36:C36"/>
    <mergeCell ref="B37:C37"/>
    <mergeCell ref="B38:C38"/>
    <mergeCell ref="B39:C39"/>
    <mergeCell ref="B73:B75"/>
    <mergeCell ref="C73:C75"/>
    <mergeCell ref="D73:D75"/>
    <mergeCell ref="E73:E75"/>
    <mergeCell ref="B67:B69"/>
    <mergeCell ref="C67:C69"/>
    <mergeCell ref="D67:D69"/>
    <mergeCell ref="E67:E69"/>
    <mergeCell ref="B70:B72"/>
    <mergeCell ref="C70:C72"/>
    <mergeCell ref="D70:D72"/>
    <mergeCell ref="E70:E72"/>
  </mergeCells>
  <pageMargins left="0.7" right="0.7" top="0.75" bottom="0.75" header="0.3" footer="0.3"/>
  <headerFooter>
    <oddFooter xml:space="preserve">&amp;C_x000D_&amp;1#&amp;"Aptos"&amp;10&amp;K000000  For internal use only 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I80"/>
  <sheetViews>
    <sheetView topLeftCell="A61" zoomScale="70" zoomScaleNormal="70" workbookViewId="0"/>
  </sheetViews>
  <sheetFormatPr defaultColWidth="8.6328125" defaultRowHeight="14.5" x14ac:dyDescent="0.35"/>
  <cols>
    <col min="1" max="1" width="5.36328125" customWidth="1"/>
    <col min="2" max="2" width="49.54296875" customWidth="1"/>
    <col min="3" max="4" width="25" customWidth="1"/>
    <col min="5" max="5" width="20" customWidth="1"/>
    <col min="6" max="6" width="25" customWidth="1"/>
    <col min="7" max="7" width="20" customWidth="1"/>
  </cols>
  <sheetData>
    <row r="1" spans="1:8" x14ac:dyDescent="0.35">
      <c r="A1" s="1" t="s">
        <v>126</v>
      </c>
    </row>
    <row r="2" spans="1:8" ht="21.75" customHeight="1" x14ac:dyDescent="0.5">
      <c r="A2" s="221" t="s">
        <v>0</v>
      </c>
      <c r="B2" s="221"/>
      <c r="C2" s="221"/>
      <c r="D2" s="221"/>
      <c r="E2" s="221"/>
      <c r="F2" s="221"/>
      <c r="G2" s="221"/>
      <c r="H2" s="221"/>
    </row>
    <row r="3" spans="1:8" ht="21.75" customHeight="1" x14ac:dyDescent="0.4">
      <c r="A3" s="201" t="s">
        <v>1</v>
      </c>
      <c r="B3" s="201"/>
      <c r="C3" s="201"/>
      <c r="D3" s="201"/>
      <c r="E3" s="201"/>
      <c r="F3" s="201"/>
      <c r="G3" s="201"/>
      <c r="H3" s="201"/>
    </row>
    <row r="4" spans="1:8" ht="21.75" customHeight="1" x14ac:dyDescent="0.35">
      <c r="A4" s="203" t="s">
        <v>2</v>
      </c>
      <c r="B4" s="203"/>
      <c r="C4" s="203"/>
      <c r="D4" s="203"/>
      <c r="E4" s="203"/>
      <c r="F4" s="203"/>
      <c r="G4" s="203"/>
      <c r="H4" s="203"/>
    </row>
    <row r="5" spans="1:8" ht="21.75" customHeight="1" x14ac:dyDescent="0.35">
      <c r="A5" s="203" t="s">
        <v>3</v>
      </c>
      <c r="B5" s="203"/>
      <c r="C5" s="203"/>
      <c r="D5" s="203"/>
      <c r="E5" s="203"/>
      <c r="F5" s="203"/>
      <c r="G5" s="203"/>
      <c r="H5" s="203"/>
    </row>
    <row r="6" spans="1:8" ht="21.75" customHeight="1" x14ac:dyDescent="0.5">
      <c r="A6" s="204" t="s">
        <v>207</v>
      </c>
      <c r="B6" s="205"/>
      <c r="C6" s="205"/>
      <c r="D6" s="205"/>
      <c r="E6" s="205"/>
      <c r="F6" s="205"/>
      <c r="G6" s="205"/>
      <c r="H6" s="205"/>
    </row>
    <row r="7" spans="1:8" ht="29.75" customHeight="1" x14ac:dyDescent="0.4">
      <c r="A7" s="222" t="s">
        <v>127</v>
      </c>
      <c r="B7" s="222"/>
      <c r="C7" s="222"/>
      <c r="D7" s="222"/>
      <c r="E7" s="222"/>
      <c r="F7" s="222"/>
      <c r="G7" s="222"/>
      <c r="H7" s="222"/>
    </row>
    <row r="8" spans="1:8" ht="19.25" customHeight="1" thickBot="1" x14ac:dyDescent="0.45">
      <c r="A8" s="223" t="s">
        <v>128</v>
      </c>
      <c r="B8" s="223"/>
      <c r="C8" s="223"/>
      <c r="D8" s="223"/>
      <c r="E8" s="223"/>
      <c r="F8" s="223"/>
      <c r="G8" s="223"/>
      <c r="H8" s="223"/>
    </row>
    <row r="9" spans="1:8" ht="28.25" customHeight="1" thickBot="1" x14ac:dyDescent="0.4">
      <c r="A9" s="145" t="s">
        <v>6</v>
      </c>
      <c r="B9" s="125" t="s">
        <v>7</v>
      </c>
      <c r="C9" s="125" t="s">
        <v>8</v>
      </c>
      <c r="D9" s="125" t="s">
        <v>9</v>
      </c>
      <c r="E9" s="125" t="s">
        <v>10</v>
      </c>
      <c r="F9" s="125" t="s">
        <v>11</v>
      </c>
      <c r="G9" s="125" t="s">
        <v>12</v>
      </c>
      <c r="H9" s="126" t="s">
        <v>135</v>
      </c>
    </row>
    <row r="10" spans="1:8" ht="13.25" customHeight="1" x14ac:dyDescent="0.35">
      <c r="A10" s="78" t="s">
        <v>14</v>
      </c>
      <c r="B10" s="7" t="s">
        <v>161</v>
      </c>
      <c r="C10" s="141"/>
      <c r="D10" s="7"/>
      <c r="E10" s="93"/>
      <c r="F10" s="8"/>
      <c r="G10" s="93"/>
      <c r="H10" s="107"/>
    </row>
    <row r="11" spans="1:8" ht="13.25" customHeight="1" x14ac:dyDescent="0.35">
      <c r="A11" s="85"/>
      <c r="B11" s="112" t="s">
        <v>166</v>
      </c>
      <c r="C11" s="93"/>
      <c r="D11" s="8"/>
      <c r="E11" s="142"/>
      <c r="F11" s="94"/>
      <c r="G11" s="144"/>
      <c r="H11" s="107"/>
    </row>
    <row r="12" spans="1:8" ht="13.25" customHeight="1" x14ac:dyDescent="0.35">
      <c r="A12" s="85"/>
      <c r="B12" s="112" t="s">
        <v>165</v>
      </c>
      <c r="C12" s="93"/>
      <c r="D12" s="8"/>
      <c r="E12" s="142"/>
      <c r="F12" s="94"/>
      <c r="G12" s="144"/>
      <c r="H12" s="107"/>
    </row>
    <row r="13" spans="1:8" ht="13.25" customHeight="1" x14ac:dyDescent="0.35">
      <c r="A13" s="85"/>
      <c r="B13" s="112" t="s">
        <v>164</v>
      </c>
      <c r="C13" s="93"/>
      <c r="D13" s="8"/>
      <c r="E13" s="142"/>
      <c r="F13" s="94"/>
      <c r="G13" s="144"/>
      <c r="H13" s="107"/>
    </row>
    <row r="14" spans="1:8" ht="13.25" customHeight="1" x14ac:dyDescent="0.35">
      <c r="A14" s="78" t="s">
        <v>21</v>
      </c>
      <c r="B14" s="179" t="s">
        <v>129</v>
      </c>
      <c r="C14" s="141"/>
      <c r="D14" s="7"/>
      <c r="E14" s="93"/>
      <c r="F14" s="8"/>
      <c r="G14" s="93"/>
      <c r="H14" s="107"/>
    </row>
    <row r="15" spans="1:8" ht="13.25" customHeight="1" x14ac:dyDescent="0.35">
      <c r="A15" s="85">
        <v>1</v>
      </c>
      <c r="B15" s="80" t="s">
        <v>130</v>
      </c>
      <c r="C15" s="57" t="s">
        <v>131</v>
      </c>
      <c r="D15" s="5"/>
      <c r="E15" s="151">
        <v>9086040</v>
      </c>
      <c r="F15" s="59">
        <v>5855.04</v>
      </c>
      <c r="G15" s="66">
        <v>0.99760000000000004</v>
      </c>
      <c r="H15" s="147"/>
    </row>
    <row r="16" spans="1:8" ht="13.25" customHeight="1" x14ac:dyDescent="0.35">
      <c r="A16" s="85"/>
      <c r="B16" s="127" t="s">
        <v>20</v>
      </c>
      <c r="C16" s="41"/>
      <c r="D16" s="134"/>
      <c r="E16" s="41"/>
      <c r="F16" s="60">
        <v>5855.04</v>
      </c>
      <c r="G16" s="67">
        <v>0.99760000000000004</v>
      </c>
      <c r="H16" s="139"/>
    </row>
    <row r="17" spans="1:9" ht="13.25" customHeight="1" x14ac:dyDescent="0.35">
      <c r="A17" s="85"/>
      <c r="B17" s="127" t="s">
        <v>33</v>
      </c>
      <c r="C17" s="41"/>
      <c r="D17" s="134"/>
      <c r="E17" s="41"/>
      <c r="F17" s="60">
        <v>5855.04</v>
      </c>
      <c r="G17" s="67">
        <v>0.99760000000000004</v>
      </c>
      <c r="H17" s="92"/>
    </row>
    <row r="18" spans="1:9" ht="13.25" customHeight="1" x14ac:dyDescent="0.35">
      <c r="A18" s="78" t="s">
        <v>29</v>
      </c>
      <c r="B18" s="179" t="s">
        <v>13</v>
      </c>
      <c r="C18" s="93"/>
      <c r="D18" s="8"/>
      <c r="E18" s="93"/>
      <c r="F18" s="8"/>
      <c r="G18" s="93"/>
      <c r="H18" s="108"/>
    </row>
    <row r="19" spans="1:9" ht="13.25" customHeight="1" x14ac:dyDescent="0.35">
      <c r="A19" s="106" t="s">
        <v>34</v>
      </c>
      <c r="B19" s="179" t="s">
        <v>136</v>
      </c>
      <c r="C19" s="141"/>
      <c r="D19" s="7"/>
      <c r="E19" s="93"/>
      <c r="F19" s="8"/>
      <c r="G19" s="99"/>
      <c r="H19" s="107"/>
    </row>
    <row r="20" spans="1:9" ht="13.25" customHeight="1" x14ac:dyDescent="0.35">
      <c r="A20" s="85">
        <v>1</v>
      </c>
      <c r="B20" s="112" t="s">
        <v>234</v>
      </c>
      <c r="C20" s="93"/>
      <c r="D20" s="8"/>
      <c r="E20" s="143"/>
      <c r="F20" s="59">
        <v>14</v>
      </c>
      <c r="G20" s="66">
        <v>2.3999999999999998E-3</v>
      </c>
      <c r="H20" s="147">
        <v>5.0291785714285712E-2</v>
      </c>
    </row>
    <row r="21" spans="1:9" ht="13.25" customHeight="1" x14ac:dyDescent="0.35">
      <c r="A21" s="85"/>
      <c r="B21" s="127" t="s">
        <v>20</v>
      </c>
      <c r="C21" s="41"/>
      <c r="D21" s="134"/>
      <c r="E21" s="41"/>
      <c r="F21" s="60">
        <v>14</v>
      </c>
      <c r="G21" s="67">
        <v>2.3999999999999998E-3</v>
      </c>
      <c r="H21" s="140"/>
      <c r="I21" s="61"/>
    </row>
    <row r="22" spans="1:9" ht="13.25" customHeight="1" x14ac:dyDescent="0.35">
      <c r="A22" s="85"/>
      <c r="B22" s="135" t="s">
        <v>33</v>
      </c>
      <c r="C22" s="75"/>
      <c r="D22" s="136"/>
      <c r="E22" s="75"/>
      <c r="F22" s="137">
        <v>5869.04</v>
      </c>
      <c r="G22" s="177">
        <v>1</v>
      </c>
      <c r="H22" s="138"/>
    </row>
    <row r="23" spans="1:9" ht="13.25" customHeight="1" x14ac:dyDescent="0.35">
      <c r="A23" s="130"/>
      <c r="B23" s="135" t="s">
        <v>35</v>
      </c>
      <c r="C23" s="75"/>
      <c r="D23" s="136"/>
      <c r="E23" s="75"/>
      <c r="F23" s="60">
        <v>0.15</v>
      </c>
      <c r="G23" s="178">
        <v>0</v>
      </c>
      <c r="H23" s="138"/>
    </row>
    <row r="24" spans="1:9" ht="13.25" customHeight="1" thickBot="1" x14ac:dyDescent="0.4">
      <c r="A24" s="90"/>
      <c r="B24" s="109" t="s">
        <v>36</v>
      </c>
      <c r="C24" s="110"/>
      <c r="D24" s="110"/>
      <c r="E24" s="110"/>
      <c r="F24" s="150">
        <v>5869.19</v>
      </c>
      <c r="G24" s="159">
        <v>1</v>
      </c>
      <c r="H24" s="111"/>
    </row>
    <row r="25" spans="1:9" ht="13.25" customHeight="1" x14ac:dyDescent="0.35">
      <c r="A25" s="10"/>
      <c r="B25" s="7"/>
      <c r="C25" s="8"/>
      <c r="D25" s="8"/>
      <c r="E25" s="8"/>
      <c r="F25" s="9"/>
      <c r="G25" s="34"/>
    </row>
    <row r="26" spans="1:9" ht="13.25" customHeight="1" x14ac:dyDescent="0.35">
      <c r="A26" s="10"/>
      <c r="F26" s="9"/>
      <c r="G26" s="32"/>
    </row>
    <row r="27" spans="1:9" ht="13.25" customHeight="1" x14ac:dyDescent="0.35">
      <c r="A27" s="10"/>
      <c r="B27" s="218" t="s">
        <v>37</v>
      </c>
      <c r="C27" s="218"/>
      <c r="D27" s="218"/>
      <c r="E27" s="218"/>
      <c r="F27" s="9"/>
      <c r="G27" s="32"/>
    </row>
    <row r="28" spans="1:9" ht="13.25" customHeight="1" x14ac:dyDescent="0.35">
      <c r="A28" s="10"/>
      <c r="B28" s="218" t="s">
        <v>38</v>
      </c>
      <c r="C28" s="218"/>
      <c r="D28" s="218"/>
      <c r="E28" s="218"/>
      <c r="F28" s="9"/>
      <c r="G28" s="32"/>
    </row>
    <row r="29" spans="1:9" ht="13.25" customHeight="1" x14ac:dyDescent="0.35">
      <c r="A29" s="10"/>
      <c r="B29" s="219" t="s">
        <v>39</v>
      </c>
      <c r="C29" s="219"/>
      <c r="D29" s="219"/>
      <c r="E29" s="219"/>
      <c r="F29" s="9"/>
      <c r="G29" s="32"/>
    </row>
    <row r="30" spans="1:9" ht="13.25" customHeight="1" x14ac:dyDescent="0.35">
      <c r="A30" s="10"/>
      <c r="B30" s="7"/>
      <c r="C30" s="8"/>
      <c r="D30" s="8"/>
      <c r="E30" s="8"/>
      <c r="F30" s="9"/>
      <c r="G30" s="32"/>
    </row>
    <row r="31" spans="1:9" x14ac:dyDescent="0.35">
      <c r="B31" s="11" t="s">
        <v>40</v>
      </c>
    </row>
    <row r="32" spans="1:9" x14ac:dyDescent="0.35">
      <c r="B32" s="35" t="s">
        <v>86</v>
      </c>
      <c r="C32" s="35"/>
      <c r="D32" s="12"/>
      <c r="E32" s="36" t="s">
        <v>42</v>
      </c>
    </row>
    <row r="33" spans="2:5" x14ac:dyDescent="0.35">
      <c r="B33" s="35" t="s">
        <v>87</v>
      </c>
      <c r="C33" s="35"/>
      <c r="D33" s="12"/>
      <c r="E33" s="36" t="s">
        <v>42</v>
      </c>
    </row>
    <row r="34" spans="2:5" x14ac:dyDescent="0.35">
      <c r="B34" s="35" t="s">
        <v>138</v>
      </c>
      <c r="C34" s="35"/>
      <c r="D34" s="12"/>
      <c r="E34" s="37"/>
    </row>
    <row r="35" spans="2:5" x14ac:dyDescent="0.35">
      <c r="B35" s="35" t="s">
        <v>88</v>
      </c>
      <c r="C35" s="35"/>
      <c r="D35" s="12"/>
      <c r="E35" s="18">
        <v>12.923500000000001</v>
      </c>
    </row>
    <row r="36" spans="2:5" x14ac:dyDescent="0.35">
      <c r="B36" s="35" t="s">
        <v>94</v>
      </c>
      <c r="C36" s="35"/>
      <c r="D36" s="12"/>
      <c r="E36" s="18">
        <v>12.878500000000001</v>
      </c>
    </row>
    <row r="37" spans="2:5" x14ac:dyDescent="0.35">
      <c r="B37" s="35" t="s">
        <v>139</v>
      </c>
      <c r="C37" s="35"/>
      <c r="D37" s="12"/>
      <c r="E37" s="37"/>
    </row>
    <row r="38" spans="2:5" x14ac:dyDescent="0.35">
      <c r="B38" s="35" t="s">
        <v>88</v>
      </c>
      <c r="C38" s="35"/>
      <c r="D38" s="12"/>
      <c r="E38" s="18">
        <v>13.1203</v>
      </c>
    </row>
    <row r="39" spans="2:5" x14ac:dyDescent="0.35">
      <c r="B39" s="35" t="s">
        <v>94</v>
      </c>
      <c r="C39" s="35"/>
      <c r="D39" s="12"/>
      <c r="E39" s="18">
        <v>13.0741</v>
      </c>
    </row>
    <row r="40" spans="2:5" s="28" customFormat="1" x14ac:dyDescent="0.35">
      <c r="B40" s="51"/>
      <c r="C40" s="51"/>
      <c r="D40" s="12"/>
      <c r="E40" s="52"/>
    </row>
    <row r="41" spans="2:5" s="28" customFormat="1" x14ac:dyDescent="0.35">
      <c r="B41" s="55" t="s">
        <v>181</v>
      </c>
      <c r="C41" s="55"/>
      <c r="D41" s="56"/>
      <c r="E41" s="56" t="s">
        <v>42</v>
      </c>
    </row>
    <row r="42" spans="2:5" s="28" customFormat="1" x14ac:dyDescent="0.35">
      <c r="B42" s="206" t="s">
        <v>208</v>
      </c>
      <c r="C42" s="207"/>
      <c r="D42" s="56"/>
      <c r="E42" s="56" t="s">
        <v>42</v>
      </c>
    </row>
    <row r="43" spans="2:5" s="28" customFormat="1" x14ac:dyDescent="0.35">
      <c r="B43" s="206" t="s">
        <v>209</v>
      </c>
      <c r="C43" s="207"/>
      <c r="D43" s="56"/>
      <c r="E43" s="56" t="s">
        <v>42</v>
      </c>
    </row>
    <row r="44" spans="2:5" s="28" customFormat="1" x14ac:dyDescent="0.35">
      <c r="B44" s="206" t="s">
        <v>210</v>
      </c>
      <c r="C44" s="207"/>
      <c r="D44" s="56"/>
      <c r="E44" s="56" t="s">
        <v>42</v>
      </c>
    </row>
    <row r="45" spans="2:5" s="28" customFormat="1" x14ac:dyDescent="0.35">
      <c r="B45" s="206" t="s">
        <v>211</v>
      </c>
      <c r="C45" s="207"/>
      <c r="D45" s="56"/>
      <c r="E45" s="56" t="s">
        <v>42</v>
      </c>
    </row>
    <row r="46" spans="2:5" s="28" customFormat="1" x14ac:dyDescent="0.35">
      <c r="B46" s="206" t="s">
        <v>212</v>
      </c>
      <c r="C46" s="207"/>
      <c r="D46" s="56"/>
      <c r="E46" s="56" t="s">
        <v>42</v>
      </c>
    </row>
    <row r="47" spans="2:5" s="28" customFormat="1" x14ac:dyDescent="0.35">
      <c r="B47" s="51"/>
      <c r="C47" s="51"/>
      <c r="D47" s="12"/>
      <c r="E47" s="52"/>
    </row>
    <row r="48" spans="2:5" x14ac:dyDescent="0.35">
      <c r="B48" s="19" t="s">
        <v>55</v>
      </c>
      <c r="C48" s="13"/>
      <c r="D48" s="12"/>
      <c r="E48" s="20" t="s">
        <v>201</v>
      </c>
    </row>
    <row r="49" spans="2:6" x14ac:dyDescent="0.35">
      <c r="B49" s="35" t="s">
        <v>140</v>
      </c>
      <c r="C49" s="35"/>
      <c r="D49" s="12"/>
      <c r="E49" s="36" t="s">
        <v>42</v>
      </c>
    </row>
    <row r="50" spans="2:6" x14ac:dyDescent="0.35">
      <c r="B50" s="19" t="s">
        <v>213</v>
      </c>
      <c r="E50" s="36" t="s">
        <v>42</v>
      </c>
    </row>
    <row r="51" spans="2:6" x14ac:dyDescent="0.35">
      <c r="F51" s="28"/>
    </row>
    <row r="52" spans="2:6" x14ac:dyDescent="0.35">
      <c r="B52" s="28"/>
      <c r="F52" s="28"/>
    </row>
    <row r="53" spans="2:6" x14ac:dyDescent="0.35">
      <c r="F53" s="28" t="s">
        <v>125</v>
      </c>
    </row>
    <row r="54" spans="2:6" x14ac:dyDescent="0.35">
      <c r="B54" s="28" t="s">
        <v>80</v>
      </c>
      <c r="F54" s="28" t="s">
        <v>81</v>
      </c>
    </row>
    <row r="55" spans="2:6" x14ac:dyDescent="0.35">
      <c r="B55" s="28"/>
      <c r="F55" s="28"/>
    </row>
    <row r="69" spans="2:5" ht="15" thickBot="1" x14ac:dyDescent="0.4"/>
    <row r="70" spans="2:5" x14ac:dyDescent="0.35">
      <c r="B70" s="183" t="s">
        <v>177</v>
      </c>
      <c r="C70" s="183" t="s">
        <v>170</v>
      </c>
      <c r="D70" s="183" t="s">
        <v>171</v>
      </c>
      <c r="E70" s="183" t="s">
        <v>172</v>
      </c>
    </row>
    <row r="71" spans="2:5" ht="15" thickBot="1" x14ac:dyDescent="0.4">
      <c r="B71" s="189"/>
      <c r="C71" s="185"/>
      <c r="D71" s="185"/>
      <c r="E71" s="185"/>
    </row>
    <row r="72" spans="2:5" x14ac:dyDescent="0.35">
      <c r="B72" s="190" t="s">
        <v>173</v>
      </c>
      <c r="C72" s="191"/>
      <c r="D72" s="191"/>
      <c r="E72" s="183"/>
    </row>
    <row r="73" spans="2:5" x14ac:dyDescent="0.35">
      <c r="B73" s="184"/>
      <c r="C73" s="192"/>
      <c r="D73" s="192"/>
      <c r="E73" s="184"/>
    </row>
    <row r="74" spans="2:5" ht="15" thickBot="1" x14ac:dyDescent="0.4">
      <c r="B74" s="185"/>
      <c r="C74" s="193"/>
      <c r="D74" s="193"/>
      <c r="E74" s="185"/>
    </row>
    <row r="75" spans="2:5" x14ac:dyDescent="0.35">
      <c r="B75" s="183" t="s">
        <v>175</v>
      </c>
      <c r="C75" s="183"/>
      <c r="D75" s="183"/>
      <c r="E75" s="183"/>
    </row>
    <row r="76" spans="2:5" x14ac:dyDescent="0.35">
      <c r="B76" s="184"/>
      <c r="C76" s="184"/>
      <c r="D76" s="184"/>
      <c r="E76" s="184"/>
    </row>
    <row r="77" spans="2:5" ht="15" thickBot="1" x14ac:dyDescent="0.4">
      <c r="B77" s="185"/>
      <c r="C77" s="185"/>
      <c r="D77" s="185"/>
      <c r="E77" s="185"/>
    </row>
    <row r="78" spans="2:5" x14ac:dyDescent="0.35">
      <c r="B78" s="183" t="s">
        <v>176</v>
      </c>
      <c r="C78" s="191" t="s">
        <v>179</v>
      </c>
      <c r="D78" s="183"/>
      <c r="E78" s="183"/>
    </row>
    <row r="79" spans="2:5" x14ac:dyDescent="0.35">
      <c r="B79" s="184"/>
      <c r="C79" s="192"/>
      <c r="D79" s="184"/>
      <c r="E79" s="184"/>
    </row>
    <row r="80" spans="2:5" ht="15" thickBot="1" x14ac:dyDescent="0.4">
      <c r="B80" s="185"/>
      <c r="C80" s="193"/>
      <c r="D80" s="185"/>
      <c r="E80" s="185"/>
    </row>
  </sheetData>
  <mergeCells count="31">
    <mergeCell ref="B75:B77"/>
    <mergeCell ref="C75:C77"/>
    <mergeCell ref="D75:D77"/>
    <mergeCell ref="E75:E77"/>
    <mergeCell ref="B78:B80"/>
    <mergeCell ref="C78:C80"/>
    <mergeCell ref="D78:D80"/>
    <mergeCell ref="E78:E80"/>
    <mergeCell ref="B70:B71"/>
    <mergeCell ref="C70:C71"/>
    <mergeCell ref="D70:D71"/>
    <mergeCell ref="E70:E71"/>
    <mergeCell ref="B72:B74"/>
    <mergeCell ref="C72:C74"/>
    <mergeCell ref="D72:D74"/>
    <mergeCell ref="E72:E74"/>
    <mergeCell ref="B27:E27"/>
    <mergeCell ref="B28:E28"/>
    <mergeCell ref="B29:E29"/>
    <mergeCell ref="A2:H2"/>
    <mergeCell ref="A3:H3"/>
    <mergeCell ref="A4:H4"/>
    <mergeCell ref="A5:H5"/>
    <mergeCell ref="A6:H6"/>
    <mergeCell ref="A7:H7"/>
    <mergeCell ref="A8:H8"/>
    <mergeCell ref="B46:C46"/>
    <mergeCell ref="B42:C42"/>
    <mergeCell ref="B43:C43"/>
    <mergeCell ref="B44:C44"/>
    <mergeCell ref="B45:C45"/>
  </mergeCells>
  <pageMargins left="0.7" right="0.7" top="0.75" bottom="0.75" header="0.3" footer="0.3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YO06</vt:lpstr>
      <vt:lpstr>YO15</vt:lpstr>
      <vt:lpstr>YO25</vt:lpstr>
      <vt:lpstr>YO28</vt:lpstr>
    </vt:vector>
  </TitlesOfParts>
  <Company>Motilal Oswal Financial Services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Dhamankar</dc:creator>
  <cp:lastModifiedBy>Nikhil Jayesh Patel</cp:lastModifiedBy>
  <dcterms:created xsi:type="dcterms:W3CDTF">2026-04-20T06:51:05Z</dcterms:created>
  <dcterms:modified xsi:type="dcterms:W3CDTF">2026-06-18T12:00:42Z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2026-05-01T12:22:48Z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daf5bbe9-e72c-4952-be5b-aaa7c536bf89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