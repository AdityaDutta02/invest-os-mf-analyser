
<file path=[Content_Types].xml><?xml version="1.0" encoding="utf-8"?>
<Types xmlns="http://schemas.openxmlformats.org/package/2006/content-types"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60" windowWidth="12300" windowHeight="7305"/>
  </bookViews>
  <sheets>
    <sheet name="Focused 25" sheetId="5" r:id="rId1"/>
    <sheet name="Focused 30" sheetId="7" r:id="rId2"/>
    <sheet name="Focused 35" sheetId="8" r:id="rId3"/>
    <sheet name="Long Term Fund" sheetId="9" r:id="rId4"/>
    <sheet name="USTBF" sheetId="6" r:id="rId5"/>
    <sheet name="M50" sheetId="1" r:id="rId6"/>
    <sheet name="MCAP100" sheetId="2" r:id="rId7"/>
    <sheet name="N100" sheetId="3" r:id="rId8"/>
    <sheet name="Gilt Scheme" sheetId="4" r:id="rId9"/>
  </sheets>
  <calcPr calcId="145621"/>
</workbook>
</file>

<file path=xl/calcChain.xml><?xml version="1.0" encoding="utf-8"?>
<calcChain xmlns="http://schemas.openxmlformats.org/spreadsheetml/2006/main">
  <c r="G28" i="5"/>
  <c r="F28"/>
</calcChain>
</file>

<file path=xl/sharedStrings.xml><?xml version="1.0" encoding="utf-8"?>
<sst xmlns="http://schemas.openxmlformats.org/spreadsheetml/2006/main" count="1412" uniqueCount="669">
  <si>
    <t>Motilal Oswal MOSt Shares M50 ETF</t>
  </si>
  <si>
    <t>Portfolio as on April 30,2015</t>
  </si>
  <si>
    <t>Sr. No.</t>
  </si>
  <si>
    <t xml:space="preserve"> Name of Instrument</t>
  </si>
  <si>
    <t>ISIN</t>
  </si>
  <si>
    <t xml:space="preserve"> Rating / Industry </t>
  </si>
  <si>
    <t xml:space="preserve"> Quantity</t>
  </si>
  <si>
    <t>Market value (Rs. In lakhs)</t>
  </si>
  <si>
    <t>% to Net Assets</t>
  </si>
  <si>
    <t>Security Type</t>
  </si>
  <si>
    <t>EQUITY &amp; EQUITY RELATED</t>
  </si>
  <si>
    <t xml:space="preserve"> Listed / awaiting listing on the stock exchanges</t>
  </si>
  <si>
    <t>Infosys Limited</t>
  </si>
  <si>
    <t>INE009A01021</t>
  </si>
  <si>
    <t>Software</t>
  </si>
  <si>
    <t>Listed</t>
  </si>
  <si>
    <t>EQUITY</t>
  </si>
  <si>
    <t>HDFC Bank Limited</t>
  </si>
  <si>
    <t>INE040A01026</t>
  </si>
  <si>
    <t>Banks</t>
  </si>
  <si>
    <t>ICICI Bank Limited</t>
  </si>
  <si>
    <t>INE090A01021</t>
  </si>
  <si>
    <t>Housing Development Finance Corporation Limited</t>
  </si>
  <si>
    <t>INE001A01036</t>
  </si>
  <si>
    <t>Finance</t>
  </si>
  <si>
    <t>ITC Limited</t>
  </si>
  <si>
    <t>INE154A01025</t>
  </si>
  <si>
    <t>Consumer Non Durables</t>
  </si>
  <si>
    <t>Reliance Industries Limited</t>
  </si>
  <si>
    <t>INE002A01018</t>
  </si>
  <si>
    <t>Petroleum Products</t>
  </si>
  <si>
    <t>Larsen &amp; Toubro Limited</t>
  </si>
  <si>
    <t>INE018A01030</t>
  </si>
  <si>
    <t>Construction Project</t>
  </si>
  <si>
    <t>Tata Consultancy Services Limited</t>
  </si>
  <si>
    <t>INE467B01029</t>
  </si>
  <si>
    <t>Axis Bank Limited</t>
  </si>
  <si>
    <t>INE238A01034</t>
  </si>
  <si>
    <t>Tata Motors Limited</t>
  </si>
  <si>
    <t>INE155A01022</t>
  </si>
  <si>
    <t>Auto</t>
  </si>
  <si>
    <t>State Bank of India</t>
  </si>
  <si>
    <t>INE062A01020</t>
  </si>
  <si>
    <t>Sun Pharmaceuticals Industries Limited</t>
  </si>
  <si>
    <t>INE044A01036</t>
  </si>
  <si>
    <t>Pharmaceuticals</t>
  </si>
  <si>
    <t>Hindustan Unilever Limited</t>
  </si>
  <si>
    <t>INE030A01027</t>
  </si>
  <si>
    <t>Kotak Mahindra Bank Limited</t>
  </si>
  <si>
    <t>INE237A01028</t>
  </si>
  <si>
    <t>Oil &amp; Natural Gas Corporation Limited</t>
  </si>
  <si>
    <t>INE213A01029</t>
  </si>
  <si>
    <t>Oil</t>
  </si>
  <si>
    <t>Mahindra &amp; Mahindra Limited</t>
  </si>
  <si>
    <t>INE101A01026</t>
  </si>
  <si>
    <t>Bharti Airtel Limited</t>
  </si>
  <si>
    <t>INE397D01024</t>
  </si>
  <si>
    <t>Telecom - Services</t>
  </si>
  <si>
    <t>Maruti Suzuki India Limited</t>
  </si>
  <si>
    <t>INE585B01010</t>
  </si>
  <si>
    <t>HCL Technologies Limited</t>
  </si>
  <si>
    <t>INE860A01027</t>
  </si>
  <si>
    <t>Coal India Limited</t>
  </si>
  <si>
    <t>INE522F01014</t>
  </si>
  <si>
    <t>Minerals/Mining</t>
  </si>
  <si>
    <t>Lupin Limited</t>
  </si>
  <si>
    <t>INE326A01037</t>
  </si>
  <si>
    <t>Dr. Reddy's Laboratories Limited</t>
  </si>
  <si>
    <t>INE089A01023</t>
  </si>
  <si>
    <t>Tech Mahindra Limited</t>
  </si>
  <si>
    <t>INE669C01036</t>
  </si>
  <si>
    <t>IndusInd Bank Limited</t>
  </si>
  <si>
    <t>INE095A01012</t>
  </si>
  <si>
    <t>Wipro Limited</t>
  </si>
  <si>
    <t>INE075A01022</t>
  </si>
  <si>
    <t>Asian Paints Limited</t>
  </si>
  <si>
    <t>INE021A01026</t>
  </si>
  <si>
    <t>Cipla Limited</t>
  </si>
  <si>
    <t>INE059A01026</t>
  </si>
  <si>
    <t>Power Grid Corporation of India Limited</t>
  </si>
  <si>
    <t>INE752E01010</t>
  </si>
  <si>
    <t>Power</t>
  </si>
  <si>
    <t>NTPC Limited</t>
  </si>
  <si>
    <t>INE733E01010</t>
  </si>
  <si>
    <t>Hero MotoCorp Limited</t>
  </si>
  <si>
    <t>INE158A01026</t>
  </si>
  <si>
    <t>UltraTech Cement Limited</t>
  </si>
  <si>
    <t>INE481G01011</t>
  </si>
  <si>
    <t>Cement</t>
  </si>
  <si>
    <t>Yes Bank Limited</t>
  </si>
  <si>
    <t>INE528G01019</t>
  </si>
  <si>
    <t>Bajaj Auto Limited</t>
  </si>
  <si>
    <t>INE917I01010</t>
  </si>
  <si>
    <t>Tata Steel Limited</t>
  </si>
  <si>
    <t>INE081A01012</t>
  </si>
  <si>
    <t>Ferrous Metals</t>
  </si>
  <si>
    <t>Sesa Sterlite Limited</t>
  </si>
  <si>
    <t>INE205A01025</t>
  </si>
  <si>
    <t>Non - Ferrous Metals</t>
  </si>
  <si>
    <t>Grasim Industries Limited</t>
  </si>
  <si>
    <t>INE047A01013</t>
  </si>
  <si>
    <t>IDFC Limited</t>
  </si>
  <si>
    <t>INE043D01016</t>
  </si>
  <si>
    <t>Bharat Heavy Electricals Limited</t>
  </si>
  <si>
    <t>INE257A01026</t>
  </si>
  <si>
    <t>Industrial Capital Goods</t>
  </si>
  <si>
    <t>Bharat Petroleum Corporation Limited</t>
  </si>
  <si>
    <t>INE029A01011</t>
  </si>
  <si>
    <t>Idea Cellular Limited</t>
  </si>
  <si>
    <t>INE669E01016</t>
  </si>
  <si>
    <t>Ambuja Cements Limited</t>
  </si>
  <si>
    <t>INE079A01024</t>
  </si>
  <si>
    <t>Zee Entertainment Enterprises Limited</t>
  </si>
  <si>
    <t>INE256A01028</t>
  </si>
  <si>
    <t>Media &amp; Entertainment</t>
  </si>
  <si>
    <t>GAIL (India) Limited</t>
  </si>
  <si>
    <t>INE129A01019</t>
  </si>
  <si>
    <t>Gas</t>
  </si>
  <si>
    <t>Hindalco Industries Limited</t>
  </si>
  <si>
    <t>INE038A01020</t>
  </si>
  <si>
    <t>Bank of Baroda</t>
  </si>
  <si>
    <t>INE028A01039</t>
  </si>
  <si>
    <t>Tata Power Company Limited</t>
  </si>
  <si>
    <t>INE245A01021</t>
  </si>
  <si>
    <t>ACC Limited</t>
  </si>
  <si>
    <t>INE012A01025</t>
  </si>
  <si>
    <t>Cairn India Limited</t>
  </si>
  <si>
    <t>INE910H01017</t>
  </si>
  <si>
    <t>Punjab National Bank</t>
  </si>
  <si>
    <t>INE160A01022</t>
  </si>
  <si>
    <t>NMDC Limited</t>
  </si>
  <si>
    <t>INE584A01023</t>
  </si>
  <si>
    <t>Total</t>
  </si>
  <si>
    <t>CBLO / Reverse Repo Investments</t>
  </si>
  <si>
    <t>Deposits</t>
  </si>
  <si>
    <t>Tata Motors Limited-Rights</t>
  </si>
  <si>
    <t>IN8155A01013</t>
  </si>
  <si>
    <t>RIGHTS</t>
  </si>
  <si>
    <t>Cash &amp; Cash Equivalents</t>
  </si>
  <si>
    <t>Net Receivable/Payable</t>
  </si>
  <si>
    <t>Grand Total</t>
  </si>
  <si>
    <t>Sector / Rating</t>
  </si>
  <si>
    <t>Percent</t>
  </si>
  <si>
    <t>Cash &amp; Equivalent</t>
  </si>
  <si>
    <t>Motilal Oswal MOSt Shares Midcap 100 ETF</t>
  </si>
  <si>
    <t>Bharat Forge Limited</t>
  </si>
  <si>
    <t>INE465A01025</t>
  </si>
  <si>
    <t>Industrial Products</t>
  </si>
  <si>
    <t>Eicher Motors Limited</t>
  </si>
  <si>
    <t>INE066A01013</t>
  </si>
  <si>
    <t>Motherson Sumi Systems Limited</t>
  </si>
  <si>
    <t>INE775A01035</t>
  </si>
  <si>
    <t>Auto Ancillaries</t>
  </si>
  <si>
    <t>Indiabulls Housing Finance Limited</t>
  </si>
  <si>
    <t>INE148I01020</t>
  </si>
  <si>
    <t>UPL Limited</t>
  </si>
  <si>
    <t>INE628A01036</t>
  </si>
  <si>
    <t>Pesticides</t>
  </si>
  <si>
    <t>Britannia Industries Limited</t>
  </si>
  <si>
    <t>INE216A01022</t>
  </si>
  <si>
    <t>Glenmark Pharmaceuticals Limited</t>
  </si>
  <si>
    <t>INE935A01035</t>
  </si>
  <si>
    <t>Container Corporation of India Limited</t>
  </si>
  <si>
    <t>INE111A01017</t>
  </si>
  <si>
    <t>Transportation</t>
  </si>
  <si>
    <t>Siemens Limited</t>
  </si>
  <si>
    <t>INE003A01024</t>
  </si>
  <si>
    <t>Divi's Laboratories Limited</t>
  </si>
  <si>
    <t>INE361B01024</t>
  </si>
  <si>
    <t>Hindustan Petroleum Corporation Limited</t>
  </si>
  <si>
    <t>INE094A01015</t>
  </si>
  <si>
    <t>MRF Limited</t>
  </si>
  <si>
    <t>INE883A01011</t>
  </si>
  <si>
    <t>Ashok Leyland Limited</t>
  </si>
  <si>
    <t>INE208A01029</t>
  </si>
  <si>
    <t>Marico Limited</t>
  </si>
  <si>
    <t>INE196A01026</t>
  </si>
  <si>
    <t>Power Finance Corporation Limited</t>
  </si>
  <si>
    <t>INE134E01011</t>
  </si>
  <si>
    <t>Indian Oil Corporation Limited</t>
  </si>
  <si>
    <t>INE242A01010</t>
  </si>
  <si>
    <t>Cadila Healthcare Limited</t>
  </si>
  <si>
    <t>INE010B01019</t>
  </si>
  <si>
    <t>Pidilite Industries Limited</t>
  </si>
  <si>
    <t>INE318A01026</t>
  </si>
  <si>
    <t>Chemicals</t>
  </si>
  <si>
    <t>Shree Cements Limited</t>
  </si>
  <si>
    <t>INE070A01015</t>
  </si>
  <si>
    <t>Apollo Hospitals Enterprise Limited</t>
  </si>
  <si>
    <t>INE437A01024</t>
  </si>
  <si>
    <t>Healthcare Services</t>
  </si>
  <si>
    <t>Bajaj Finserv Limited</t>
  </si>
  <si>
    <t>INE918I01018</t>
  </si>
  <si>
    <t>Aditya Birla Nuvo Limited</t>
  </si>
  <si>
    <t>INE069A01017</t>
  </si>
  <si>
    <t>Services</t>
  </si>
  <si>
    <t>Exide Industries Limited</t>
  </si>
  <si>
    <t>INE302A01020</t>
  </si>
  <si>
    <t>Piramal Enterprises Limited</t>
  </si>
  <si>
    <t>INE140A01024</t>
  </si>
  <si>
    <t>Tata Chemicals Limited</t>
  </si>
  <si>
    <t>INE092A01019</t>
  </si>
  <si>
    <t>GlaxoSmithKline Consumer Healthcare Limited</t>
  </si>
  <si>
    <t>INE264A01014</t>
  </si>
  <si>
    <t>Mahindra &amp; Mahindra Financial Services Limited</t>
  </si>
  <si>
    <t>INE774D01024</t>
  </si>
  <si>
    <t>Steel Authority of India Limited</t>
  </si>
  <si>
    <t>INE114A01011</t>
  </si>
  <si>
    <t>Oracle Financial Services Software Limited</t>
  </si>
  <si>
    <t>INE881D01027</t>
  </si>
  <si>
    <t>Bajaj Finance Limited</t>
  </si>
  <si>
    <t>INE296A01016</t>
  </si>
  <si>
    <t>ABB India Limited</t>
  </si>
  <si>
    <t>INE117A01022</t>
  </si>
  <si>
    <t>INE067A01029</t>
  </si>
  <si>
    <t>Mindtree Limited</t>
  </si>
  <si>
    <t>INE018I01017</t>
  </si>
  <si>
    <t>Havells India Limited</t>
  </si>
  <si>
    <t>INE176B01034</t>
  </si>
  <si>
    <t>Consumer Durables</t>
  </si>
  <si>
    <t>Procter &amp; Gamble Hygiene and Health Care Limited</t>
  </si>
  <si>
    <t>INE179A01014</t>
  </si>
  <si>
    <t>Amara Raja Batteries Limited</t>
  </si>
  <si>
    <t>INE885A01032</t>
  </si>
  <si>
    <t>Voltas Limited</t>
  </si>
  <si>
    <t>INE226A01021</t>
  </si>
  <si>
    <t>Oil India Limited</t>
  </si>
  <si>
    <t>INE274J01014</t>
  </si>
  <si>
    <t>Reliance Communications Limited</t>
  </si>
  <si>
    <t>INE330H01018</t>
  </si>
  <si>
    <t>United Breweries Limited</t>
  </si>
  <si>
    <t>INE686F01025</t>
  </si>
  <si>
    <t>Bharat Electronics Limited</t>
  </si>
  <si>
    <t>INE263A01016</t>
  </si>
  <si>
    <t>DLF Limited</t>
  </si>
  <si>
    <t>INE271C01023</t>
  </si>
  <si>
    <t>Construction</t>
  </si>
  <si>
    <t>Torrent Pharmaceuticals Limited</t>
  </si>
  <si>
    <t>INE685A01028</t>
  </si>
  <si>
    <t>Emami Limited</t>
  </si>
  <si>
    <t>INE548C01032</t>
  </si>
  <si>
    <t>Karur Vysya Bank Limited</t>
  </si>
  <si>
    <t>INE036D01010</t>
  </si>
  <si>
    <t>Tata Global Beverages Limited</t>
  </si>
  <si>
    <t>INE192A01025</t>
  </si>
  <si>
    <t>Reliance Infrastructure Limited</t>
  </si>
  <si>
    <t>INE036A01016</t>
  </si>
  <si>
    <t>The Indian Hotels Company Limited</t>
  </si>
  <si>
    <t>INE053A01029</t>
  </si>
  <si>
    <t>HOTELS RESORTS AND OTHER RECREATIONAL ACTIVITIES</t>
  </si>
  <si>
    <t>Canara Bank</t>
  </si>
  <si>
    <t>INE476A01014</t>
  </si>
  <si>
    <t>Max India Limited</t>
  </si>
  <si>
    <t>INE180A01020</t>
  </si>
  <si>
    <t>Petronet LNG Limited</t>
  </si>
  <si>
    <t>INE347G01014</t>
  </si>
  <si>
    <t>Jubilant Foodworks Limited</t>
  </si>
  <si>
    <t>INE797F01012</t>
  </si>
  <si>
    <t>Jindal Steel &amp; Power Limited</t>
  </si>
  <si>
    <t>INE749A01030</t>
  </si>
  <si>
    <t>SKS Microfinance Limited</t>
  </si>
  <si>
    <t>INE180K01011</t>
  </si>
  <si>
    <t>Apollo Tyres Limited</t>
  </si>
  <si>
    <t>INE438A01022</t>
  </si>
  <si>
    <t>Bank of India</t>
  </si>
  <si>
    <t>INE084A01016</t>
  </si>
  <si>
    <t>JSW Energy Limited</t>
  </si>
  <si>
    <t>INE121E01018</t>
  </si>
  <si>
    <t>Reliance Capital Limited</t>
  </si>
  <si>
    <t>INE013A01015</t>
  </si>
  <si>
    <t>CRISIL Limited</t>
  </si>
  <si>
    <t>INE007A01025</t>
  </si>
  <si>
    <t>TVS Motor Company Limited</t>
  </si>
  <si>
    <t>INE494B01023</t>
  </si>
  <si>
    <t>Strides Arcolab Limited</t>
  </si>
  <si>
    <t>INE939A01011</t>
  </si>
  <si>
    <t>IPCA Laboratories Limited</t>
  </si>
  <si>
    <t>INE571A01020</t>
  </si>
  <si>
    <t>The Ramco Cements Limited</t>
  </si>
  <si>
    <t>INE331A01037</t>
  </si>
  <si>
    <t>Thermax Limited</t>
  </si>
  <si>
    <t>INE152A01029</t>
  </si>
  <si>
    <t>Century Textiles &amp; Industries Limited</t>
  </si>
  <si>
    <t>INE055A01016</t>
  </si>
  <si>
    <t>Kansai Nerolac Paints Limited</t>
  </si>
  <si>
    <t>INE531A01024</t>
  </si>
  <si>
    <t>Reliance Power Limited</t>
  </si>
  <si>
    <t>INE614G01033</t>
  </si>
  <si>
    <t>Hindustan Zinc Limited</t>
  </si>
  <si>
    <t>INE267A01025</t>
  </si>
  <si>
    <t>CESC Limited</t>
  </si>
  <si>
    <t>INE486A01013</t>
  </si>
  <si>
    <t>Wockhardt Limited</t>
  </si>
  <si>
    <t>INE049B01025</t>
  </si>
  <si>
    <t>The Great Eastern Shipping Company Limited</t>
  </si>
  <si>
    <t>INE017A01032</t>
  </si>
  <si>
    <t>Dewan Housing Finance Corporation Limited</t>
  </si>
  <si>
    <t>INE202B01012</t>
  </si>
  <si>
    <t>IRB Infrastructure Developers Limited</t>
  </si>
  <si>
    <t>INE821I01014</t>
  </si>
  <si>
    <t>Gujarat State Petronet Limited</t>
  </si>
  <si>
    <t>INE246F01010</t>
  </si>
  <si>
    <t>Sun TV Network Limited</t>
  </si>
  <si>
    <t>INE424H01027</t>
  </si>
  <si>
    <t>Biocon Limited</t>
  </si>
  <si>
    <t>INE376G01013</t>
  </si>
  <si>
    <t>MphasiS Limited</t>
  </si>
  <si>
    <t>INE356A01018</t>
  </si>
  <si>
    <t>The South Indian Bank Limited</t>
  </si>
  <si>
    <t>INE683A01023</t>
  </si>
  <si>
    <t>Tata Communications Limited</t>
  </si>
  <si>
    <t>INE151A01013</t>
  </si>
  <si>
    <t>NHPC Limited</t>
  </si>
  <si>
    <t>INE848E01016</t>
  </si>
  <si>
    <t>Union Bank of India</t>
  </si>
  <si>
    <t>INE692A01016</t>
  </si>
  <si>
    <t>Bata India Limited</t>
  </si>
  <si>
    <t>INE176A01010</t>
  </si>
  <si>
    <t>Godrej Industries Limited</t>
  </si>
  <si>
    <t>INE233A01035</t>
  </si>
  <si>
    <t>Jaiprakash Associates Limited</t>
  </si>
  <si>
    <t>INE455F01025</t>
  </si>
  <si>
    <t>Sanofi India Limited</t>
  </si>
  <si>
    <t>INE058A01010</t>
  </si>
  <si>
    <t>Indraprastha Gas Limited</t>
  </si>
  <si>
    <t>INE203G01019</t>
  </si>
  <si>
    <t>IDBI Bank Limited</t>
  </si>
  <si>
    <t>INE008A01015</t>
  </si>
  <si>
    <t>GMR Infrastructure Limited</t>
  </si>
  <si>
    <t>INE776C01039</t>
  </si>
  <si>
    <t>Just Dial Limited</t>
  </si>
  <si>
    <t>INE599M01018</t>
  </si>
  <si>
    <t>Torrent Power Limited</t>
  </si>
  <si>
    <t>INE813H01021</t>
  </si>
  <si>
    <t>L&amp;T Finance Holdings Limited</t>
  </si>
  <si>
    <t>INE498L01015</t>
  </si>
  <si>
    <t>Oriental Bank of Commerce</t>
  </si>
  <si>
    <t>INE141A01014</t>
  </si>
  <si>
    <t>The Karnataka Bank Limited</t>
  </si>
  <si>
    <t>INE614B01018</t>
  </si>
  <si>
    <t>Allahabad Bank</t>
  </si>
  <si>
    <t>INE428A01015</t>
  </si>
  <si>
    <t>Ifci Limited</t>
  </si>
  <si>
    <t>INE039A01010</t>
  </si>
  <si>
    <t>Unitech Limited</t>
  </si>
  <si>
    <t>INE694A01020</t>
  </si>
  <si>
    <t>The Jammu &amp; Kashmir Bank Limited</t>
  </si>
  <si>
    <t>INE168A01041</t>
  </si>
  <si>
    <t>Syndicate Bank</t>
  </si>
  <si>
    <t>INE667A01018</t>
  </si>
  <si>
    <t>Jain Irrigation Systems Limited</t>
  </si>
  <si>
    <t>INE175A01038</t>
  </si>
  <si>
    <t>Kpit Technologies Limited</t>
  </si>
  <si>
    <t>INE836A01035</t>
  </si>
  <si>
    <t>Motilal Oswal MOSt Shares NASDAQ 100 ETF</t>
  </si>
  <si>
    <t>Apple</t>
  </si>
  <si>
    <t>US0378331005</t>
  </si>
  <si>
    <t>Technology Hardware &amp; Equipment</t>
  </si>
  <si>
    <t>Microsoft Corporation</t>
  </si>
  <si>
    <t>US5949181045</t>
  </si>
  <si>
    <t>Software &amp; Services</t>
  </si>
  <si>
    <t>Amazon.com</t>
  </si>
  <si>
    <t>US0231351067</t>
  </si>
  <si>
    <t>Retailing</t>
  </si>
  <si>
    <t>Google -Class C</t>
  </si>
  <si>
    <t>US38259P7069</t>
  </si>
  <si>
    <t>Facebook</t>
  </si>
  <si>
    <t>US30303M1027</t>
  </si>
  <si>
    <t>Internet Software &amp; Services</t>
  </si>
  <si>
    <t>Google</t>
  </si>
  <si>
    <t>US38259P5089</t>
  </si>
  <si>
    <t>Intel Corporation</t>
  </si>
  <si>
    <t>US4581401001</t>
  </si>
  <si>
    <t>Semiconductors &amp; Semiconductor</t>
  </si>
  <si>
    <t>Gilead Sciences</t>
  </si>
  <si>
    <t>US3755581036</t>
  </si>
  <si>
    <t>Pharmaceuticals Biotechnology</t>
  </si>
  <si>
    <t>Cisco Systems</t>
  </si>
  <si>
    <t>US17275R1023</t>
  </si>
  <si>
    <t>Comcast Corporation</t>
  </si>
  <si>
    <t>US20030N1019</t>
  </si>
  <si>
    <t>Media</t>
  </si>
  <si>
    <t>Amgen</t>
  </si>
  <si>
    <t>US0311621009</t>
  </si>
  <si>
    <t>QUALCOMM</t>
  </si>
  <si>
    <t>US7475251036</t>
  </si>
  <si>
    <t>WALGREENS BOOTS ALLIANCE INC WBA</t>
  </si>
  <si>
    <t>US9314271084</t>
  </si>
  <si>
    <t>Food &amp; Staples Retail</t>
  </si>
  <si>
    <t>Celgene Corporation</t>
  </si>
  <si>
    <t>US1510201049</t>
  </si>
  <si>
    <t>Biogen Idec</t>
  </si>
  <si>
    <t>US09062X1037</t>
  </si>
  <si>
    <t>Starbucks Corporation</t>
  </si>
  <si>
    <t>US8552441094</t>
  </si>
  <si>
    <t>Consumer Services</t>
  </si>
  <si>
    <t>eBay</t>
  </si>
  <si>
    <t>US2786421030</t>
  </si>
  <si>
    <t>priceline.com</t>
  </si>
  <si>
    <t>US7415034039</t>
  </si>
  <si>
    <t>Mondelez International</t>
  </si>
  <si>
    <t>US6092071058</t>
  </si>
  <si>
    <t>Food Products</t>
  </si>
  <si>
    <t>Costco Wholesale Corporation</t>
  </si>
  <si>
    <t>US22160K1051</t>
  </si>
  <si>
    <t>Food &amp; Staples Retailing</t>
  </si>
  <si>
    <t>Express Scripts Holding</t>
  </si>
  <si>
    <t>US30219G1085</t>
  </si>
  <si>
    <t>Health Care Equipment &amp; Services</t>
  </si>
  <si>
    <t>Baidu</t>
  </si>
  <si>
    <t>US0567521085</t>
  </si>
  <si>
    <t>Texas Instruments</t>
  </si>
  <si>
    <t>US8825081040</t>
  </si>
  <si>
    <t>Semiconductors</t>
  </si>
  <si>
    <t>Kraft Foods Group</t>
  </si>
  <si>
    <t>US50076Q1067</t>
  </si>
  <si>
    <t>Regeneron Pharmaceuticals</t>
  </si>
  <si>
    <t>US75886F1075</t>
  </si>
  <si>
    <t>Biotechnology</t>
  </si>
  <si>
    <t>Twenty-First Century Fox</t>
  </si>
  <si>
    <t>US90130A1016</t>
  </si>
  <si>
    <t>DIRECTV</t>
  </si>
  <si>
    <t>US25490A3095</t>
  </si>
  <si>
    <t>Automatic Data Processing</t>
  </si>
  <si>
    <t>US0530151036</t>
  </si>
  <si>
    <t>Yahoo!</t>
  </si>
  <si>
    <t>US9843321061</t>
  </si>
  <si>
    <t>Adobe Systems</t>
  </si>
  <si>
    <t>US00724F1012</t>
  </si>
  <si>
    <t>Cognizant Technology Solution</t>
  </si>
  <si>
    <t>US1924461023</t>
  </si>
  <si>
    <t>Alexion Pharmaceuticals</t>
  </si>
  <si>
    <t>US0153511094</t>
  </si>
  <si>
    <t>Netflix</t>
  </si>
  <si>
    <t>US64110L1061</t>
  </si>
  <si>
    <t>American Airlines Group Inc Com Usd1</t>
  </si>
  <si>
    <t>US02376R1023</t>
  </si>
  <si>
    <t>Airlines</t>
  </si>
  <si>
    <t>GB00B8W67B19</t>
  </si>
  <si>
    <t>Micron Technology</t>
  </si>
  <si>
    <t>US5951121038</t>
  </si>
  <si>
    <t>Avago Technologies</t>
  </si>
  <si>
    <t>SG9999006241</t>
  </si>
  <si>
    <t>Vertex Pharmaceuticals</t>
  </si>
  <si>
    <t>US92532F1003</t>
  </si>
  <si>
    <t>Tesla Motors</t>
  </si>
  <si>
    <t>US88160R1014</t>
  </si>
  <si>
    <t>AutoMobile</t>
  </si>
  <si>
    <t>Intuit</t>
  </si>
  <si>
    <t>US4612021034</t>
  </si>
  <si>
    <t>Mylan</t>
  </si>
  <si>
    <t>NL0011031208</t>
  </si>
  <si>
    <t>Twenty-First Century Fox - B</t>
  </si>
  <si>
    <t>US90130A2006</t>
  </si>
  <si>
    <t>ILLUMINA</t>
  </si>
  <si>
    <t>US4523271090</t>
  </si>
  <si>
    <t>Life Sciences Tools &amp; Services</t>
  </si>
  <si>
    <t>Viacom</t>
  </si>
  <si>
    <t>US92553P2011</t>
  </si>
  <si>
    <t>Cerner Corporation</t>
  </si>
  <si>
    <t>US1567821046</t>
  </si>
  <si>
    <t>Applied Materials</t>
  </si>
  <si>
    <t>US0382221051</t>
  </si>
  <si>
    <t>Broadcom Corporation</t>
  </si>
  <si>
    <t>US1113201073</t>
  </si>
  <si>
    <t>PACCAR</t>
  </si>
  <si>
    <t>US6937181088</t>
  </si>
  <si>
    <t>Capital Goods</t>
  </si>
  <si>
    <t>Monster Beverage Corporation</t>
  </si>
  <si>
    <t>US6117401017</t>
  </si>
  <si>
    <t>Beverages</t>
  </si>
  <si>
    <t>Comcast Corp-Spec A</t>
  </si>
  <si>
    <t>US20030N2009</t>
  </si>
  <si>
    <t>Marriott International -Cl A</t>
  </si>
  <si>
    <t>US5719032022</t>
  </si>
  <si>
    <t>Hotels Restaurants &amp; Leisure</t>
  </si>
  <si>
    <t>O'Reilly Automotive</t>
  </si>
  <si>
    <t>US67103H1077</t>
  </si>
  <si>
    <t>Sirius Xm Holdings</t>
  </si>
  <si>
    <t>US82968B1035</t>
  </si>
  <si>
    <t>Western Digital Corporation</t>
  </si>
  <si>
    <t>US9581021055</t>
  </si>
  <si>
    <t>Computers &amp; Peripherals</t>
  </si>
  <si>
    <t>NXP SEMICONDUCTORS</t>
  </si>
  <si>
    <t>NL0009538784</t>
  </si>
  <si>
    <t>Semiconductors &amp; Semiconductor Equipment</t>
  </si>
  <si>
    <t>Charter Communication-A</t>
  </si>
  <si>
    <t>US16117M3051</t>
  </si>
  <si>
    <t>Ross Stores</t>
  </si>
  <si>
    <t>US7782961038</t>
  </si>
  <si>
    <t>Analog Devices</t>
  </si>
  <si>
    <t>US0326541051</t>
  </si>
  <si>
    <t>Seagate Technology</t>
  </si>
  <si>
    <t>IE00B58JVZ52</t>
  </si>
  <si>
    <t>Fiserv</t>
  </si>
  <si>
    <t>US3377381088</t>
  </si>
  <si>
    <t>Keurig Green Mountain</t>
  </si>
  <si>
    <t>US49271M1009</t>
  </si>
  <si>
    <t>Food Beverages &amp; Tobacco</t>
  </si>
  <si>
    <t>Intuitive Surgical</t>
  </si>
  <si>
    <t>US46120E6023</t>
  </si>
  <si>
    <t>Electronic Arts Inc Com</t>
  </si>
  <si>
    <t>US2855121099</t>
  </si>
  <si>
    <t>Paychex</t>
  </si>
  <si>
    <t>US7043261079</t>
  </si>
  <si>
    <t>Whole Food Market</t>
  </si>
  <si>
    <t>US9668371068</t>
  </si>
  <si>
    <t>Symantec Corporation</t>
  </si>
  <si>
    <t>US8715031089</t>
  </si>
  <si>
    <t>Activision Blizzard</t>
  </si>
  <si>
    <t>US00507V1098</t>
  </si>
  <si>
    <t>Sigma-Aldrich Corporation</t>
  </si>
  <si>
    <t>US8265521018</t>
  </si>
  <si>
    <t>Materials</t>
  </si>
  <si>
    <t>Dollar Tree</t>
  </si>
  <si>
    <t>US2567461080</t>
  </si>
  <si>
    <t>Check Point Software Technologies</t>
  </si>
  <si>
    <t>IL0010824113</t>
  </si>
  <si>
    <t>Vodafone Group</t>
  </si>
  <si>
    <t>US92857W3088</t>
  </si>
  <si>
    <t>Telecommunication Services</t>
  </si>
  <si>
    <t>DISH NETWORK CORPORATION</t>
  </si>
  <si>
    <t>US25470M1099</t>
  </si>
  <si>
    <t>Sba Communications Corporation</t>
  </si>
  <si>
    <t>US78388J1060</t>
  </si>
  <si>
    <t>Wireless Telecommunication Services</t>
  </si>
  <si>
    <t>SanDisk Corporation</t>
  </si>
  <si>
    <t>US80004C1018</t>
  </si>
  <si>
    <t>CA</t>
  </si>
  <si>
    <t>US12673P1057</t>
  </si>
  <si>
    <t>Autodesk</t>
  </si>
  <si>
    <t>US0527691069</t>
  </si>
  <si>
    <t>Akamai Technologies</t>
  </si>
  <si>
    <t>US00971T1016</t>
  </si>
  <si>
    <t>Bed Bath &amp; Beyond</t>
  </si>
  <si>
    <t>US0758961009</t>
  </si>
  <si>
    <t>Liberty Global</t>
  </si>
  <si>
    <t>GB00B8W67662</t>
  </si>
  <si>
    <t>Liberty Interactive Corporation</t>
  </si>
  <si>
    <t>US53071M1045</t>
  </si>
  <si>
    <t>Fastenal Company</t>
  </si>
  <si>
    <t>US3119001044</t>
  </si>
  <si>
    <t>Catamaran Corporation</t>
  </si>
  <si>
    <t>CA1488871023</t>
  </si>
  <si>
    <t>Health Care Providers &amp; Servic</t>
  </si>
  <si>
    <t>Altera Corporation</t>
  </si>
  <si>
    <t>US0214411003</t>
  </si>
  <si>
    <t>Lam Research Corp Com</t>
  </si>
  <si>
    <t>US5128071082</t>
  </si>
  <si>
    <t>Verisk Analytics</t>
  </si>
  <si>
    <t>US92345Y1064</t>
  </si>
  <si>
    <t>Professional Services</t>
  </si>
  <si>
    <t>TRACTOR SUPPLY COMPANY</t>
  </si>
  <si>
    <t>US8923561067</t>
  </si>
  <si>
    <t>Specialty Retail</t>
  </si>
  <si>
    <t>NVIDIA Corporation</t>
  </si>
  <si>
    <t>US67066G1040</t>
  </si>
  <si>
    <t>Henry Schein</t>
  </si>
  <si>
    <t>US8064071025</t>
  </si>
  <si>
    <t>Netapp</t>
  </si>
  <si>
    <t>US64110D1046</t>
  </si>
  <si>
    <t>Stericycle</t>
  </si>
  <si>
    <t>US8589121081</t>
  </si>
  <si>
    <t>Commercial &amp; Professional Services</t>
  </si>
  <si>
    <t>Xilinx</t>
  </si>
  <si>
    <t>US9839191015</t>
  </si>
  <si>
    <t>Linear Technology Corporation</t>
  </si>
  <si>
    <t>US5356781063</t>
  </si>
  <si>
    <t>Wynn Resorts</t>
  </si>
  <si>
    <t>US9831341071</t>
  </si>
  <si>
    <t>Citrix Systems</t>
  </si>
  <si>
    <t>US1773761002</t>
  </si>
  <si>
    <t>TRIPADVISOR</t>
  </si>
  <si>
    <t>US8969452015</t>
  </si>
  <si>
    <t>Internet &amp; Catalog Retail</t>
  </si>
  <si>
    <t>Staples</t>
  </si>
  <si>
    <t>US8550301027</t>
  </si>
  <si>
    <t>Vimpelcom</t>
  </si>
  <si>
    <t>US92719A1060</t>
  </si>
  <si>
    <t>KLA-Tencor Corporation</t>
  </si>
  <si>
    <t>US4824801009</t>
  </si>
  <si>
    <t>Mattel</t>
  </si>
  <si>
    <t>US5770811025</t>
  </si>
  <si>
    <t>Consumer Durables &amp; Apparel</t>
  </si>
  <si>
    <t>C.H.Robinson Worldwide</t>
  </si>
  <si>
    <t>US12541W2098</t>
  </si>
  <si>
    <t>Liberty Media Corporation - C</t>
  </si>
  <si>
    <t>US5312293005</t>
  </si>
  <si>
    <t>Expeditors International of Washington</t>
  </si>
  <si>
    <t>US3021301094</t>
  </si>
  <si>
    <t>Garmin</t>
  </si>
  <si>
    <t>CH0114405324</t>
  </si>
  <si>
    <t xml:space="preserve">Discovery Communications C </t>
  </si>
  <si>
    <t>US25470F3029</t>
  </si>
  <si>
    <t>Liberty Ventures - Ser A</t>
  </si>
  <si>
    <t>US53071M8800</t>
  </si>
  <si>
    <t>Consumer Discretionary</t>
  </si>
  <si>
    <t>Discovery Communications</t>
  </si>
  <si>
    <t>US25470F1049</t>
  </si>
  <si>
    <t>Liberty Media Corporation</t>
  </si>
  <si>
    <t>US5312291025</t>
  </si>
  <si>
    <t>Motilal Oswal MOSt 10 Year Gilt Fund</t>
  </si>
  <si>
    <t>CENTRAL GOVERNMENT SECURITIES</t>
  </si>
  <si>
    <t>GOI 08.40% 28JUL24</t>
  </si>
  <si>
    <t>IN0020140045</t>
  </si>
  <si>
    <t>SOV</t>
  </si>
  <si>
    <t>Fixed rates bonds - Government</t>
  </si>
  <si>
    <t>Motilal Oswal MOSt Focused 25 Fund</t>
  </si>
  <si>
    <t xml:space="preserve">Tata Motors DVR 'A' </t>
  </si>
  <si>
    <t>IN9155A01020</t>
  </si>
  <si>
    <t>United Spirits Limited</t>
  </si>
  <si>
    <t>INE854D01016</t>
  </si>
  <si>
    <t>Castrol India Limited</t>
  </si>
  <si>
    <t>INE172A01027</t>
  </si>
  <si>
    <t>Tata Motors DVR 'A' -Rights</t>
  </si>
  <si>
    <t>IN9155A0102R</t>
  </si>
  <si>
    <t>Motilal Oswal MOSt Ultra Short Fund</t>
  </si>
  <si>
    <t>MONEY MARKET INSTRUMENT</t>
  </si>
  <si>
    <t>Certificate of Deposit**</t>
  </si>
  <si>
    <t>INE608A16IF2</t>
  </si>
  <si>
    <t>Unlisted</t>
  </si>
  <si>
    <t>CERTIFICATE OF DEPOSIT</t>
  </si>
  <si>
    <t>Bank of Maharashtra</t>
  </si>
  <si>
    <t>INE457A16EP2</t>
  </si>
  <si>
    <t>INE028A16AR5</t>
  </si>
  <si>
    <t>INE238A16ZB1</t>
  </si>
  <si>
    <t>INE008A16ZG7</t>
  </si>
  <si>
    <t>Dena Bank</t>
  </si>
  <si>
    <t>INE077A16CL1</t>
  </si>
  <si>
    <t>CRISIL A1+</t>
  </si>
  <si>
    <t>INE691A16JA7</t>
  </si>
  <si>
    <t>Andhra Bank</t>
  </si>
  <si>
    <t>INE434A16KC6</t>
  </si>
  <si>
    <t>CARE A1+</t>
  </si>
  <si>
    <t>INE084A16BB0</t>
  </si>
  <si>
    <t>INE160A16KT1</t>
  </si>
  <si>
    <t>Corporation Bank</t>
  </si>
  <si>
    <t>INE112A16HI1</t>
  </si>
  <si>
    <t>Motilal Oswal MOSt Focused Midcap30 Fund</t>
  </si>
  <si>
    <t>Ajanta Pharma Limited</t>
  </si>
  <si>
    <t>INE031B01049</t>
  </si>
  <si>
    <t>Page Industries Limited</t>
  </si>
  <si>
    <t>INE761H01022</t>
  </si>
  <si>
    <t>Textile Products</t>
  </si>
  <si>
    <t>Gujarat Pipavav Port Limited</t>
  </si>
  <si>
    <t>INE517F01014</t>
  </si>
  <si>
    <t>Multi Commodity Exchange of India Limited</t>
  </si>
  <si>
    <t>INE745G01035</t>
  </si>
  <si>
    <t>Sundaram Finance Limited</t>
  </si>
  <si>
    <t>INE660A01013</t>
  </si>
  <si>
    <t>Tata Elxsi Limited</t>
  </si>
  <si>
    <t>INE670A01012</t>
  </si>
  <si>
    <t>Supreme Industries Limited</t>
  </si>
  <si>
    <t>INE195A01028</t>
  </si>
  <si>
    <t>Repco Home Finance Limited</t>
  </si>
  <si>
    <t>INE612J01015</t>
  </si>
  <si>
    <t>Motilal Oswal MOSt Focused Multicap35 Fn</t>
  </si>
  <si>
    <t>Berkshire Hathaway</t>
  </si>
  <si>
    <t>US0846707026</t>
  </si>
  <si>
    <t>Financials</t>
  </si>
  <si>
    <t>Bosch Limited</t>
  </si>
  <si>
    <t>INE323A01026</t>
  </si>
  <si>
    <t>Motilal Oswal MOSt Focused Long Term Fn</t>
  </si>
  <si>
    <t>IND A1+</t>
  </si>
  <si>
    <t>ICRA A1+</t>
  </si>
  <si>
    <t>LIBERTY GLOBAL INC-C W/I COM SER C</t>
  </si>
  <si>
    <t>UCO Bank</t>
  </si>
  <si>
    <t>Punjab &amp; Sind Bank</t>
  </si>
  <si>
    <t>Crompton Greaves Limited</t>
  </si>
</sst>
</file>

<file path=xl/styles.xml><?xml version="1.0" encoding="utf-8"?>
<styleSheet xmlns="http://schemas.openxmlformats.org/spreadsheetml/2006/main">
  <numFmts count="5">
    <numFmt numFmtId="164" formatCode="#,###;\(#,###\)"/>
    <numFmt numFmtId="165" formatCode="#,###.00;\(#,###.00\)"/>
    <numFmt numFmtId="166" formatCode="0.00\%;\-0.00\%"/>
    <numFmt numFmtId="167" formatCode="#,##0.00;\(#,##0.00\)"/>
    <numFmt numFmtId="168" formatCode="#,##0.0000000_);\(#,##0.0000000\)"/>
  </numFmts>
  <fonts count="9">
    <font>
      <sz val="10"/>
      <name val="Arial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49" fontId="7" fillId="2" borderId="1" xfId="0" applyNumberFormat="1" applyFont="1" applyFill="1" applyBorder="1" applyAlignment="1">
      <alignment horizontal="left"/>
    </xf>
    <xf numFmtId="164" fontId="7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166" fontId="7" fillId="2" borderId="1" xfId="0" applyNumberFormat="1" applyFont="1" applyFill="1" applyBorder="1" applyAlignment="1">
      <alignment horizontal="right"/>
    </xf>
    <xf numFmtId="49" fontId="8" fillId="2" borderId="0" xfId="0" applyNumberFormat="1" applyFont="1" applyFill="1" applyAlignment="1">
      <alignment horizontal="left"/>
    </xf>
    <xf numFmtId="49" fontId="7" fillId="2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left" vertical="center"/>
    </xf>
    <xf numFmtId="0" fontId="8" fillId="2" borderId="1" xfId="0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166" fontId="7" fillId="2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horizontal="right" vertical="center"/>
    </xf>
    <xf numFmtId="166" fontId="8" fillId="3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right"/>
    </xf>
    <xf numFmtId="167" fontId="7" fillId="4" borderId="1" xfId="0" applyNumberFormat="1" applyFont="1" applyFill="1" applyBorder="1" applyAlignment="1">
      <alignment horizontal="right" vertical="center"/>
    </xf>
    <xf numFmtId="167" fontId="7" fillId="2" borderId="1" xfId="0" applyNumberFormat="1" applyFont="1" applyFill="1" applyBorder="1" applyAlignment="1">
      <alignment horizontal="right" vertical="center"/>
    </xf>
    <xf numFmtId="167" fontId="8" fillId="3" borderId="1" xfId="0" applyNumberFormat="1" applyFont="1" applyFill="1" applyBorder="1" applyAlignment="1">
      <alignment horizontal="right" vertical="center"/>
    </xf>
    <xf numFmtId="168" fontId="0" fillId="0" borderId="0" xfId="0" applyNumberFormat="1"/>
    <xf numFmtId="49" fontId="7" fillId="0" borderId="1" xfId="0" applyNumberFormat="1" applyFont="1" applyFill="1" applyBorder="1" applyAlignment="1">
      <alignment horizontal="left"/>
    </xf>
    <xf numFmtId="49" fontId="2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3</xdr:col>
      <xdr:colOff>1104900</xdr:colOff>
      <xdr:row>59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372600"/>
          <a:ext cx="5534025" cy="3133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4</xdr:col>
      <xdr:colOff>333375</xdr:colOff>
      <xdr:row>55</xdr:row>
      <xdr:rowOff>66675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372600"/>
          <a:ext cx="6143625" cy="2495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180975</xdr:colOff>
      <xdr:row>53</xdr:row>
      <xdr:rowOff>28575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144000"/>
          <a:ext cx="5991225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5</xdr:col>
      <xdr:colOff>371475</xdr:colOff>
      <xdr:row>49</xdr:row>
      <xdr:rowOff>123825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8686800"/>
          <a:ext cx="724852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5</xdr:col>
      <xdr:colOff>333375</xdr:colOff>
      <xdr:row>43</xdr:row>
      <xdr:rowOff>19050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7086600"/>
          <a:ext cx="7000875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3</xdr:col>
      <xdr:colOff>1009650</xdr:colOff>
      <xdr:row>89</xdr:row>
      <xdr:rowOff>38100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6687800"/>
          <a:ext cx="5438775" cy="279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3</xdr:col>
      <xdr:colOff>876300</xdr:colOff>
      <xdr:row>139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27660600"/>
          <a:ext cx="5305425" cy="316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3</xdr:col>
      <xdr:colOff>1295400</xdr:colOff>
      <xdr:row>141</xdr:row>
      <xdr:rowOff>38100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28127325"/>
          <a:ext cx="5724525" cy="3114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142875</xdr:colOff>
      <xdr:row>36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4800600"/>
          <a:ext cx="5743575" cy="2733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607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19</v>
      </c>
      <c r="K5" s="14">
        <v>20.368837945095933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40</v>
      </c>
      <c r="K6" s="14">
        <v>20.219153223454569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27</v>
      </c>
      <c r="K7" s="14">
        <v>9.504524736864397</v>
      </c>
    </row>
    <row r="8" spans="1:11" s="1" customFormat="1" ht="18" customHeight="1">
      <c r="A8" s="10">
        <v>1</v>
      </c>
      <c r="B8" s="11" t="s">
        <v>148</v>
      </c>
      <c r="C8" s="11" t="s">
        <v>149</v>
      </c>
      <c r="D8" s="11" t="s">
        <v>40</v>
      </c>
      <c r="E8" s="12">
        <v>15946</v>
      </c>
      <c r="F8" s="35">
        <v>2422.4525359999998</v>
      </c>
      <c r="G8" s="14">
        <v>8.0462555795287223</v>
      </c>
      <c r="H8" s="15" t="s">
        <v>15</v>
      </c>
      <c r="I8" s="15" t="s">
        <v>16</v>
      </c>
      <c r="J8" s="11" t="s">
        <v>24</v>
      </c>
      <c r="K8" s="14">
        <v>9.1832190239829004</v>
      </c>
    </row>
    <row r="9" spans="1:11" s="1" customFormat="1" ht="18" customHeight="1">
      <c r="A9" s="10">
        <v>2</v>
      </c>
      <c r="B9" s="11" t="s">
        <v>58</v>
      </c>
      <c r="C9" s="11" t="s">
        <v>59</v>
      </c>
      <c r="D9" s="11" t="s">
        <v>40</v>
      </c>
      <c r="E9" s="12">
        <v>58964</v>
      </c>
      <c r="F9" s="35">
        <v>2196.910194</v>
      </c>
      <c r="G9" s="14">
        <v>7.2971092904814823</v>
      </c>
      <c r="H9" s="15"/>
      <c r="I9" s="15"/>
      <c r="J9" s="11" t="s">
        <v>14</v>
      </c>
      <c r="K9" s="14">
        <v>8.5721660344850381</v>
      </c>
    </row>
    <row r="10" spans="1:11" s="1" customFormat="1" ht="18" customHeight="1">
      <c r="A10" s="10">
        <v>3</v>
      </c>
      <c r="B10" s="11" t="s">
        <v>48</v>
      </c>
      <c r="C10" s="11" t="s">
        <v>49</v>
      </c>
      <c r="D10" s="11" t="s">
        <v>19</v>
      </c>
      <c r="E10" s="12">
        <v>158637</v>
      </c>
      <c r="F10" s="35">
        <v>2114.472573</v>
      </c>
      <c r="G10" s="14">
        <v>7.0232900275333616</v>
      </c>
      <c r="H10" s="15"/>
      <c r="I10" s="15"/>
      <c r="J10" s="11" t="s">
        <v>30</v>
      </c>
      <c r="K10" s="14">
        <v>8.0847177719169032</v>
      </c>
    </row>
    <row r="11" spans="1:11" s="1" customFormat="1" ht="18" customHeight="1">
      <c r="A11" s="10">
        <v>4</v>
      </c>
      <c r="B11" s="11" t="s">
        <v>17</v>
      </c>
      <c r="C11" s="11" t="s">
        <v>18</v>
      </c>
      <c r="D11" s="11" t="s">
        <v>19</v>
      </c>
      <c r="E11" s="12">
        <v>212681</v>
      </c>
      <c r="F11" s="35">
        <v>2102.989728</v>
      </c>
      <c r="G11" s="14">
        <v>6.9851493811111718</v>
      </c>
      <c r="H11" s="15"/>
      <c r="I11" s="15"/>
      <c r="J11" s="11" t="s">
        <v>33</v>
      </c>
      <c r="K11" s="14">
        <v>5.9076994808549417</v>
      </c>
    </row>
    <row r="12" spans="1:11" s="1" customFormat="1" ht="18" customHeight="1">
      <c r="A12" s="10">
        <v>5</v>
      </c>
      <c r="B12" s="11" t="s">
        <v>41</v>
      </c>
      <c r="C12" s="11" t="s">
        <v>42</v>
      </c>
      <c r="D12" s="11" t="s">
        <v>19</v>
      </c>
      <c r="E12" s="12">
        <v>709879</v>
      </c>
      <c r="F12" s="35">
        <v>1914.8986024999999</v>
      </c>
      <c r="G12" s="14">
        <v>6.360398536451398</v>
      </c>
      <c r="H12" s="15"/>
      <c r="I12" s="15"/>
      <c r="J12" s="11" t="s">
        <v>45</v>
      </c>
      <c r="K12" s="14">
        <v>5.8694921546615859</v>
      </c>
    </row>
    <row r="13" spans="1:11" s="1" customFormat="1" ht="18" customHeight="1">
      <c r="A13" s="10">
        <v>6</v>
      </c>
      <c r="B13" s="11" t="s">
        <v>31</v>
      </c>
      <c r="C13" s="11" t="s">
        <v>32</v>
      </c>
      <c r="D13" s="11" t="s">
        <v>33</v>
      </c>
      <c r="E13" s="12">
        <v>109030</v>
      </c>
      <c r="F13" s="35">
        <v>1778.6063899999999</v>
      </c>
      <c r="G13" s="14">
        <v>5.9076994808549417</v>
      </c>
      <c r="H13" s="15"/>
      <c r="I13" s="15"/>
      <c r="J13" s="11" t="s">
        <v>164</v>
      </c>
      <c r="K13" s="14">
        <v>4.0093125117745432</v>
      </c>
    </row>
    <row r="14" spans="1:11" s="1" customFormat="1" ht="18" customHeight="1">
      <c r="A14" s="10">
        <v>7</v>
      </c>
      <c r="B14" s="11" t="s">
        <v>43</v>
      </c>
      <c r="C14" s="11" t="s">
        <v>44</v>
      </c>
      <c r="D14" s="11" t="s">
        <v>45</v>
      </c>
      <c r="E14" s="12">
        <v>188220</v>
      </c>
      <c r="F14" s="35">
        <v>1767.10347</v>
      </c>
      <c r="G14" s="14">
        <v>5.8694921546615859</v>
      </c>
      <c r="H14" s="15"/>
      <c r="I14" s="15"/>
      <c r="J14" s="11" t="s">
        <v>185</v>
      </c>
      <c r="K14" s="14">
        <v>3.8650417474486956</v>
      </c>
    </row>
    <row r="15" spans="1:11" s="1" customFormat="1" ht="18" customHeight="1">
      <c r="A15" s="10">
        <v>8</v>
      </c>
      <c r="B15" s="11" t="s">
        <v>158</v>
      </c>
      <c r="C15" s="11" t="s">
        <v>159</v>
      </c>
      <c r="D15" s="11" t="s">
        <v>27</v>
      </c>
      <c r="E15" s="12">
        <v>78424</v>
      </c>
      <c r="F15" s="35">
        <v>1723.6418840000001</v>
      </c>
      <c r="G15" s="14">
        <v>5.7251330707783152</v>
      </c>
      <c r="H15" s="15"/>
      <c r="I15" s="15"/>
      <c r="J15" s="11" t="s">
        <v>147</v>
      </c>
      <c r="K15" s="14">
        <v>3.7885582347045301</v>
      </c>
    </row>
    <row r="16" spans="1:11" s="1" customFormat="1" ht="18" customHeight="1">
      <c r="A16" s="10">
        <v>9</v>
      </c>
      <c r="B16" s="11" t="s">
        <v>169</v>
      </c>
      <c r="C16" s="11" t="s">
        <v>170</v>
      </c>
      <c r="D16" s="11" t="s">
        <v>30</v>
      </c>
      <c r="E16" s="12">
        <v>251188</v>
      </c>
      <c r="F16" s="35">
        <v>1570.3017819999998</v>
      </c>
      <c r="G16" s="14">
        <v>5.2158088908625748</v>
      </c>
      <c r="H16" s="15"/>
      <c r="I16" s="15"/>
      <c r="J16" s="11" t="s">
        <v>143</v>
      </c>
      <c r="K16" s="14">
        <v>0.62727713475597713</v>
      </c>
    </row>
    <row r="17" spans="1:9" s="1" customFormat="1" ht="20.25" customHeight="1">
      <c r="A17" s="10">
        <v>10</v>
      </c>
      <c r="B17" s="11" t="s">
        <v>69</v>
      </c>
      <c r="C17" s="11" t="s">
        <v>70</v>
      </c>
      <c r="D17" s="11" t="s">
        <v>14</v>
      </c>
      <c r="E17" s="12">
        <v>248279</v>
      </c>
      <c r="F17" s="35">
        <v>1542.6815665000001</v>
      </c>
      <c r="G17" s="14">
        <v>5.1240674388539329</v>
      </c>
      <c r="H17" s="15"/>
      <c r="I17" s="15"/>
    </row>
    <row r="18" spans="1:9" s="1" customFormat="1" ht="18" customHeight="1">
      <c r="A18" s="10">
        <v>11</v>
      </c>
      <c r="B18" s="11" t="s">
        <v>22</v>
      </c>
      <c r="C18" s="11" t="s">
        <v>23</v>
      </c>
      <c r="D18" s="11" t="s">
        <v>24</v>
      </c>
      <c r="E18" s="12">
        <v>119871</v>
      </c>
      <c r="F18" s="35">
        <v>1402.4907000000001</v>
      </c>
      <c r="G18" s="14">
        <v>4.6584188760807743</v>
      </c>
      <c r="H18" s="15"/>
      <c r="I18" s="15"/>
    </row>
    <row r="19" spans="1:9" s="1" customFormat="1" ht="18" customHeight="1">
      <c r="A19" s="10">
        <v>12</v>
      </c>
      <c r="B19" s="11" t="s">
        <v>608</v>
      </c>
      <c r="C19" s="11" t="s">
        <v>609</v>
      </c>
      <c r="D19" s="11" t="s">
        <v>40</v>
      </c>
      <c r="E19" s="12">
        <v>449063</v>
      </c>
      <c r="F19" s="35">
        <v>1395.2387409999999</v>
      </c>
      <c r="G19" s="14">
        <v>4.6343312563238914</v>
      </c>
      <c r="H19" s="15"/>
      <c r="I19" s="15"/>
    </row>
    <row r="20" spans="1:9" s="1" customFormat="1" ht="18" customHeight="1">
      <c r="A20" s="10">
        <v>13</v>
      </c>
      <c r="B20" s="11" t="s">
        <v>270</v>
      </c>
      <c r="C20" s="11" t="s">
        <v>271</v>
      </c>
      <c r="D20" s="11" t="s">
        <v>24</v>
      </c>
      <c r="E20" s="12">
        <v>68822</v>
      </c>
      <c r="F20" s="35">
        <v>1362.2626680000001</v>
      </c>
      <c r="G20" s="14">
        <v>4.5248001479021269</v>
      </c>
      <c r="H20" s="15"/>
      <c r="I20" s="15"/>
    </row>
    <row r="21" spans="1:9" s="1" customFormat="1" ht="18" customHeight="1">
      <c r="A21" s="10">
        <v>14</v>
      </c>
      <c r="B21" s="11" t="s">
        <v>162</v>
      </c>
      <c r="C21" s="11" t="s">
        <v>163</v>
      </c>
      <c r="D21" s="11" t="s">
        <v>164</v>
      </c>
      <c r="E21" s="12">
        <v>73568</v>
      </c>
      <c r="F21" s="35">
        <v>1207.0669600000001</v>
      </c>
      <c r="G21" s="14">
        <v>4.0093125117745432</v>
      </c>
      <c r="H21" s="15"/>
      <c r="I21" s="15"/>
    </row>
    <row r="22" spans="1:9" s="1" customFormat="1" ht="18" customHeight="1">
      <c r="A22" s="10">
        <v>15</v>
      </c>
      <c r="B22" s="11" t="s">
        <v>183</v>
      </c>
      <c r="C22" s="11" t="s">
        <v>184</v>
      </c>
      <c r="D22" s="11" t="s">
        <v>185</v>
      </c>
      <c r="E22" s="12">
        <v>205208</v>
      </c>
      <c r="F22" s="35">
        <v>1163.6319640000002</v>
      </c>
      <c r="G22" s="14">
        <v>3.8650417474486956</v>
      </c>
      <c r="H22" s="15"/>
      <c r="I22" s="15"/>
    </row>
    <row r="23" spans="1:9" s="1" customFormat="1" ht="18" customHeight="1">
      <c r="A23" s="10">
        <v>16</v>
      </c>
      <c r="B23" s="11" t="s">
        <v>145</v>
      </c>
      <c r="C23" s="11" t="s">
        <v>146</v>
      </c>
      <c r="D23" s="11" t="s">
        <v>147</v>
      </c>
      <c r="E23" s="12">
        <v>90903</v>
      </c>
      <c r="F23" s="35">
        <v>1140.6053925000001</v>
      </c>
      <c r="G23" s="14">
        <v>3.7885582347045301</v>
      </c>
      <c r="H23" s="15"/>
      <c r="I23" s="15"/>
    </row>
    <row r="24" spans="1:9" s="1" customFormat="1" ht="18" customHeight="1">
      <c r="A24" s="10">
        <v>17</v>
      </c>
      <c r="B24" s="11" t="s">
        <v>610</v>
      </c>
      <c r="C24" s="11" t="s">
        <v>611</v>
      </c>
      <c r="D24" s="11" t="s">
        <v>27</v>
      </c>
      <c r="E24" s="12">
        <v>34168</v>
      </c>
      <c r="F24" s="35">
        <v>1137.845652</v>
      </c>
      <c r="G24" s="14">
        <v>3.7793916660860827</v>
      </c>
      <c r="H24" s="15"/>
      <c r="I24" s="15"/>
    </row>
    <row r="25" spans="1:9" s="1" customFormat="1" ht="18" customHeight="1">
      <c r="A25" s="10">
        <v>18</v>
      </c>
      <c r="B25" s="11" t="s">
        <v>34</v>
      </c>
      <c r="C25" s="11" t="s">
        <v>35</v>
      </c>
      <c r="D25" s="11" t="s">
        <v>14</v>
      </c>
      <c r="E25" s="12">
        <v>42136</v>
      </c>
      <c r="F25" s="35">
        <v>1038.104632</v>
      </c>
      <c r="G25" s="14">
        <v>3.4480985956311057</v>
      </c>
      <c r="H25" s="15"/>
      <c r="I25" s="15"/>
    </row>
    <row r="26" spans="1:9" s="1" customFormat="1" ht="18" customHeight="1">
      <c r="A26" s="10">
        <v>19</v>
      </c>
      <c r="B26" s="11" t="s">
        <v>612</v>
      </c>
      <c r="C26" s="11" t="s">
        <v>613</v>
      </c>
      <c r="D26" s="11" t="s">
        <v>30</v>
      </c>
      <c r="E26" s="12">
        <v>194951</v>
      </c>
      <c r="F26" s="35">
        <v>863.73040549999996</v>
      </c>
      <c r="G26" s="14">
        <v>2.8689088810543284</v>
      </c>
      <c r="H26" s="15"/>
      <c r="I26" s="15"/>
    </row>
    <row r="27" spans="1:9" s="1" customFormat="1" ht="18" customHeight="1">
      <c r="A27" s="10">
        <v>20</v>
      </c>
      <c r="B27" s="11" t="s">
        <v>614</v>
      </c>
      <c r="C27" s="11" t="s">
        <v>615</v>
      </c>
      <c r="D27" s="11" t="s">
        <v>40</v>
      </c>
      <c r="E27" s="12">
        <v>23397</v>
      </c>
      <c r="F27" s="35">
        <v>72.694479000000001</v>
      </c>
      <c r="G27" s="14">
        <v>0.24145709712047109</v>
      </c>
      <c r="H27" s="15" t="s">
        <v>15</v>
      </c>
      <c r="I27" s="15" t="s">
        <v>137</v>
      </c>
    </row>
    <row r="28" spans="1:9" s="1" customFormat="1" ht="18" customHeight="1">
      <c r="A28" s="16"/>
      <c r="B28" s="28" t="s">
        <v>132</v>
      </c>
      <c r="C28" s="18"/>
      <c r="D28" s="18"/>
      <c r="E28" s="19"/>
      <c r="F28" s="36">
        <f>SUM(F8:F27)</f>
        <v>29917.730319999999</v>
      </c>
      <c r="G28" s="21">
        <f>SUM(G8:G27)</f>
        <v>99.372722865244043</v>
      </c>
      <c r="H28" s="22" t="s">
        <v>15</v>
      </c>
      <c r="I28" s="22"/>
    </row>
    <row r="29" spans="1:9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9" s="1" customFormat="1" ht="18" customHeight="1">
      <c r="A30" s="8"/>
      <c r="B30" s="9"/>
      <c r="C30" s="8"/>
      <c r="D30" s="8"/>
      <c r="E30" s="8"/>
      <c r="F30" s="8"/>
      <c r="G30" s="8"/>
      <c r="H30" s="7"/>
      <c r="I30" s="7"/>
    </row>
    <row r="31" spans="1:9" s="1" customFormat="1" ht="18" customHeight="1">
      <c r="A31" s="8"/>
      <c r="B31" s="9"/>
      <c r="C31" s="8"/>
      <c r="D31" s="8"/>
      <c r="E31" s="8"/>
      <c r="F31" s="8"/>
      <c r="G31" s="8"/>
      <c r="H31" s="7"/>
      <c r="I31" s="7"/>
    </row>
    <row r="32" spans="1:9" s="1" customFormat="1" ht="18" customHeight="1">
      <c r="A32" s="23">
        <v>20</v>
      </c>
      <c r="B32" s="4" t="s">
        <v>133</v>
      </c>
      <c r="C32" s="11"/>
      <c r="D32" s="11"/>
      <c r="E32" s="12"/>
      <c r="F32" s="35">
        <v>398.56049150000001</v>
      </c>
      <c r="G32" s="14">
        <v>1.32383174937533</v>
      </c>
      <c r="H32" s="15"/>
      <c r="I32" s="15" t="s">
        <v>134</v>
      </c>
    </row>
    <row r="33" spans="1:9" s="1" customFormat="1" ht="18" customHeight="1">
      <c r="A33" s="16"/>
      <c r="B33" s="28" t="s">
        <v>132</v>
      </c>
      <c r="C33" s="18"/>
      <c r="D33" s="18"/>
      <c r="E33" s="19"/>
      <c r="F33" s="36">
        <v>398.56049150000001</v>
      </c>
      <c r="G33" s="21">
        <v>1.32383174937533</v>
      </c>
      <c r="H33" s="22"/>
      <c r="I33" s="22"/>
    </row>
    <row r="34" spans="1:9" s="1" customFormat="1" ht="18" customHeight="1">
      <c r="A34" s="8"/>
      <c r="B34" s="9"/>
      <c r="C34" s="8"/>
      <c r="D34" s="8"/>
      <c r="E34" s="8"/>
      <c r="F34" s="8"/>
      <c r="G34" s="8"/>
      <c r="H34" s="7"/>
      <c r="I34" s="7"/>
    </row>
    <row r="35" spans="1:9" s="1" customFormat="1" ht="18" customHeight="1">
      <c r="A35" s="16"/>
      <c r="B35" s="24"/>
      <c r="C35" s="16"/>
      <c r="D35" s="16"/>
      <c r="E35" s="25"/>
      <c r="F35" s="16"/>
      <c r="G35" s="16"/>
      <c r="H35" s="22"/>
      <c r="I35" s="22"/>
    </row>
    <row r="36" spans="1:9" s="1" customFormat="1" ht="18" customHeight="1">
      <c r="A36" s="16"/>
      <c r="B36" s="24" t="s">
        <v>138</v>
      </c>
      <c r="C36" s="16"/>
      <c r="D36" s="16"/>
      <c r="E36" s="25"/>
      <c r="F36" s="16"/>
      <c r="G36" s="16"/>
      <c r="H36" s="22"/>
      <c r="I36" s="22"/>
    </row>
    <row r="37" spans="1:9" s="1" customFormat="1" ht="18" customHeight="1">
      <c r="A37" s="16"/>
      <c r="B37" s="24" t="s">
        <v>139</v>
      </c>
      <c r="C37" s="16"/>
      <c r="D37" s="16"/>
      <c r="E37" s="25"/>
      <c r="F37" s="37">
        <v>-209.70878639999864</v>
      </c>
      <c r="G37" s="27">
        <v>-0.69655461461936596</v>
      </c>
      <c r="H37" s="22"/>
      <c r="I37" s="22"/>
    </row>
    <row r="38" spans="1:9" s="1" customFormat="1" ht="18" customHeight="1">
      <c r="A38" s="16"/>
      <c r="B38" s="28" t="s">
        <v>132</v>
      </c>
      <c r="C38" s="18"/>
      <c r="D38" s="18"/>
      <c r="E38" s="19"/>
      <c r="F38" s="36">
        <v>-209.70878639999864</v>
      </c>
      <c r="G38" s="21">
        <v>-0.69655461461936596</v>
      </c>
      <c r="H38" s="22"/>
      <c r="I38" s="22"/>
    </row>
    <row r="39" spans="1:9" s="1" customFormat="1" ht="18" customHeight="1">
      <c r="A39" s="16"/>
      <c r="B39" s="29" t="s">
        <v>140</v>
      </c>
      <c r="C39" s="30"/>
      <c r="D39" s="30"/>
      <c r="E39" s="31"/>
      <c r="F39" s="38">
        <v>30106.582025100004</v>
      </c>
      <c r="G39" s="33">
        <v>100</v>
      </c>
      <c r="H39" s="22"/>
      <c r="I39" s="22"/>
    </row>
    <row r="40" spans="1:9" s="1" customFormat="1" ht="28.35" customHeight="1"/>
    <row r="44" spans="1:9">
      <c r="F44" s="39"/>
    </row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638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24</v>
      </c>
      <c r="K5" s="14">
        <v>31.27165479581673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14</v>
      </c>
      <c r="K6" s="14">
        <v>8.5354846630421388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45</v>
      </c>
      <c r="K7" s="14">
        <v>8.2480821907566462</v>
      </c>
    </row>
    <row r="8" spans="1:11" s="1" customFormat="1" ht="18" customHeight="1">
      <c r="A8" s="10">
        <v>1</v>
      </c>
      <c r="B8" s="11" t="s">
        <v>639</v>
      </c>
      <c r="C8" s="11" t="s">
        <v>640</v>
      </c>
      <c r="D8" s="11" t="s">
        <v>45</v>
      </c>
      <c r="E8" s="12">
        <v>290511</v>
      </c>
      <c r="F8" s="35">
        <v>3669.1539299999999</v>
      </c>
      <c r="G8" s="14">
        <v>8.2480821907566462</v>
      </c>
      <c r="H8" s="15" t="s">
        <v>15</v>
      </c>
      <c r="I8" s="15" t="s">
        <v>16</v>
      </c>
      <c r="J8" s="11" t="s">
        <v>643</v>
      </c>
      <c r="K8" s="14">
        <v>7.5217858765576224</v>
      </c>
    </row>
    <row r="9" spans="1:11" s="1" customFormat="1" ht="18" customHeight="1">
      <c r="A9" s="10">
        <v>2</v>
      </c>
      <c r="B9" s="11" t="s">
        <v>270</v>
      </c>
      <c r="C9" s="11" t="s">
        <v>271</v>
      </c>
      <c r="D9" s="11" t="s">
        <v>24</v>
      </c>
      <c r="E9" s="12">
        <v>174151</v>
      </c>
      <c r="F9" s="35">
        <v>3447.1448939999996</v>
      </c>
      <c r="G9" s="14">
        <v>7.7490165175924108</v>
      </c>
      <c r="H9" s="15"/>
      <c r="I9" s="15"/>
      <c r="J9" s="11" t="s">
        <v>152</v>
      </c>
      <c r="K9" s="14">
        <v>7.4004145717568974</v>
      </c>
    </row>
    <row r="10" spans="1:11" s="1" customFormat="1" ht="18" customHeight="1">
      <c r="A10" s="10">
        <v>3</v>
      </c>
      <c r="B10" s="11" t="s">
        <v>641</v>
      </c>
      <c r="C10" s="11" t="s">
        <v>642</v>
      </c>
      <c r="D10" s="11" t="s">
        <v>643</v>
      </c>
      <c r="E10" s="12">
        <v>24506</v>
      </c>
      <c r="F10" s="35">
        <v>3346.0614930000002</v>
      </c>
      <c r="G10" s="14">
        <v>7.5217858765576224</v>
      </c>
      <c r="H10" s="15"/>
      <c r="I10" s="15"/>
      <c r="J10" s="11" t="s">
        <v>27</v>
      </c>
      <c r="K10" s="14">
        <v>6.3671768949291359</v>
      </c>
    </row>
    <row r="11" spans="1:11" s="1" customFormat="1" ht="18" customHeight="1">
      <c r="A11" s="10">
        <v>4</v>
      </c>
      <c r="B11" s="11" t="s">
        <v>222</v>
      </c>
      <c r="C11" s="11" t="s">
        <v>223</v>
      </c>
      <c r="D11" s="11" t="s">
        <v>152</v>
      </c>
      <c r="E11" s="12">
        <v>414201</v>
      </c>
      <c r="F11" s="35">
        <v>3292.0695479999999</v>
      </c>
      <c r="G11" s="14">
        <v>7.4004145717568974</v>
      </c>
      <c r="H11" s="15"/>
      <c r="I11" s="15"/>
      <c r="J11" s="11" t="s">
        <v>164</v>
      </c>
      <c r="K11" s="14">
        <v>6.120483001518549</v>
      </c>
    </row>
    <row r="12" spans="1:11" s="1" customFormat="1" ht="18" customHeight="1">
      <c r="A12" s="10">
        <v>5</v>
      </c>
      <c r="B12" s="11" t="s">
        <v>644</v>
      </c>
      <c r="C12" s="11" t="s">
        <v>645</v>
      </c>
      <c r="D12" s="11" t="s">
        <v>164</v>
      </c>
      <c r="E12" s="12">
        <v>1228652</v>
      </c>
      <c r="F12" s="35">
        <v>2722.6928319999997</v>
      </c>
      <c r="G12" s="14">
        <v>6.120483001518549</v>
      </c>
      <c r="H12" s="15"/>
      <c r="I12" s="15"/>
      <c r="J12" s="11" t="s">
        <v>219</v>
      </c>
      <c r="K12" s="14">
        <v>5.0768960905298988</v>
      </c>
    </row>
    <row r="13" spans="1:11" s="1" customFormat="1" ht="18" customHeight="1">
      <c r="A13" s="10">
        <v>6</v>
      </c>
      <c r="B13" s="11" t="s">
        <v>210</v>
      </c>
      <c r="C13" s="11" t="s">
        <v>211</v>
      </c>
      <c r="D13" s="11" t="s">
        <v>24</v>
      </c>
      <c r="E13" s="12">
        <v>64107</v>
      </c>
      <c r="F13" s="35">
        <v>2592.6794009999999</v>
      </c>
      <c r="G13" s="14">
        <v>5.828219039512935</v>
      </c>
      <c r="H13" s="15"/>
      <c r="I13" s="15"/>
      <c r="J13" s="11" t="s">
        <v>30</v>
      </c>
      <c r="K13" s="14">
        <v>4.5356712754798405</v>
      </c>
    </row>
    <row r="14" spans="1:11" s="1" customFormat="1" ht="18" customHeight="1">
      <c r="A14" s="10">
        <v>7</v>
      </c>
      <c r="B14" s="11" t="s">
        <v>252</v>
      </c>
      <c r="C14" s="11" t="s">
        <v>253</v>
      </c>
      <c r="D14" s="11" t="s">
        <v>24</v>
      </c>
      <c r="E14" s="12">
        <v>580730</v>
      </c>
      <c r="F14" s="35">
        <v>2487.2665900000002</v>
      </c>
      <c r="G14" s="14">
        <v>5.5912560922847447</v>
      </c>
      <c r="H14" s="15"/>
      <c r="I14" s="15"/>
      <c r="J14" s="11" t="s">
        <v>40</v>
      </c>
      <c r="K14" s="14">
        <v>4.4599126233542767</v>
      </c>
    </row>
    <row r="15" spans="1:11" s="1" customFormat="1" ht="18" customHeight="1">
      <c r="A15" s="10">
        <v>8</v>
      </c>
      <c r="B15" s="11" t="s">
        <v>646</v>
      </c>
      <c r="C15" s="11" t="s">
        <v>647</v>
      </c>
      <c r="D15" s="11" t="s">
        <v>24</v>
      </c>
      <c r="E15" s="12">
        <v>206179</v>
      </c>
      <c r="F15" s="35">
        <v>2153.2303864999999</v>
      </c>
      <c r="G15" s="14">
        <v>4.8403587154727798</v>
      </c>
      <c r="H15" s="15"/>
      <c r="I15" s="15"/>
      <c r="J15" s="11" t="s">
        <v>147</v>
      </c>
      <c r="K15" s="14">
        <v>4.0857009116027356</v>
      </c>
    </row>
    <row r="16" spans="1:11" s="1" customFormat="1" ht="18" customHeight="1">
      <c r="A16" s="10">
        <v>9</v>
      </c>
      <c r="B16" s="11" t="s">
        <v>169</v>
      </c>
      <c r="C16" s="11" t="s">
        <v>170</v>
      </c>
      <c r="D16" s="11" t="s">
        <v>30</v>
      </c>
      <c r="E16" s="12">
        <v>322753</v>
      </c>
      <c r="F16" s="35">
        <v>2017.6903794999998</v>
      </c>
      <c r="G16" s="14">
        <v>4.5356712754798405</v>
      </c>
      <c r="H16" s="15"/>
      <c r="I16" s="15"/>
      <c r="J16" s="11" t="s">
        <v>33</v>
      </c>
      <c r="K16" s="14">
        <v>2.7343610924429842</v>
      </c>
    </row>
    <row r="17" spans="1:11" s="1" customFormat="1" ht="18" customHeight="1">
      <c r="A17" s="10">
        <v>10</v>
      </c>
      <c r="B17" s="11" t="s">
        <v>272</v>
      </c>
      <c r="C17" s="11" t="s">
        <v>273</v>
      </c>
      <c r="D17" s="11" t="s">
        <v>40</v>
      </c>
      <c r="E17" s="12">
        <v>841922</v>
      </c>
      <c r="F17" s="35">
        <v>1983.9891930000001</v>
      </c>
      <c r="G17" s="14">
        <v>4.4599126233542767</v>
      </c>
      <c r="H17" s="15"/>
      <c r="I17" s="15"/>
      <c r="J17" s="11" t="s">
        <v>105</v>
      </c>
      <c r="K17" s="14">
        <v>2.0541545149119935</v>
      </c>
    </row>
    <row r="18" spans="1:11" s="1" customFormat="1" ht="18" customHeight="1">
      <c r="A18" s="10">
        <v>11</v>
      </c>
      <c r="B18" s="11" t="s">
        <v>648</v>
      </c>
      <c r="C18" s="11" t="s">
        <v>649</v>
      </c>
      <c r="D18" s="11" t="s">
        <v>24</v>
      </c>
      <c r="E18" s="12">
        <v>133555</v>
      </c>
      <c r="F18" s="35">
        <v>1971.0714674999999</v>
      </c>
      <c r="G18" s="14">
        <v>4.4308741955111488</v>
      </c>
      <c r="H18" s="15"/>
      <c r="I18" s="15"/>
      <c r="J18" s="11" t="s">
        <v>143</v>
      </c>
      <c r="K18" s="14">
        <v>1.5882214973005528</v>
      </c>
    </row>
    <row r="19" spans="1:11" s="1" customFormat="1" ht="20.25" customHeight="1">
      <c r="A19" s="10">
        <v>12</v>
      </c>
      <c r="B19" s="11" t="s">
        <v>215</v>
      </c>
      <c r="C19" s="11" t="s">
        <v>216</v>
      </c>
      <c r="D19" s="11" t="s">
        <v>14</v>
      </c>
      <c r="E19" s="12">
        <v>160839</v>
      </c>
      <c r="F19" s="35">
        <v>1961.109927</v>
      </c>
      <c r="G19" s="14">
        <v>4.4084811298731115</v>
      </c>
      <c r="H19" s="15"/>
      <c r="I19" s="15"/>
    </row>
    <row r="20" spans="1:11" s="1" customFormat="1" ht="18" customHeight="1">
      <c r="A20" s="10">
        <v>13</v>
      </c>
      <c r="B20" s="11" t="s">
        <v>650</v>
      </c>
      <c r="C20" s="11" t="s">
        <v>651</v>
      </c>
      <c r="D20" s="11" t="s">
        <v>14</v>
      </c>
      <c r="E20" s="12">
        <v>165687</v>
      </c>
      <c r="F20" s="35">
        <v>1835.8948034999999</v>
      </c>
      <c r="G20" s="14">
        <v>4.1270035331690273</v>
      </c>
      <c r="H20" s="15"/>
      <c r="I20" s="15"/>
    </row>
    <row r="21" spans="1:11" s="1" customFormat="1" ht="18" customHeight="1">
      <c r="A21" s="10">
        <v>14</v>
      </c>
      <c r="B21" s="11" t="s">
        <v>652</v>
      </c>
      <c r="C21" s="11" t="s">
        <v>653</v>
      </c>
      <c r="D21" s="11" t="s">
        <v>147</v>
      </c>
      <c r="E21" s="12">
        <v>266167</v>
      </c>
      <c r="F21" s="35">
        <v>1817.5213594999998</v>
      </c>
      <c r="G21" s="14">
        <v>4.0857009116027356</v>
      </c>
      <c r="H21" s="15"/>
      <c r="I21" s="15"/>
    </row>
    <row r="22" spans="1:11" s="1" customFormat="1" ht="18" customHeight="1">
      <c r="A22" s="10">
        <v>15</v>
      </c>
      <c r="B22" s="11" t="s">
        <v>256</v>
      </c>
      <c r="C22" s="11" t="s">
        <v>257</v>
      </c>
      <c r="D22" s="11" t="s">
        <v>27</v>
      </c>
      <c r="E22" s="12">
        <v>97713</v>
      </c>
      <c r="F22" s="35">
        <v>1457.096256</v>
      </c>
      <c r="G22" s="14">
        <v>3.2754825522765105</v>
      </c>
      <c r="H22" s="15"/>
      <c r="I22" s="15"/>
    </row>
    <row r="23" spans="1:11" s="1" customFormat="1" ht="18" customHeight="1">
      <c r="A23" s="10">
        <v>16</v>
      </c>
      <c r="B23" s="11" t="s">
        <v>220</v>
      </c>
      <c r="C23" s="11" t="s">
        <v>221</v>
      </c>
      <c r="D23" s="11" t="s">
        <v>27</v>
      </c>
      <c r="E23" s="12">
        <v>20051</v>
      </c>
      <c r="F23" s="35">
        <v>1375.3381919999999</v>
      </c>
      <c r="G23" s="14">
        <v>3.0916943426526249</v>
      </c>
      <c r="H23" s="15"/>
      <c r="I23" s="15"/>
    </row>
    <row r="24" spans="1:11" s="1" customFormat="1" ht="18" customHeight="1">
      <c r="A24" s="10">
        <v>17</v>
      </c>
      <c r="B24" s="11" t="s">
        <v>217</v>
      </c>
      <c r="C24" s="11" t="s">
        <v>218</v>
      </c>
      <c r="D24" s="11" t="s">
        <v>219</v>
      </c>
      <c r="E24" s="12">
        <v>470915</v>
      </c>
      <c r="F24" s="35">
        <v>1317.6201699999999</v>
      </c>
      <c r="G24" s="14">
        <v>2.9619469953278155</v>
      </c>
      <c r="H24" s="15"/>
      <c r="I24" s="15"/>
    </row>
    <row r="25" spans="1:11" s="1" customFormat="1" ht="18" customHeight="1">
      <c r="A25" s="10">
        <v>18</v>
      </c>
      <c r="B25" s="11" t="s">
        <v>654</v>
      </c>
      <c r="C25" s="11" t="s">
        <v>655</v>
      </c>
      <c r="D25" s="11" t="s">
        <v>24</v>
      </c>
      <c r="E25" s="12">
        <v>216830</v>
      </c>
      <c r="F25" s="35">
        <v>1259.7823000000001</v>
      </c>
      <c r="G25" s="14">
        <v>2.8319302354427105</v>
      </c>
      <c r="H25" s="15"/>
      <c r="I25" s="15"/>
    </row>
    <row r="26" spans="1:11" s="1" customFormat="1" ht="18" customHeight="1">
      <c r="A26" s="10">
        <v>19</v>
      </c>
      <c r="B26" s="11" t="s">
        <v>224</v>
      </c>
      <c r="C26" s="11" t="s">
        <v>225</v>
      </c>
      <c r="D26" s="11" t="s">
        <v>33</v>
      </c>
      <c r="E26" s="12">
        <v>432721</v>
      </c>
      <c r="F26" s="35">
        <v>1216.378731</v>
      </c>
      <c r="G26" s="14">
        <v>2.7343610924429842</v>
      </c>
      <c r="H26" s="15"/>
      <c r="I26" s="15"/>
    </row>
    <row r="27" spans="1:11" s="1" customFormat="1" ht="18" customHeight="1">
      <c r="A27" s="10">
        <v>20</v>
      </c>
      <c r="B27" s="11" t="s">
        <v>316</v>
      </c>
      <c r="C27" s="11" t="s">
        <v>317</v>
      </c>
      <c r="D27" s="11" t="s">
        <v>219</v>
      </c>
      <c r="E27" s="12">
        <v>92311</v>
      </c>
      <c r="F27" s="35">
        <v>940.83371199999999</v>
      </c>
      <c r="G27" s="14">
        <v>2.1149490952020833</v>
      </c>
      <c r="H27" s="15"/>
      <c r="I27" s="15"/>
    </row>
    <row r="28" spans="1:11" s="1" customFormat="1" ht="18" customHeight="1">
      <c r="A28" s="10">
        <v>21</v>
      </c>
      <c r="B28" s="11" t="s">
        <v>280</v>
      </c>
      <c r="C28" s="11" t="s">
        <v>281</v>
      </c>
      <c r="D28" s="11" t="s">
        <v>105</v>
      </c>
      <c r="E28" s="12">
        <v>93182</v>
      </c>
      <c r="F28" s="35">
        <v>913.78928299999995</v>
      </c>
      <c r="G28" s="14">
        <v>2.0541545149119935</v>
      </c>
      <c r="H28" s="15"/>
      <c r="I28" s="15"/>
    </row>
    <row r="29" spans="1:11" s="1" customFormat="1" ht="18" customHeight="1">
      <c r="A29" s="16"/>
      <c r="B29" s="28" t="s">
        <v>132</v>
      </c>
      <c r="C29" s="18"/>
      <c r="D29" s="18"/>
      <c r="E29" s="19"/>
      <c r="F29" s="36">
        <v>43778.414848500004</v>
      </c>
      <c r="G29" s="21">
        <v>98.411778502699477</v>
      </c>
      <c r="H29" s="22" t="s">
        <v>15</v>
      </c>
      <c r="I29" s="22"/>
    </row>
    <row r="30" spans="1:11" s="1" customFormat="1" ht="18" customHeight="1">
      <c r="A30" s="8"/>
      <c r="B30" s="9"/>
      <c r="C30" s="8"/>
      <c r="D30" s="8"/>
      <c r="E30" s="8"/>
      <c r="F30" s="8"/>
      <c r="G30" s="8"/>
      <c r="H30" s="7"/>
      <c r="I30" s="7"/>
    </row>
    <row r="31" spans="1:11" s="1" customFormat="1" ht="18" customHeight="1">
      <c r="A31" s="8"/>
      <c r="B31" s="9"/>
      <c r="C31" s="8"/>
      <c r="D31" s="8"/>
      <c r="E31" s="8"/>
      <c r="F31" s="8"/>
      <c r="G31" s="8"/>
      <c r="H31" s="7"/>
      <c r="I31" s="7"/>
    </row>
    <row r="32" spans="1:11" s="1" customFormat="1" ht="18" customHeight="1">
      <c r="A32" s="8"/>
      <c r="B32" s="9"/>
      <c r="C32" s="8"/>
      <c r="D32" s="8"/>
      <c r="E32" s="8"/>
      <c r="F32" s="8"/>
      <c r="G32" s="8"/>
      <c r="H32" s="7"/>
      <c r="I32" s="7"/>
    </row>
    <row r="33" spans="1:9" s="1" customFormat="1" ht="18" customHeight="1">
      <c r="A33" s="23">
        <v>22</v>
      </c>
      <c r="B33" s="4" t="s">
        <v>133</v>
      </c>
      <c r="C33" s="11"/>
      <c r="D33" s="11"/>
      <c r="E33" s="12"/>
      <c r="F33" s="35">
        <v>463.4888924</v>
      </c>
      <c r="G33" s="14">
        <v>1.0419008174502955</v>
      </c>
      <c r="H33" s="15"/>
      <c r="I33" s="15" t="s">
        <v>134</v>
      </c>
    </row>
    <row r="34" spans="1:9" s="1" customFormat="1" ht="18" customHeight="1">
      <c r="A34" s="16"/>
      <c r="B34" s="28" t="s">
        <v>132</v>
      </c>
      <c r="C34" s="18"/>
      <c r="D34" s="18"/>
      <c r="E34" s="19"/>
      <c r="F34" s="36">
        <v>463.4888924</v>
      </c>
      <c r="G34" s="21">
        <v>1.0419008174502955</v>
      </c>
      <c r="H34" s="22"/>
      <c r="I34" s="22"/>
    </row>
    <row r="35" spans="1:9" s="1" customFormat="1" ht="18" customHeight="1">
      <c r="A35" s="16"/>
      <c r="B35" s="24"/>
      <c r="C35" s="16"/>
      <c r="D35" s="16"/>
      <c r="E35" s="25"/>
      <c r="F35" s="16"/>
      <c r="G35" s="16"/>
      <c r="H35" s="22"/>
      <c r="I35" s="22"/>
    </row>
    <row r="36" spans="1:9" s="1" customFormat="1" ht="18" customHeight="1">
      <c r="A36" s="16"/>
      <c r="B36" s="24" t="s">
        <v>138</v>
      </c>
      <c r="C36" s="16"/>
      <c r="D36" s="16"/>
      <c r="E36" s="25"/>
      <c r="F36" s="16"/>
      <c r="G36" s="16"/>
      <c r="H36" s="22"/>
      <c r="I36" s="22"/>
    </row>
    <row r="37" spans="1:9" s="1" customFormat="1" ht="18" customHeight="1">
      <c r="A37" s="16"/>
      <c r="B37" s="24" t="s">
        <v>139</v>
      </c>
      <c r="C37" s="16"/>
      <c r="D37" s="16"/>
      <c r="E37" s="25"/>
      <c r="F37" s="37">
        <v>243.03039460000582</v>
      </c>
      <c r="G37" s="27">
        <v>0.54632067985026411</v>
      </c>
      <c r="H37" s="22"/>
      <c r="I37" s="22"/>
    </row>
    <row r="38" spans="1:9" s="1" customFormat="1" ht="18" customHeight="1">
      <c r="A38" s="16"/>
      <c r="B38" s="28" t="s">
        <v>132</v>
      </c>
      <c r="C38" s="18"/>
      <c r="D38" s="18"/>
      <c r="E38" s="19"/>
      <c r="F38" s="36">
        <v>243.03039460000582</v>
      </c>
      <c r="G38" s="21">
        <v>0.54632067985026411</v>
      </c>
      <c r="H38" s="22"/>
      <c r="I38" s="22"/>
    </row>
    <row r="39" spans="1:9" s="1" customFormat="1" ht="18" customHeight="1">
      <c r="A39" s="16"/>
      <c r="B39" s="29" t="s">
        <v>140</v>
      </c>
      <c r="C39" s="30"/>
      <c r="D39" s="30"/>
      <c r="E39" s="31"/>
      <c r="F39" s="38">
        <v>44484.9341355</v>
      </c>
      <c r="G39" s="33">
        <v>100.00000000000001</v>
      </c>
      <c r="H39" s="22"/>
      <c r="I39" s="22"/>
    </row>
    <row r="4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656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19</v>
      </c>
      <c r="K5" s="14">
        <v>18.745636813857018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45</v>
      </c>
      <c r="K6" s="14">
        <v>12.337457815756295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27</v>
      </c>
      <c r="K7" s="14">
        <v>11.066097838845465</v>
      </c>
    </row>
    <row r="8" spans="1:11" s="1" customFormat="1" ht="18" customHeight="1">
      <c r="A8" s="10">
        <v>1</v>
      </c>
      <c r="B8" s="11" t="s">
        <v>17</v>
      </c>
      <c r="C8" s="11" t="s">
        <v>18</v>
      </c>
      <c r="D8" s="11" t="s">
        <v>19</v>
      </c>
      <c r="E8" s="12">
        <v>1073416</v>
      </c>
      <c r="F8" s="35">
        <v>10613.937408</v>
      </c>
      <c r="G8" s="14">
        <v>7.4084130914736059</v>
      </c>
      <c r="H8" s="15" t="s">
        <v>15</v>
      </c>
      <c r="I8" s="15" t="s">
        <v>16</v>
      </c>
      <c r="J8" s="11" t="s">
        <v>14</v>
      </c>
      <c r="K8" s="14">
        <v>10.430641580514987</v>
      </c>
    </row>
    <row r="9" spans="1:11" s="1" customFormat="1" ht="18" customHeight="1">
      <c r="A9" s="10">
        <v>2</v>
      </c>
      <c r="B9" s="11" t="s">
        <v>639</v>
      </c>
      <c r="C9" s="11" t="s">
        <v>640</v>
      </c>
      <c r="D9" s="11" t="s">
        <v>45</v>
      </c>
      <c r="E9" s="12">
        <v>812627</v>
      </c>
      <c r="F9" s="35">
        <v>10263.479009999999</v>
      </c>
      <c r="G9" s="14">
        <v>7.1637969340612662</v>
      </c>
      <c r="H9" s="15"/>
      <c r="I9" s="15"/>
      <c r="J9" s="11" t="s">
        <v>40</v>
      </c>
      <c r="K9" s="14">
        <v>10.144802956202872</v>
      </c>
    </row>
    <row r="10" spans="1:11" s="1" customFormat="1" ht="18" customHeight="1">
      <c r="A10" s="10">
        <v>3</v>
      </c>
      <c r="B10" s="11" t="s">
        <v>148</v>
      </c>
      <c r="C10" s="11" t="s">
        <v>149</v>
      </c>
      <c r="D10" s="11" t="s">
        <v>40</v>
      </c>
      <c r="E10" s="12">
        <v>65879</v>
      </c>
      <c r="F10" s="35">
        <v>10008.074164</v>
      </c>
      <c r="G10" s="14">
        <v>6.9855271240936618</v>
      </c>
      <c r="H10" s="15"/>
      <c r="I10" s="15"/>
      <c r="J10" s="11" t="s">
        <v>24</v>
      </c>
      <c r="K10" s="14">
        <v>8.2690429630585029</v>
      </c>
    </row>
    <row r="11" spans="1:11" s="1" customFormat="1" ht="18" customHeight="1">
      <c r="A11" s="10">
        <v>4</v>
      </c>
      <c r="B11" s="11" t="s">
        <v>158</v>
      </c>
      <c r="C11" s="11" t="s">
        <v>159</v>
      </c>
      <c r="D11" s="11" t="s">
        <v>27</v>
      </c>
      <c r="E11" s="12">
        <v>433148</v>
      </c>
      <c r="F11" s="35">
        <v>9519.9433179999996</v>
      </c>
      <c r="G11" s="14">
        <v>6.6448170924768544</v>
      </c>
      <c r="H11" s="15"/>
      <c r="I11" s="15"/>
      <c r="J11" s="11" t="s">
        <v>30</v>
      </c>
      <c r="K11" s="14">
        <v>6.6406479942427366</v>
      </c>
    </row>
    <row r="12" spans="1:11" s="1" customFormat="1" ht="18" customHeight="1">
      <c r="A12" s="10">
        <v>5</v>
      </c>
      <c r="B12" s="11" t="s">
        <v>169</v>
      </c>
      <c r="C12" s="11" t="s">
        <v>170</v>
      </c>
      <c r="D12" s="11" t="s">
        <v>30</v>
      </c>
      <c r="E12" s="12">
        <v>1521870</v>
      </c>
      <c r="F12" s="35">
        <v>9513.9703050000007</v>
      </c>
      <c r="G12" s="14">
        <v>6.6406479942427366</v>
      </c>
      <c r="H12" s="15"/>
      <c r="I12" s="15"/>
      <c r="J12" s="11" t="s">
        <v>659</v>
      </c>
      <c r="K12" s="14">
        <v>5.3146903365212852</v>
      </c>
    </row>
    <row r="13" spans="1:11" s="1" customFormat="1" ht="18" customHeight="1">
      <c r="A13" s="10">
        <v>6</v>
      </c>
      <c r="B13" s="11" t="s">
        <v>41</v>
      </c>
      <c r="C13" s="11" t="s">
        <v>42</v>
      </c>
      <c r="D13" s="11" t="s">
        <v>19</v>
      </c>
      <c r="E13" s="12">
        <v>3419609</v>
      </c>
      <c r="F13" s="35">
        <v>9224.3952774999998</v>
      </c>
      <c r="G13" s="14">
        <v>6.4385277685216122</v>
      </c>
      <c r="H13" s="15"/>
      <c r="I13" s="15"/>
      <c r="J13" s="11" t="s">
        <v>164</v>
      </c>
      <c r="K13" s="14">
        <v>4.8602113033141503</v>
      </c>
    </row>
    <row r="14" spans="1:11" s="1" customFormat="1" ht="18" customHeight="1">
      <c r="A14" s="10">
        <v>7</v>
      </c>
      <c r="B14" s="11" t="s">
        <v>69</v>
      </c>
      <c r="C14" s="11" t="s">
        <v>70</v>
      </c>
      <c r="D14" s="11" t="s">
        <v>14</v>
      </c>
      <c r="E14" s="12">
        <v>1234832</v>
      </c>
      <c r="F14" s="35">
        <v>7672.6286320000008</v>
      </c>
      <c r="G14" s="14">
        <v>5.3554114951234535</v>
      </c>
      <c r="H14" s="15"/>
      <c r="I14" s="15"/>
      <c r="J14" s="11" t="s">
        <v>643</v>
      </c>
      <c r="K14" s="14">
        <v>4.5028180143866257</v>
      </c>
    </row>
    <row r="15" spans="1:11" s="1" customFormat="1" ht="18" customHeight="1">
      <c r="A15" s="10">
        <v>8</v>
      </c>
      <c r="B15" s="11" t="s">
        <v>657</v>
      </c>
      <c r="C15" s="11" t="s">
        <v>658</v>
      </c>
      <c r="D15" s="11" t="s">
        <v>659</v>
      </c>
      <c r="E15" s="12">
        <v>84302</v>
      </c>
      <c r="F15" s="35">
        <v>7614.2879559000003</v>
      </c>
      <c r="G15" s="14">
        <v>5.3146903365212852</v>
      </c>
      <c r="H15" s="15"/>
      <c r="I15" s="15"/>
      <c r="J15" s="11" t="s">
        <v>147</v>
      </c>
      <c r="K15" s="14">
        <v>1.8277257824782085</v>
      </c>
    </row>
    <row r="16" spans="1:11" s="1" customFormat="1" ht="18" customHeight="1">
      <c r="A16" s="10">
        <v>9</v>
      </c>
      <c r="B16" s="11" t="s">
        <v>65</v>
      </c>
      <c r="C16" s="11" t="s">
        <v>66</v>
      </c>
      <c r="D16" s="11" t="s">
        <v>45</v>
      </c>
      <c r="E16" s="12">
        <v>418168</v>
      </c>
      <c r="F16" s="35">
        <v>7412.2368839999999</v>
      </c>
      <c r="G16" s="14">
        <v>5.1736608816950289</v>
      </c>
      <c r="H16" s="15"/>
      <c r="I16" s="15"/>
      <c r="J16" s="11" t="s">
        <v>152</v>
      </c>
      <c r="K16" s="14">
        <v>1.7191758177060343</v>
      </c>
    </row>
    <row r="17" spans="1:11" s="1" customFormat="1" ht="18" customHeight="1">
      <c r="A17" s="10">
        <v>10</v>
      </c>
      <c r="B17" s="11" t="s">
        <v>34</v>
      </c>
      <c r="C17" s="11" t="s">
        <v>35</v>
      </c>
      <c r="D17" s="11" t="s">
        <v>14</v>
      </c>
      <c r="E17" s="12">
        <v>295134</v>
      </c>
      <c r="F17" s="35">
        <v>7271.2163579999997</v>
      </c>
      <c r="G17" s="14">
        <v>5.0752300853915342</v>
      </c>
      <c r="H17" s="15"/>
      <c r="I17" s="15"/>
      <c r="J17" s="11" t="s">
        <v>143</v>
      </c>
      <c r="K17" s="14">
        <v>4.141050783115821</v>
      </c>
    </row>
    <row r="18" spans="1:11" s="1" customFormat="1" ht="20.25" customHeight="1">
      <c r="A18" s="10">
        <v>11</v>
      </c>
      <c r="B18" s="11" t="s">
        <v>71</v>
      </c>
      <c r="C18" s="11" t="s">
        <v>72</v>
      </c>
      <c r="D18" s="11" t="s">
        <v>19</v>
      </c>
      <c r="E18" s="12">
        <v>851942</v>
      </c>
      <c r="F18" s="35">
        <v>7018.2981960000006</v>
      </c>
      <c r="G18" s="14">
        <v>4.8986959538618002</v>
      </c>
      <c r="H18" s="15"/>
      <c r="I18" s="15"/>
    </row>
    <row r="19" spans="1:11" s="1" customFormat="1" ht="18" customHeight="1">
      <c r="A19" s="10">
        <v>12</v>
      </c>
      <c r="B19" s="11" t="s">
        <v>644</v>
      </c>
      <c r="C19" s="11" t="s">
        <v>645</v>
      </c>
      <c r="D19" s="11" t="s">
        <v>164</v>
      </c>
      <c r="E19" s="12">
        <v>3142221</v>
      </c>
      <c r="F19" s="35">
        <v>6963.161736</v>
      </c>
      <c r="G19" s="14">
        <v>4.8602113033141503</v>
      </c>
      <c r="H19" s="15"/>
      <c r="I19" s="15"/>
    </row>
    <row r="20" spans="1:11" s="1" customFormat="1" ht="18" customHeight="1">
      <c r="A20" s="10">
        <v>13</v>
      </c>
      <c r="B20" s="11" t="s">
        <v>22</v>
      </c>
      <c r="C20" s="11" t="s">
        <v>23</v>
      </c>
      <c r="D20" s="11" t="s">
        <v>24</v>
      </c>
      <c r="E20" s="12">
        <v>555971</v>
      </c>
      <c r="F20" s="35">
        <v>6504.8607000000002</v>
      </c>
      <c r="G20" s="14">
        <v>4.5403221552606476</v>
      </c>
      <c r="H20" s="15"/>
      <c r="I20" s="15"/>
    </row>
    <row r="21" spans="1:11" s="1" customFormat="1" ht="18" customHeight="1">
      <c r="A21" s="10">
        <v>14</v>
      </c>
      <c r="B21" s="11" t="s">
        <v>641</v>
      </c>
      <c r="C21" s="11" t="s">
        <v>642</v>
      </c>
      <c r="D21" s="11" t="s">
        <v>643</v>
      </c>
      <c r="E21" s="12">
        <v>47247</v>
      </c>
      <c r="F21" s="35">
        <v>6451.1290035000002</v>
      </c>
      <c r="G21" s="14">
        <v>4.5028180143866257</v>
      </c>
      <c r="H21" s="15"/>
      <c r="I21" s="15"/>
    </row>
    <row r="22" spans="1:11" s="1" customFormat="1" ht="18" customHeight="1">
      <c r="A22" s="10">
        <v>15</v>
      </c>
      <c r="B22" s="11" t="s">
        <v>610</v>
      </c>
      <c r="C22" s="11" t="s">
        <v>611</v>
      </c>
      <c r="D22" s="11" t="s">
        <v>27</v>
      </c>
      <c r="E22" s="12">
        <v>190211</v>
      </c>
      <c r="F22" s="35">
        <v>6334.3116165000001</v>
      </c>
      <c r="G22" s="14">
        <v>4.4212807463686099</v>
      </c>
      <c r="H22" s="15"/>
      <c r="I22" s="15"/>
    </row>
    <row r="23" spans="1:11" s="1" customFormat="1" ht="18" customHeight="1">
      <c r="A23" s="10">
        <v>16</v>
      </c>
      <c r="B23" s="11" t="s">
        <v>648</v>
      </c>
      <c r="C23" s="11" t="s">
        <v>649</v>
      </c>
      <c r="D23" s="11" t="s">
        <v>24</v>
      </c>
      <c r="E23" s="12">
        <v>361967</v>
      </c>
      <c r="F23" s="35">
        <v>5342.0899694999998</v>
      </c>
      <c r="G23" s="14">
        <v>3.7287208077978558</v>
      </c>
      <c r="H23" s="15"/>
      <c r="I23" s="15"/>
    </row>
    <row r="24" spans="1:11" s="1" customFormat="1" ht="18" customHeight="1">
      <c r="A24" s="10">
        <v>17</v>
      </c>
      <c r="B24" s="11" t="s">
        <v>84</v>
      </c>
      <c r="C24" s="11" t="s">
        <v>85</v>
      </c>
      <c r="D24" s="11" t="s">
        <v>40</v>
      </c>
      <c r="E24" s="12">
        <v>151956</v>
      </c>
      <c r="F24" s="35">
        <v>3538.903284</v>
      </c>
      <c r="G24" s="14">
        <v>2.4701160757631384</v>
      </c>
      <c r="H24" s="15"/>
      <c r="I24" s="15"/>
    </row>
    <row r="25" spans="1:11" s="1" customFormat="1" ht="18" customHeight="1">
      <c r="A25" s="10">
        <v>18</v>
      </c>
      <c r="B25" s="11" t="s">
        <v>652</v>
      </c>
      <c r="C25" s="11" t="s">
        <v>653</v>
      </c>
      <c r="D25" s="11" t="s">
        <v>147</v>
      </c>
      <c r="E25" s="12">
        <v>383475</v>
      </c>
      <c r="F25" s="35">
        <v>2618.5590375000002</v>
      </c>
      <c r="G25" s="14">
        <v>1.8277257824782085</v>
      </c>
      <c r="H25" s="15"/>
      <c r="I25" s="15"/>
    </row>
    <row r="26" spans="1:11" s="1" customFormat="1" ht="18" customHeight="1">
      <c r="A26" s="10">
        <v>19</v>
      </c>
      <c r="B26" s="11" t="s">
        <v>660</v>
      </c>
      <c r="C26" s="11" t="s">
        <v>661</v>
      </c>
      <c r="D26" s="11" t="s">
        <v>152</v>
      </c>
      <c r="E26" s="12">
        <v>10945</v>
      </c>
      <c r="F26" s="35">
        <v>2463.0409100000002</v>
      </c>
      <c r="G26" s="14">
        <v>1.7191758177060343</v>
      </c>
      <c r="H26" s="15"/>
      <c r="I26" s="15"/>
    </row>
    <row r="27" spans="1:11" s="1" customFormat="1" ht="18" customHeight="1">
      <c r="A27" s="10">
        <v>20</v>
      </c>
      <c r="B27" s="11" t="s">
        <v>58</v>
      </c>
      <c r="C27" s="11" t="s">
        <v>59</v>
      </c>
      <c r="D27" s="11" t="s">
        <v>40</v>
      </c>
      <c r="E27" s="12">
        <v>26500</v>
      </c>
      <c r="F27" s="35">
        <v>987.35024999999996</v>
      </c>
      <c r="G27" s="14">
        <v>0.68915975634607196</v>
      </c>
      <c r="H27" s="15"/>
      <c r="I27" s="15"/>
    </row>
    <row r="28" spans="1:11" s="1" customFormat="1" ht="18" customHeight="1">
      <c r="A28" s="16"/>
      <c r="B28" s="28" t="s">
        <v>132</v>
      </c>
      <c r="C28" s="18"/>
      <c r="D28" s="18"/>
      <c r="E28" s="19"/>
      <c r="F28" s="36">
        <v>137335.87401540001</v>
      </c>
      <c r="G28" s="21">
        <v>95.85894921688417</v>
      </c>
      <c r="H28" s="22" t="s">
        <v>15</v>
      </c>
      <c r="I28" s="22"/>
    </row>
    <row r="29" spans="1:11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11" s="1" customFormat="1" ht="18" customHeight="1">
      <c r="A30" s="8"/>
      <c r="B30" s="9"/>
      <c r="C30" s="8"/>
      <c r="D30" s="8"/>
      <c r="E30" s="8"/>
      <c r="F30" s="8"/>
      <c r="G30" s="8"/>
      <c r="H30" s="7"/>
      <c r="I30" s="7"/>
    </row>
    <row r="31" spans="1:11" s="1" customFormat="1" ht="18" customHeight="1">
      <c r="A31" s="8"/>
      <c r="B31" s="9"/>
      <c r="C31" s="8"/>
      <c r="D31" s="8"/>
      <c r="E31" s="8"/>
      <c r="F31" s="8"/>
      <c r="G31" s="8"/>
      <c r="H31" s="7"/>
      <c r="I31" s="7"/>
    </row>
    <row r="32" spans="1:11" s="1" customFormat="1" ht="18" customHeight="1">
      <c r="A32" s="23">
        <v>21</v>
      </c>
      <c r="B32" s="4" t="s">
        <v>133</v>
      </c>
      <c r="C32" s="11"/>
      <c r="D32" s="11"/>
      <c r="E32" s="12"/>
      <c r="F32" s="35">
        <v>423.53295340000005</v>
      </c>
      <c r="G32" s="14">
        <v>0.2956214038226822</v>
      </c>
      <c r="H32" s="15"/>
      <c r="I32" s="15" t="s">
        <v>134</v>
      </c>
    </row>
    <row r="33" spans="1:9" s="1" customFormat="1" ht="18" customHeight="1">
      <c r="A33" s="16"/>
      <c r="B33" s="28" t="s">
        <v>132</v>
      </c>
      <c r="C33" s="18"/>
      <c r="D33" s="18"/>
      <c r="E33" s="19"/>
      <c r="F33" s="36">
        <v>423.53295340000005</v>
      </c>
      <c r="G33" s="21">
        <v>0.2956214038226822</v>
      </c>
      <c r="H33" s="22"/>
      <c r="I33" s="22"/>
    </row>
    <row r="34" spans="1:9" s="1" customFormat="1" ht="18" customHeight="1">
      <c r="A34" s="16"/>
      <c r="B34" s="24"/>
      <c r="C34" s="16"/>
      <c r="D34" s="16"/>
      <c r="E34" s="25"/>
      <c r="F34" s="16"/>
      <c r="G34" s="16"/>
      <c r="H34" s="22"/>
      <c r="I34" s="22"/>
    </row>
    <row r="35" spans="1:9" s="1" customFormat="1" ht="18" customHeight="1">
      <c r="A35" s="16"/>
      <c r="B35" s="24" t="s">
        <v>138</v>
      </c>
      <c r="C35" s="16"/>
      <c r="D35" s="16"/>
      <c r="E35" s="25"/>
      <c r="F35" s="16"/>
      <c r="G35" s="16"/>
      <c r="H35" s="22"/>
      <c r="I35" s="22"/>
    </row>
    <row r="36" spans="1:9" s="1" customFormat="1" ht="18" customHeight="1">
      <c r="A36" s="16"/>
      <c r="B36" s="24" t="s">
        <v>139</v>
      </c>
      <c r="C36" s="16"/>
      <c r="D36" s="16"/>
      <c r="E36" s="25"/>
      <c r="F36" s="37">
        <v>5509.2968271000136</v>
      </c>
      <c r="G36" s="27">
        <v>3.8454293792931455</v>
      </c>
      <c r="H36" s="22"/>
      <c r="I36" s="22"/>
    </row>
    <row r="37" spans="1:9" s="1" customFormat="1" ht="18" customHeight="1">
      <c r="A37" s="16"/>
      <c r="B37" s="28" t="s">
        <v>132</v>
      </c>
      <c r="C37" s="18"/>
      <c r="D37" s="18"/>
      <c r="E37" s="19"/>
      <c r="F37" s="36">
        <v>5509.2968271000136</v>
      </c>
      <c r="G37" s="21">
        <v>3.8454293792931455</v>
      </c>
      <c r="H37" s="22"/>
      <c r="I37" s="22"/>
    </row>
    <row r="38" spans="1:9" s="1" customFormat="1" ht="18" customHeight="1">
      <c r="A38" s="16"/>
      <c r="B38" s="29" t="s">
        <v>140</v>
      </c>
      <c r="C38" s="30"/>
      <c r="D38" s="30"/>
      <c r="E38" s="31"/>
      <c r="F38" s="38">
        <v>143268.70379590002</v>
      </c>
      <c r="G38" s="33">
        <v>100</v>
      </c>
      <c r="H38" s="22"/>
      <c r="I38" s="22"/>
    </row>
    <row r="39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662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19</v>
      </c>
      <c r="K5" s="14">
        <v>22.596339421431157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40</v>
      </c>
      <c r="K6" s="14">
        <v>14.150387568444145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27</v>
      </c>
      <c r="K7" s="14">
        <v>12.080422590597061</v>
      </c>
    </row>
    <row r="8" spans="1:11" s="1" customFormat="1" ht="18" customHeight="1">
      <c r="A8" s="10">
        <v>1</v>
      </c>
      <c r="B8" s="11" t="s">
        <v>158</v>
      </c>
      <c r="C8" s="11" t="s">
        <v>159</v>
      </c>
      <c r="D8" s="11" t="s">
        <v>27</v>
      </c>
      <c r="E8" s="12">
        <v>14583</v>
      </c>
      <c r="F8" s="35">
        <v>320.51246550000002</v>
      </c>
      <c r="G8" s="14">
        <v>8.3721526435061548</v>
      </c>
      <c r="H8" s="15" t="s">
        <v>15</v>
      </c>
      <c r="I8" s="15" t="s">
        <v>16</v>
      </c>
      <c r="J8" s="11" t="s">
        <v>45</v>
      </c>
      <c r="K8" s="14">
        <v>11.102084523329065</v>
      </c>
    </row>
    <row r="9" spans="1:11" s="1" customFormat="1" ht="18" customHeight="1">
      <c r="A9" s="10">
        <v>2</v>
      </c>
      <c r="B9" s="11" t="s">
        <v>17</v>
      </c>
      <c r="C9" s="11" t="s">
        <v>18</v>
      </c>
      <c r="D9" s="11" t="s">
        <v>19</v>
      </c>
      <c r="E9" s="12">
        <v>30620</v>
      </c>
      <c r="F9" s="35">
        <v>302.77055999999999</v>
      </c>
      <c r="G9" s="14">
        <v>7.9087137541607992</v>
      </c>
      <c r="H9" s="15"/>
      <c r="I9" s="15"/>
      <c r="J9" s="11" t="s">
        <v>14</v>
      </c>
      <c r="K9" s="14">
        <v>10.952198231624422</v>
      </c>
    </row>
    <row r="10" spans="1:11" s="1" customFormat="1" ht="18" customHeight="1">
      <c r="A10" s="10">
        <v>3</v>
      </c>
      <c r="B10" s="11" t="s">
        <v>148</v>
      </c>
      <c r="C10" s="11" t="s">
        <v>149</v>
      </c>
      <c r="D10" s="11" t="s">
        <v>40</v>
      </c>
      <c r="E10" s="12">
        <v>1974</v>
      </c>
      <c r="F10" s="35">
        <v>299.882184</v>
      </c>
      <c r="G10" s="14">
        <v>7.8332660653287407</v>
      </c>
      <c r="H10" s="15"/>
      <c r="I10" s="15"/>
      <c r="J10" s="11" t="s">
        <v>24</v>
      </c>
      <c r="K10" s="14">
        <v>8.182609320612384</v>
      </c>
    </row>
    <row r="11" spans="1:11" s="1" customFormat="1" ht="18" customHeight="1">
      <c r="A11" s="10">
        <v>4</v>
      </c>
      <c r="B11" s="11" t="s">
        <v>41</v>
      </c>
      <c r="C11" s="11" t="s">
        <v>42</v>
      </c>
      <c r="D11" s="11" t="s">
        <v>19</v>
      </c>
      <c r="E11" s="12">
        <v>108511</v>
      </c>
      <c r="F11" s="35">
        <v>292.70842249999998</v>
      </c>
      <c r="G11" s="14">
        <v>7.6458791996964983</v>
      </c>
      <c r="H11" s="15"/>
      <c r="I11" s="15"/>
      <c r="J11" s="11" t="s">
        <v>30</v>
      </c>
      <c r="K11" s="14">
        <v>6.9779791622630345</v>
      </c>
    </row>
    <row r="12" spans="1:11" s="1" customFormat="1" ht="18" customHeight="1">
      <c r="A12" s="10">
        <v>5</v>
      </c>
      <c r="B12" s="11" t="s">
        <v>71</v>
      </c>
      <c r="C12" s="11" t="s">
        <v>72</v>
      </c>
      <c r="D12" s="11" t="s">
        <v>19</v>
      </c>
      <c r="E12" s="12">
        <v>32724</v>
      </c>
      <c r="F12" s="35">
        <v>269.58031199999999</v>
      </c>
      <c r="G12" s="14">
        <v>7.0417464675738604</v>
      </c>
      <c r="H12" s="15"/>
      <c r="I12" s="15"/>
      <c r="J12" s="11" t="s">
        <v>164</v>
      </c>
      <c r="K12" s="14">
        <v>3.5518482101649469</v>
      </c>
    </row>
    <row r="13" spans="1:11" s="1" customFormat="1" ht="18" customHeight="1">
      <c r="A13" s="10">
        <v>6</v>
      </c>
      <c r="B13" s="11" t="s">
        <v>169</v>
      </c>
      <c r="C13" s="11" t="s">
        <v>170</v>
      </c>
      <c r="D13" s="11" t="s">
        <v>30</v>
      </c>
      <c r="E13" s="12">
        <v>42732</v>
      </c>
      <c r="F13" s="35">
        <v>267.13909799999999</v>
      </c>
      <c r="G13" s="14">
        <v>6.9779791622630345</v>
      </c>
      <c r="H13" s="15"/>
      <c r="I13" s="15"/>
      <c r="J13" s="11" t="s">
        <v>643</v>
      </c>
      <c r="K13" s="14">
        <v>2.8497087845979614</v>
      </c>
    </row>
    <row r="14" spans="1:11" s="1" customFormat="1" ht="18" customHeight="1">
      <c r="A14" s="10">
        <v>7</v>
      </c>
      <c r="B14" s="11" t="s">
        <v>34</v>
      </c>
      <c r="C14" s="11" t="s">
        <v>35</v>
      </c>
      <c r="D14" s="11" t="s">
        <v>14</v>
      </c>
      <c r="E14" s="12">
        <v>8858</v>
      </c>
      <c r="F14" s="35">
        <v>218.23454600000002</v>
      </c>
      <c r="G14" s="14">
        <v>5.7005362594805717</v>
      </c>
      <c r="H14" s="15"/>
      <c r="I14" s="15"/>
      <c r="J14" s="11" t="s">
        <v>147</v>
      </c>
      <c r="K14" s="14">
        <v>1.4613709892179132</v>
      </c>
    </row>
    <row r="15" spans="1:11" s="1" customFormat="1" ht="18" customHeight="1">
      <c r="A15" s="10">
        <v>8</v>
      </c>
      <c r="B15" s="11" t="s">
        <v>22</v>
      </c>
      <c r="C15" s="11" t="s">
        <v>23</v>
      </c>
      <c r="D15" s="11" t="s">
        <v>24</v>
      </c>
      <c r="E15" s="12">
        <v>18590</v>
      </c>
      <c r="F15" s="35">
        <v>217.50299999999999</v>
      </c>
      <c r="G15" s="14">
        <v>5.6814274402083091</v>
      </c>
      <c r="H15" s="15"/>
      <c r="I15" s="15"/>
      <c r="J15" s="11" t="s">
        <v>143</v>
      </c>
      <c r="K15" s="14">
        <v>6.0950511977178978</v>
      </c>
    </row>
    <row r="16" spans="1:11" s="1" customFormat="1" ht="20.25" customHeight="1">
      <c r="A16" s="10">
        <v>9</v>
      </c>
      <c r="B16" s="11" t="s">
        <v>639</v>
      </c>
      <c r="C16" s="11" t="s">
        <v>640</v>
      </c>
      <c r="D16" s="11" t="s">
        <v>45</v>
      </c>
      <c r="E16" s="12">
        <v>17087</v>
      </c>
      <c r="F16" s="35">
        <v>215.80880999999999</v>
      </c>
      <c r="G16" s="14">
        <v>5.6371732572548492</v>
      </c>
      <c r="H16" s="15"/>
      <c r="I16" s="15"/>
    </row>
    <row r="17" spans="1:9" s="1" customFormat="1" ht="18" customHeight="1">
      <c r="A17" s="10">
        <v>10</v>
      </c>
      <c r="B17" s="11" t="s">
        <v>65</v>
      </c>
      <c r="C17" s="11" t="s">
        <v>66</v>
      </c>
      <c r="D17" s="11" t="s">
        <v>45</v>
      </c>
      <c r="E17" s="12">
        <v>11803</v>
      </c>
      <c r="F17" s="35">
        <v>209.21407649999998</v>
      </c>
      <c r="G17" s="14">
        <v>5.4649112660742167</v>
      </c>
      <c r="H17" s="15"/>
      <c r="I17" s="15"/>
    </row>
    <row r="18" spans="1:9" s="1" customFormat="1" ht="18" customHeight="1">
      <c r="A18" s="10">
        <v>11</v>
      </c>
      <c r="B18" s="11" t="s">
        <v>69</v>
      </c>
      <c r="C18" s="11" t="s">
        <v>70</v>
      </c>
      <c r="D18" s="11" t="s">
        <v>14</v>
      </c>
      <c r="E18" s="12">
        <v>32357</v>
      </c>
      <c r="F18" s="35">
        <v>201.0502195</v>
      </c>
      <c r="G18" s="14">
        <v>5.2516619721438502</v>
      </c>
      <c r="H18" s="15"/>
      <c r="I18" s="15"/>
    </row>
    <row r="19" spans="1:9" s="1" customFormat="1" ht="18" customHeight="1">
      <c r="A19" s="10">
        <v>12</v>
      </c>
      <c r="B19" s="11" t="s">
        <v>58</v>
      </c>
      <c r="C19" s="11" t="s">
        <v>59</v>
      </c>
      <c r="D19" s="11" t="s">
        <v>40</v>
      </c>
      <c r="E19" s="12">
        <v>4330</v>
      </c>
      <c r="F19" s="35">
        <v>161.32930500000001</v>
      </c>
      <c r="G19" s="14">
        <v>4.2141061977845622</v>
      </c>
      <c r="H19" s="15"/>
      <c r="I19" s="15"/>
    </row>
    <row r="20" spans="1:9" s="1" customFormat="1" ht="18" customHeight="1">
      <c r="A20" s="10">
        <v>13</v>
      </c>
      <c r="B20" s="11" t="s">
        <v>610</v>
      </c>
      <c r="C20" s="11" t="s">
        <v>611</v>
      </c>
      <c r="D20" s="11" t="s">
        <v>27</v>
      </c>
      <c r="E20" s="12">
        <v>4263</v>
      </c>
      <c r="F20" s="35">
        <v>141.96429449999999</v>
      </c>
      <c r="G20" s="14">
        <v>3.7082699470909071</v>
      </c>
      <c r="H20" s="15"/>
      <c r="I20" s="15"/>
    </row>
    <row r="21" spans="1:9" s="1" customFormat="1" ht="18" customHeight="1">
      <c r="A21" s="10">
        <v>14</v>
      </c>
      <c r="B21" s="11" t="s">
        <v>644</v>
      </c>
      <c r="C21" s="11" t="s">
        <v>645</v>
      </c>
      <c r="D21" s="11" t="s">
        <v>164</v>
      </c>
      <c r="E21" s="12">
        <v>61361</v>
      </c>
      <c r="F21" s="35">
        <v>135.975976</v>
      </c>
      <c r="G21" s="14">
        <v>3.5518482101649469</v>
      </c>
      <c r="H21" s="15"/>
      <c r="I21" s="15"/>
    </row>
    <row r="22" spans="1:9" s="1" customFormat="1" ht="18" customHeight="1">
      <c r="A22" s="10">
        <v>15</v>
      </c>
      <c r="B22" s="11" t="s">
        <v>641</v>
      </c>
      <c r="C22" s="11" t="s">
        <v>642</v>
      </c>
      <c r="D22" s="11" t="s">
        <v>643</v>
      </c>
      <c r="E22" s="12">
        <v>799</v>
      </c>
      <c r="F22" s="35">
        <v>109.09585949999999</v>
      </c>
      <c r="G22" s="14">
        <v>2.8497087845979614</v>
      </c>
      <c r="H22" s="15"/>
      <c r="I22" s="15"/>
    </row>
    <row r="23" spans="1:9" s="1" customFormat="1" ht="18" customHeight="1">
      <c r="A23" s="10">
        <v>16</v>
      </c>
      <c r="B23" s="11" t="s">
        <v>648</v>
      </c>
      <c r="C23" s="11" t="s">
        <v>649</v>
      </c>
      <c r="D23" s="11" t="s">
        <v>24</v>
      </c>
      <c r="E23" s="12">
        <v>6488</v>
      </c>
      <c r="F23" s="35">
        <v>95.75314800000001</v>
      </c>
      <c r="G23" s="14">
        <v>2.5011818804040749</v>
      </c>
      <c r="H23" s="15"/>
      <c r="I23" s="15"/>
    </row>
    <row r="24" spans="1:9" s="1" customFormat="1" ht="18" customHeight="1">
      <c r="A24" s="10">
        <v>17</v>
      </c>
      <c r="B24" s="11" t="s">
        <v>84</v>
      </c>
      <c r="C24" s="11" t="s">
        <v>85</v>
      </c>
      <c r="D24" s="11" t="s">
        <v>40</v>
      </c>
      <c r="E24" s="12">
        <v>3457</v>
      </c>
      <c r="F24" s="35">
        <v>80.510072999999991</v>
      </c>
      <c r="G24" s="14">
        <v>2.103015305330842</v>
      </c>
      <c r="H24" s="15"/>
      <c r="I24" s="15"/>
    </row>
    <row r="25" spans="1:9" s="1" customFormat="1" ht="18" customHeight="1">
      <c r="A25" s="10">
        <v>18</v>
      </c>
      <c r="B25" s="11" t="s">
        <v>652</v>
      </c>
      <c r="C25" s="11" t="s">
        <v>653</v>
      </c>
      <c r="D25" s="11" t="s">
        <v>147</v>
      </c>
      <c r="E25" s="12">
        <v>8193</v>
      </c>
      <c r="F25" s="35">
        <v>55.9459005</v>
      </c>
      <c r="G25" s="14">
        <v>1.4613709892179132</v>
      </c>
      <c r="H25" s="15"/>
      <c r="I25" s="15"/>
    </row>
    <row r="26" spans="1:9" s="1" customFormat="1" ht="18" customHeight="1">
      <c r="A26" s="16"/>
      <c r="B26" s="28" t="s">
        <v>132</v>
      </c>
      <c r="C26" s="18"/>
      <c r="D26" s="18"/>
      <c r="E26" s="19"/>
      <c r="F26" s="36">
        <v>3594.9782505000007</v>
      </c>
      <c r="G26" s="21">
        <v>93.904948802282092</v>
      </c>
      <c r="H26" s="22" t="s">
        <v>15</v>
      </c>
      <c r="I26" s="22"/>
    </row>
    <row r="27" spans="1:9" s="1" customFormat="1" ht="18" customHeight="1">
      <c r="A27" s="8"/>
      <c r="B27" s="9"/>
      <c r="C27" s="8"/>
      <c r="D27" s="8"/>
      <c r="E27" s="8"/>
      <c r="F27" s="8"/>
      <c r="G27" s="8"/>
      <c r="H27" s="7"/>
      <c r="I27" s="7"/>
    </row>
    <row r="28" spans="1:9" s="1" customFormat="1" ht="18" customHeight="1">
      <c r="A28" s="8"/>
      <c r="B28" s="9"/>
      <c r="C28" s="8"/>
      <c r="D28" s="8"/>
      <c r="E28" s="8"/>
      <c r="F28" s="8"/>
      <c r="G28" s="8"/>
      <c r="H28" s="7"/>
      <c r="I28" s="7"/>
    </row>
    <row r="29" spans="1:9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9" s="1" customFormat="1" ht="18" customHeight="1">
      <c r="A30" s="23">
        <v>19</v>
      </c>
      <c r="B30" s="4" t="s">
        <v>133</v>
      </c>
      <c r="C30" s="11"/>
      <c r="D30" s="11"/>
      <c r="E30" s="12"/>
      <c r="F30" s="35">
        <v>29.9669542</v>
      </c>
      <c r="G30" s="14">
        <v>0.78277116127752555</v>
      </c>
      <c r="H30" s="15"/>
      <c r="I30" s="15" t="s">
        <v>134</v>
      </c>
    </row>
    <row r="31" spans="1:9" s="1" customFormat="1" ht="18" customHeight="1">
      <c r="A31" s="16"/>
      <c r="B31" s="28" t="s">
        <v>132</v>
      </c>
      <c r="C31" s="18"/>
      <c r="D31" s="18"/>
      <c r="E31" s="19"/>
      <c r="F31" s="36">
        <v>29.9669542</v>
      </c>
      <c r="G31" s="21">
        <v>0.78277116127752555</v>
      </c>
      <c r="H31" s="22"/>
      <c r="I31" s="22"/>
    </row>
    <row r="32" spans="1:9" s="1" customFormat="1" ht="18" customHeight="1">
      <c r="A32" s="16"/>
      <c r="B32" s="24"/>
      <c r="C32" s="16"/>
      <c r="D32" s="16"/>
      <c r="E32" s="25"/>
      <c r="F32" s="16"/>
      <c r="G32" s="16"/>
      <c r="H32" s="22"/>
      <c r="I32" s="22"/>
    </row>
    <row r="33" spans="1:9" s="1" customFormat="1" ht="18" customHeight="1">
      <c r="A33" s="16"/>
      <c r="B33" s="24" t="s">
        <v>138</v>
      </c>
      <c r="C33" s="16"/>
      <c r="D33" s="16"/>
      <c r="E33" s="25"/>
      <c r="F33" s="16"/>
      <c r="G33" s="16"/>
      <c r="H33" s="22"/>
      <c r="I33" s="22"/>
    </row>
    <row r="34" spans="1:9" s="1" customFormat="1" ht="18" customHeight="1">
      <c r="A34" s="16"/>
      <c r="B34" s="24" t="s">
        <v>139</v>
      </c>
      <c r="C34" s="16"/>
      <c r="D34" s="16"/>
      <c r="E34" s="25"/>
      <c r="F34" s="37">
        <v>203.37087060000022</v>
      </c>
      <c r="G34" s="27">
        <v>5.3122800364403924</v>
      </c>
      <c r="H34" s="22"/>
      <c r="I34" s="22"/>
    </row>
    <row r="35" spans="1:9" s="1" customFormat="1" ht="18" customHeight="1">
      <c r="A35" s="16"/>
      <c r="B35" s="28" t="s">
        <v>132</v>
      </c>
      <c r="C35" s="18"/>
      <c r="D35" s="18"/>
      <c r="E35" s="19"/>
      <c r="F35" s="36">
        <v>203.37087060000022</v>
      </c>
      <c r="G35" s="21">
        <v>5.3122800364403924</v>
      </c>
      <c r="H35" s="22"/>
      <c r="I35" s="22"/>
    </row>
    <row r="36" spans="1:9" s="1" customFormat="1" ht="18" customHeight="1">
      <c r="A36" s="16"/>
      <c r="B36" s="29" t="s">
        <v>140</v>
      </c>
      <c r="C36" s="30"/>
      <c r="D36" s="30"/>
      <c r="E36" s="31"/>
      <c r="F36" s="38">
        <v>3828.3160752999997</v>
      </c>
      <c r="G36" s="33">
        <v>100.00000000000001</v>
      </c>
      <c r="H36" s="22"/>
      <c r="I36" s="22"/>
    </row>
    <row r="37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17.570312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15.855468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616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629</v>
      </c>
      <c r="K5" s="14">
        <v>55.82</v>
      </c>
    </row>
    <row r="6" spans="1:11" s="1" customFormat="1" ht="18" customHeight="1">
      <c r="A6" s="8"/>
      <c r="B6" s="9" t="s">
        <v>617</v>
      </c>
      <c r="C6" s="8"/>
      <c r="D6" s="8"/>
      <c r="E6" s="8"/>
      <c r="F6" s="8"/>
      <c r="G6" s="8"/>
      <c r="H6" s="7"/>
      <c r="I6" s="7"/>
      <c r="J6" s="11" t="s">
        <v>664</v>
      </c>
      <c r="K6" s="14">
        <v>23.88</v>
      </c>
    </row>
    <row r="7" spans="1:11" s="1" customFormat="1" ht="18" customHeight="1">
      <c r="A7" s="8"/>
      <c r="B7" s="9" t="s">
        <v>618</v>
      </c>
      <c r="C7" s="8"/>
      <c r="D7" s="8"/>
      <c r="E7" s="8"/>
      <c r="F7" s="8"/>
      <c r="G7" s="8"/>
      <c r="H7" s="7"/>
      <c r="I7" s="7"/>
      <c r="J7" s="11" t="s">
        <v>663</v>
      </c>
      <c r="K7" s="14">
        <v>8.0029383034972295</v>
      </c>
    </row>
    <row r="8" spans="1:11" s="1" customFormat="1" ht="20.25" customHeight="1">
      <c r="A8" s="10">
        <v>1</v>
      </c>
      <c r="B8" s="11" t="s">
        <v>667</v>
      </c>
      <c r="C8" s="11" t="s">
        <v>619</v>
      </c>
      <c r="D8" s="11" t="s">
        <v>664</v>
      </c>
      <c r="E8" s="12">
        <v>100000000</v>
      </c>
      <c r="F8" s="35">
        <v>989.99300000000005</v>
      </c>
      <c r="G8" s="14">
        <v>15.870924699135191</v>
      </c>
      <c r="H8" s="15" t="s">
        <v>620</v>
      </c>
      <c r="I8" s="15" t="s">
        <v>621</v>
      </c>
      <c r="J8" s="11" t="s">
        <v>633</v>
      </c>
      <c r="K8" s="14">
        <v>7.9548362365535681</v>
      </c>
    </row>
    <row r="9" spans="1:11" s="1" customFormat="1" ht="18" customHeight="1">
      <c r="A9" s="10">
        <v>2</v>
      </c>
      <c r="B9" s="11" t="s">
        <v>622</v>
      </c>
      <c r="C9" s="11" t="s">
        <v>623</v>
      </c>
      <c r="D9" s="11" t="s">
        <v>629</v>
      </c>
      <c r="E9" s="12">
        <v>50000000</v>
      </c>
      <c r="F9" s="35">
        <v>499.56950000000001</v>
      </c>
      <c r="G9" s="14">
        <v>8.0087737150511344</v>
      </c>
      <c r="H9" s="15"/>
      <c r="I9" s="15"/>
      <c r="J9" s="11" t="s">
        <v>143</v>
      </c>
      <c r="K9" s="14">
        <v>4.34</v>
      </c>
    </row>
    <row r="10" spans="1:11" s="1" customFormat="1" ht="18" customHeight="1">
      <c r="A10" s="10">
        <v>3</v>
      </c>
      <c r="B10" s="11" t="s">
        <v>120</v>
      </c>
      <c r="C10" s="11" t="s">
        <v>624</v>
      </c>
      <c r="D10" s="11" t="s">
        <v>664</v>
      </c>
      <c r="E10" s="12">
        <v>50000000</v>
      </c>
      <c r="F10" s="35">
        <v>499.5575</v>
      </c>
      <c r="G10" s="14">
        <v>8.00858133884606</v>
      </c>
      <c r="H10" s="15"/>
      <c r="I10" s="15"/>
    </row>
    <row r="11" spans="1:11" s="1" customFormat="1" ht="18" customHeight="1">
      <c r="A11" s="10">
        <v>4</v>
      </c>
      <c r="B11" s="11" t="s">
        <v>36</v>
      </c>
      <c r="C11" s="11" t="s">
        <v>625</v>
      </c>
      <c r="D11" s="11" t="s">
        <v>629</v>
      </c>
      <c r="E11" s="12">
        <v>50000000</v>
      </c>
      <c r="F11" s="35">
        <v>499.5455</v>
      </c>
      <c r="G11" s="14">
        <v>8.0083889626409874</v>
      </c>
      <c r="H11" s="15"/>
      <c r="I11" s="15"/>
    </row>
    <row r="12" spans="1:11" s="1" customFormat="1" ht="18" customHeight="1">
      <c r="A12" s="10">
        <v>5</v>
      </c>
      <c r="B12" s="11" t="s">
        <v>326</v>
      </c>
      <c r="C12" s="11" t="s">
        <v>626</v>
      </c>
      <c r="D12" s="11" t="s">
        <v>663</v>
      </c>
      <c r="E12" s="12">
        <v>50000000</v>
      </c>
      <c r="F12" s="35">
        <v>499.20549999999997</v>
      </c>
      <c r="G12" s="14">
        <v>8.0029383034972295</v>
      </c>
      <c r="H12" s="15"/>
      <c r="I12" s="15"/>
    </row>
    <row r="13" spans="1:11" s="1" customFormat="1" ht="18" customHeight="1">
      <c r="A13" s="10">
        <v>6</v>
      </c>
      <c r="B13" s="11" t="s">
        <v>627</v>
      </c>
      <c r="C13" s="11" t="s">
        <v>628</v>
      </c>
      <c r="D13" s="11" t="s">
        <v>629</v>
      </c>
      <c r="E13" s="12">
        <v>50000000</v>
      </c>
      <c r="F13" s="35">
        <v>499.18400000000003</v>
      </c>
      <c r="G13" s="14">
        <v>8.0025936294631386</v>
      </c>
      <c r="H13" s="15"/>
      <c r="I13" s="15"/>
    </row>
    <row r="14" spans="1:11" s="1" customFormat="1" ht="18" customHeight="1">
      <c r="A14" s="10">
        <v>7</v>
      </c>
      <c r="B14" s="11" t="s">
        <v>666</v>
      </c>
      <c r="C14" s="11" t="s">
        <v>630</v>
      </c>
      <c r="D14" s="11" t="s">
        <v>629</v>
      </c>
      <c r="E14" s="12">
        <v>50000000</v>
      </c>
      <c r="F14" s="35">
        <v>496.49650000000003</v>
      </c>
      <c r="G14" s="14">
        <v>7.9595093752018204</v>
      </c>
      <c r="H14" s="15"/>
      <c r="I14" s="15"/>
    </row>
    <row r="15" spans="1:11" s="1" customFormat="1" ht="18" customHeight="1">
      <c r="A15" s="10">
        <v>8</v>
      </c>
      <c r="B15" s="11" t="s">
        <v>631</v>
      </c>
      <c r="C15" s="11" t="s">
        <v>632</v>
      </c>
      <c r="D15" s="11" t="s">
        <v>633</v>
      </c>
      <c r="E15" s="12">
        <v>50000000</v>
      </c>
      <c r="F15" s="35">
        <v>496.20499999999998</v>
      </c>
      <c r="G15" s="14">
        <v>7.9548362365535681</v>
      </c>
      <c r="H15" s="15"/>
      <c r="I15" s="15"/>
    </row>
    <row r="16" spans="1:11" s="1" customFormat="1" ht="18" customHeight="1">
      <c r="A16" s="10">
        <v>9</v>
      </c>
      <c r="B16" s="11" t="s">
        <v>264</v>
      </c>
      <c r="C16" s="11" t="s">
        <v>634</v>
      </c>
      <c r="D16" s="11" t="s">
        <v>629</v>
      </c>
      <c r="E16" s="12">
        <v>50000000</v>
      </c>
      <c r="F16" s="35">
        <v>495.86</v>
      </c>
      <c r="G16" s="14">
        <v>7.949305420657697</v>
      </c>
      <c r="H16" s="15"/>
      <c r="I16" s="15"/>
    </row>
    <row r="17" spans="1:9" s="1" customFormat="1" ht="18" customHeight="1">
      <c r="A17" s="10">
        <v>10</v>
      </c>
      <c r="B17" s="11" t="s">
        <v>128</v>
      </c>
      <c r="C17" s="11" t="s">
        <v>635</v>
      </c>
      <c r="D17" s="11" t="s">
        <v>629</v>
      </c>
      <c r="E17" s="12">
        <v>50000000</v>
      </c>
      <c r="F17" s="35">
        <v>495.75</v>
      </c>
      <c r="G17" s="14">
        <v>7.9475419721111873</v>
      </c>
      <c r="H17" s="15"/>
      <c r="I17" s="15"/>
    </row>
    <row r="18" spans="1:9" s="1" customFormat="1" ht="18" customHeight="1">
      <c r="A18" s="10">
        <v>11</v>
      </c>
      <c r="B18" s="11" t="s">
        <v>636</v>
      </c>
      <c r="C18" s="11" t="s">
        <v>637</v>
      </c>
      <c r="D18" s="11" t="s">
        <v>629</v>
      </c>
      <c r="E18" s="12">
        <v>50000000</v>
      </c>
      <c r="F18" s="35">
        <v>495.47199999999998</v>
      </c>
      <c r="G18" s="14">
        <v>7.9430852566936441</v>
      </c>
      <c r="H18" s="15"/>
      <c r="I18" s="15"/>
    </row>
    <row r="19" spans="1:9" s="1" customFormat="1" ht="18" customHeight="1">
      <c r="A19" s="16"/>
      <c r="B19" s="28" t="s">
        <v>132</v>
      </c>
      <c r="C19" s="18"/>
      <c r="D19" s="18"/>
      <c r="E19" s="19"/>
      <c r="F19" s="36">
        <v>5966.8384999999998</v>
      </c>
      <c r="G19" s="21">
        <v>95.656478909851643</v>
      </c>
      <c r="H19" s="22" t="s">
        <v>620</v>
      </c>
      <c r="I19" s="22"/>
    </row>
    <row r="20" spans="1:9" s="1" customFormat="1" ht="18" customHeight="1">
      <c r="A20" s="8"/>
      <c r="B20" s="9"/>
      <c r="C20" s="8"/>
      <c r="D20" s="8"/>
      <c r="E20" s="8"/>
      <c r="F20" s="8"/>
      <c r="G20" s="8"/>
      <c r="H20" s="7"/>
      <c r="I20" s="7"/>
    </row>
    <row r="21" spans="1:9" s="1" customFormat="1" ht="18" customHeight="1">
      <c r="A21" s="8"/>
      <c r="B21" s="9"/>
      <c r="C21" s="8"/>
      <c r="D21" s="8"/>
      <c r="E21" s="8"/>
      <c r="F21" s="8"/>
      <c r="G21" s="8"/>
      <c r="H21" s="7"/>
      <c r="I21" s="7"/>
    </row>
    <row r="22" spans="1:9" s="1" customFormat="1" ht="18" customHeight="1">
      <c r="A22" s="8"/>
      <c r="B22" s="9"/>
      <c r="C22" s="8"/>
      <c r="D22" s="8"/>
      <c r="E22" s="8"/>
      <c r="F22" s="8"/>
      <c r="G22" s="8"/>
      <c r="H22" s="7"/>
      <c r="I22" s="7"/>
    </row>
    <row r="23" spans="1:9" s="1" customFormat="1" ht="18" customHeight="1">
      <c r="A23" s="23">
        <v>12</v>
      </c>
      <c r="B23" s="4" t="s">
        <v>133</v>
      </c>
      <c r="C23" s="11"/>
      <c r="D23" s="11"/>
      <c r="E23" s="12"/>
      <c r="F23" s="35">
        <v>328.63759829999998</v>
      </c>
      <c r="G23" s="14">
        <v>5.2685045004600424</v>
      </c>
      <c r="H23" s="15"/>
      <c r="I23" s="15" t="s">
        <v>134</v>
      </c>
    </row>
    <row r="24" spans="1:9" s="1" customFormat="1" ht="18" customHeight="1">
      <c r="A24" s="16"/>
      <c r="B24" s="28" t="s">
        <v>132</v>
      </c>
      <c r="C24" s="18"/>
      <c r="D24" s="18"/>
      <c r="E24" s="19"/>
      <c r="F24" s="36">
        <v>328.63759829999998</v>
      </c>
      <c r="G24" s="21">
        <v>5.2685045004600424</v>
      </c>
      <c r="H24" s="22"/>
      <c r="I24" s="22"/>
    </row>
    <row r="25" spans="1:9" s="1" customFormat="1" ht="18" customHeight="1">
      <c r="A25" s="16"/>
      <c r="B25" s="24"/>
      <c r="C25" s="16"/>
      <c r="D25" s="16"/>
      <c r="E25" s="25"/>
      <c r="F25" s="16"/>
      <c r="G25" s="16"/>
      <c r="H25" s="22"/>
      <c r="I25" s="22"/>
    </row>
    <row r="26" spans="1:9" s="1" customFormat="1" ht="18" customHeight="1">
      <c r="A26" s="16"/>
      <c r="B26" s="24" t="s">
        <v>138</v>
      </c>
      <c r="C26" s="16"/>
      <c r="D26" s="16"/>
      <c r="E26" s="25"/>
      <c r="F26" s="16"/>
      <c r="G26" s="16"/>
      <c r="H26" s="22"/>
      <c r="I26" s="22"/>
    </row>
    <row r="27" spans="1:9" s="1" customFormat="1" ht="18" customHeight="1">
      <c r="A27" s="16"/>
      <c r="B27" s="24" t="s">
        <v>139</v>
      </c>
      <c r="C27" s="16"/>
      <c r="D27" s="16"/>
      <c r="E27" s="25"/>
      <c r="F27" s="37">
        <v>-57.698408799999925</v>
      </c>
      <c r="G27" s="27">
        <v>-0.92498341031170728</v>
      </c>
      <c r="H27" s="22"/>
      <c r="I27" s="22"/>
    </row>
    <row r="28" spans="1:9" s="1" customFormat="1" ht="18" customHeight="1">
      <c r="A28" s="16"/>
      <c r="B28" s="28" t="s">
        <v>132</v>
      </c>
      <c r="C28" s="18"/>
      <c r="D28" s="18"/>
      <c r="E28" s="19"/>
      <c r="F28" s="36">
        <v>-57.698408799999925</v>
      </c>
      <c r="G28" s="21">
        <v>-0.92498341031170728</v>
      </c>
      <c r="H28" s="22"/>
      <c r="I28" s="22"/>
    </row>
    <row r="29" spans="1:9" s="1" customFormat="1" ht="18" customHeight="1">
      <c r="A29" s="16"/>
      <c r="B29" s="29" t="s">
        <v>140</v>
      </c>
      <c r="C29" s="30"/>
      <c r="D29" s="30"/>
      <c r="E29" s="31"/>
      <c r="F29" s="38">
        <v>6237.7776895000006</v>
      </c>
      <c r="G29" s="33">
        <v>99.999999999999986</v>
      </c>
      <c r="H29" s="22"/>
      <c r="I29" s="22"/>
    </row>
    <row r="3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0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8"/>
      <c r="C5" s="8"/>
      <c r="D5" s="8"/>
      <c r="E5" s="8"/>
      <c r="F5" s="8"/>
      <c r="G5" s="8"/>
      <c r="H5" s="7"/>
      <c r="I5" s="7"/>
      <c r="J5" s="11" t="s">
        <v>19</v>
      </c>
      <c r="K5" s="14">
        <v>24.923989091904659</v>
      </c>
    </row>
    <row r="6" spans="1:11" s="1" customFormat="1" ht="18" customHeight="1">
      <c r="A6" s="8"/>
      <c r="B6" s="8"/>
      <c r="C6" s="8"/>
      <c r="D6" s="8"/>
      <c r="E6" s="8"/>
      <c r="F6" s="8"/>
      <c r="G6" s="8"/>
      <c r="H6" s="7"/>
      <c r="I6" s="7"/>
      <c r="J6" s="11" t="s">
        <v>14</v>
      </c>
      <c r="K6" s="14">
        <v>15.431560588012079</v>
      </c>
    </row>
    <row r="7" spans="1:11" s="1" customFormat="1" ht="18" customHeight="1">
      <c r="A7" s="8"/>
      <c r="B7" s="9" t="s">
        <v>10</v>
      </c>
      <c r="C7" s="8"/>
      <c r="D7" s="8"/>
      <c r="E7" s="8"/>
      <c r="F7" s="8"/>
      <c r="G7" s="8"/>
      <c r="H7" s="7"/>
      <c r="I7" s="7"/>
      <c r="J7" s="11" t="s">
        <v>27</v>
      </c>
      <c r="K7" s="14">
        <v>9.6249958969125409</v>
      </c>
    </row>
    <row r="8" spans="1:11" s="1" customFormat="1" ht="18" customHeight="1">
      <c r="A8" s="8"/>
      <c r="B8" s="9" t="s">
        <v>11</v>
      </c>
      <c r="C8" s="8"/>
      <c r="D8" s="8"/>
      <c r="E8" s="8"/>
      <c r="F8" s="8"/>
      <c r="G8" s="8"/>
      <c r="H8" s="7"/>
      <c r="I8" s="7"/>
      <c r="J8" s="11" t="s">
        <v>40</v>
      </c>
      <c r="K8" s="14">
        <v>8.8432232648569329</v>
      </c>
    </row>
    <row r="9" spans="1:11" s="1" customFormat="1" ht="18" customHeight="1">
      <c r="A9" s="10">
        <v>1</v>
      </c>
      <c r="B9" s="11" t="s">
        <v>12</v>
      </c>
      <c r="C9" s="11" t="s">
        <v>13</v>
      </c>
      <c r="D9" s="11" t="s">
        <v>14</v>
      </c>
      <c r="E9" s="12">
        <v>9289</v>
      </c>
      <c r="F9" s="13">
        <v>180.41560250000001</v>
      </c>
      <c r="G9" s="14">
        <v>6.7886993885348401</v>
      </c>
      <c r="H9" s="15" t="s">
        <v>15</v>
      </c>
      <c r="I9" s="15" t="s">
        <v>16</v>
      </c>
      <c r="J9" s="11" t="s">
        <v>24</v>
      </c>
      <c r="K9" s="14">
        <v>7.2260629386468445</v>
      </c>
    </row>
    <row r="10" spans="1:11" s="1" customFormat="1" ht="18" customHeight="1">
      <c r="A10" s="10">
        <v>2</v>
      </c>
      <c r="B10" s="11" t="s">
        <v>17</v>
      </c>
      <c r="C10" s="11" t="s">
        <v>18</v>
      </c>
      <c r="D10" s="11" t="s">
        <v>19</v>
      </c>
      <c r="E10" s="12">
        <v>18074</v>
      </c>
      <c r="F10" s="13">
        <v>178.715712</v>
      </c>
      <c r="G10" s="14">
        <v>6.7247357100169243</v>
      </c>
      <c r="H10" s="15"/>
      <c r="I10" s="15"/>
      <c r="J10" s="11" t="s">
        <v>45</v>
      </c>
      <c r="K10" s="14">
        <v>6.5645915919810527</v>
      </c>
    </row>
    <row r="11" spans="1:11" s="1" customFormat="1" ht="18" customHeight="1">
      <c r="A11" s="10">
        <v>3</v>
      </c>
      <c r="B11" s="11" t="s">
        <v>20</v>
      </c>
      <c r="C11" s="11" t="s">
        <v>21</v>
      </c>
      <c r="D11" s="11" t="s">
        <v>19</v>
      </c>
      <c r="E11" s="12">
        <v>53929</v>
      </c>
      <c r="F11" s="13">
        <v>178.58588350000002</v>
      </c>
      <c r="G11" s="14">
        <v>6.7198505080368776</v>
      </c>
      <c r="H11" s="15"/>
      <c r="I11" s="15"/>
      <c r="J11" s="11" t="s">
        <v>30</v>
      </c>
      <c r="K11" s="14">
        <v>5.6677346059946148</v>
      </c>
    </row>
    <row r="12" spans="1:11" s="1" customFormat="1" ht="18" customHeight="1">
      <c r="A12" s="10">
        <v>4</v>
      </c>
      <c r="B12" s="11" t="s">
        <v>22</v>
      </c>
      <c r="C12" s="11" t="s">
        <v>23</v>
      </c>
      <c r="D12" s="11" t="s">
        <v>24</v>
      </c>
      <c r="E12" s="12">
        <v>14637</v>
      </c>
      <c r="F12" s="13">
        <v>171.25290000000001</v>
      </c>
      <c r="G12" s="14">
        <v>6.4439241473853022</v>
      </c>
      <c r="H12" s="15"/>
      <c r="I12" s="15"/>
      <c r="J12" s="11" t="s">
        <v>33</v>
      </c>
      <c r="K12" s="14">
        <v>4.670613231632279</v>
      </c>
    </row>
    <row r="13" spans="1:11" s="1" customFormat="1" ht="18" customHeight="1">
      <c r="A13" s="10">
        <v>5</v>
      </c>
      <c r="B13" s="11" t="s">
        <v>25</v>
      </c>
      <c r="C13" s="11" t="s">
        <v>26</v>
      </c>
      <c r="D13" s="11" t="s">
        <v>27</v>
      </c>
      <c r="E13" s="12">
        <v>51993</v>
      </c>
      <c r="F13" s="13">
        <v>167.5994355</v>
      </c>
      <c r="G13" s="14">
        <v>6.3064511579459124</v>
      </c>
      <c r="H13" s="15"/>
      <c r="I13" s="15"/>
      <c r="J13" s="11" t="s">
        <v>88</v>
      </c>
      <c r="K13" s="14">
        <v>2.853219659900835</v>
      </c>
    </row>
    <row r="14" spans="1:11" s="1" customFormat="1" ht="18" customHeight="1">
      <c r="A14" s="10">
        <v>6</v>
      </c>
      <c r="B14" s="11" t="s">
        <v>28</v>
      </c>
      <c r="C14" s="11" t="s">
        <v>29</v>
      </c>
      <c r="D14" s="11" t="s">
        <v>30</v>
      </c>
      <c r="E14" s="12">
        <v>15334</v>
      </c>
      <c r="F14" s="13">
        <v>132.23274900000001</v>
      </c>
      <c r="G14" s="14">
        <v>4.975669342570197</v>
      </c>
      <c r="H14" s="15"/>
      <c r="I14" s="15"/>
      <c r="J14" s="11" t="s">
        <v>81</v>
      </c>
      <c r="K14" s="14">
        <v>2.6641223050751819</v>
      </c>
    </row>
    <row r="15" spans="1:11" s="1" customFormat="1" ht="18" customHeight="1">
      <c r="A15" s="10">
        <v>7</v>
      </c>
      <c r="B15" s="11" t="s">
        <v>31</v>
      </c>
      <c r="C15" s="11" t="s">
        <v>32</v>
      </c>
      <c r="D15" s="11" t="s">
        <v>33</v>
      </c>
      <c r="E15" s="12">
        <v>7609</v>
      </c>
      <c r="F15" s="13">
        <v>124.12561699999999</v>
      </c>
      <c r="G15" s="14">
        <v>4.670613231632279</v>
      </c>
      <c r="H15" s="15"/>
      <c r="I15" s="15"/>
      <c r="J15" s="11" t="s">
        <v>57</v>
      </c>
      <c r="K15" s="14">
        <v>2.533359669427977</v>
      </c>
    </row>
    <row r="16" spans="1:11" s="1" customFormat="1" ht="18" customHeight="1">
      <c r="A16" s="10">
        <v>8</v>
      </c>
      <c r="B16" s="11" t="s">
        <v>34</v>
      </c>
      <c r="C16" s="11" t="s">
        <v>35</v>
      </c>
      <c r="D16" s="11" t="s">
        <v>14</v>
      </c>
      <c r="E16" s="12">
        <v>4758</v>
      </c>
      <c r="F16" s="13">
        <v>117.22284599999999</v>
      </c>
      <c r="G16" s="14">
        <v>4.4108749572394315</v>
      </c>
      <c r="H16" s="15"/>
      <c r="I16" s="15"/>
      <c r="J16" s="11" t="s">
        <v>52</v>
      </c>
      <c r="K16" s="14">
        <v>2.3343231673518159</v>
      </c>
    </row>
    <row r="17" spans="1:11" s="1" customFormat="1" ht="18" customHeight="1">
      <c r="A17" s="10">
        <v>9</v>
      </c>
      <c r="B17" s="11" t="s">
        <v>36</v>
      </c>
      <c r="C17" s="11" t="s">
        <v>37</v>
      </c>
      <c r="D17" s="11" t="s">
        <v>19</v>
      </c>
      <c r="E17" s="12">
        <v>15805</v>
      </c>
      <c r="F17" s="13">
        <v>89.740790000000004</v>
      </c>
      <c r="G17" s="14">
        <v>3.3767769403404757</v>
      </c>
      <c r="H17" s="15"/>
      <c r="I17" s="15"/>
      <c r="J17" s="11" t="s">
        <v>64</v>
      </c>
      <c r="K17" s="14">
        <v>1.9886765530842574</v>
      </c>
    </row>
    <row r="18" spans="1:11" s="1" customFormat="1" ht="18" customHeight="1">
      <c r="A18" s="10">
        <v>10</v>
      </c>
      <c r="B18" s="11" t="s">
        <v>38</v>
      </c>
      <c r="C18" s="11" t="s">
        <v>39</v>
      </c>
      <c r="D18" s="11" t="s">
        <v>40</v>
      </c>
      <c r="E18" s="12">
        <v>16721</v>
      </c>
      <c r="F18" s="13">
        <v>84.984482499999999</v>
      </c>
      <c r="G18" s="14">
        <v>3.1978060455314545</v>
      </c>
      <c r="H18" s="15"/>
      <c r="I18" s="15"/>
      <c r="J18" s="11" t="s">
        <v>98</v>
      </c>
      <c r="K18" s="14">
        <v>1.3881055611222979</v>
      </c>
    </row>
    <row r="19" spans="1:11" s="1" customFormat="1" ht="18" customHeight="1">
      <c r="A19" s="10">
        <v>11</v>
      </c>
      <c r="B19" s="11" t="s">
        <v>41</v>
      </c>
      <c r="C19" s="11" t="s">
        <v>42</v>
      </c>
      <c r="D19" s="11" t="s">
        <v>19</v>
      </c>
      <c r="E19" s="12">
        <v>28765</v>
      </c>
      <c r="F19" s="13">
        <v>77.593587499999998</v>
      </c>
      <c r="G19" s="14">
        <v>2.9197005841857533</v>
      </c>
      <c r="H19" s="15"/>
      <c r="I19" s="15"/>
      <c r="J19" s="11" t="s">
        <v>95</v>
      </c>
      <c r="K19" s="14">
        <v>0.841218471899154</v>
      </c>
    </row>
    <row r="20" spans="1:11" s="1" customFormat="1" ht="18" customHeight="1">
      <c r="A20" s="10">
        <v>12</v>
      </c>
      <c r="B20" s="11" t="s">
        <v>43</v>
      </c>
      <c r="C20" s="11" t="s">
        <v>44</v>
      </c>
      <c r="D20" s="11" t="s">
        <v>45</v>
      </c>
      <c r="E20" s="12">
        <v>7005</v>
      </c>
      <c r="F20" s="13">
        <v>65.766442499999997</v>
      </c>
      <c r="G20" s="14">
        <v>2.4746673890683137</v>
      </c>
      <c r="H20" s="15"/>
      <c r="I20" s="15"/>
      <c r="J20" s="11" t="s">
        <v>105</v>
      </c>
      <c r="K20" s="14">
        <v>0.7535838104614464</v>
      </c>
    </row>
    <row r="21" spans="1:11" s="1" customFormat="1" ht="18" customHeight="1">
      <c r="A21" s="10">
        <v>13</v>
      </c>
      <c r="B21" s="11" t="s">
        <v>46</v>
      </c>
      <c r="C21" s="11" t="s">
        <v>47</v>
      </c>
      <c r="D21" s="11" t="s">
        <v>27</v>
      </c>
      <c r="E21" s="12">
        <v>6593</v>
      </c>
      <c r="F21" s="13">
        <v>56.063575499999999</v>
      </c>
      <c r="G21" s="14">
        <v>2.1095667749463454</v>
      </c>
      <c r="H21" s="15"/>
      <c r="I21" s="15"/>
      <c r="J21" s="11" t="s">
        <v>114</v>
      </c>
      <c r="K21" s="14">
        <v>0.59742552596859833</v>
      </c>
    </row>
    <row r="22" spans="1:11" s="1" customFormat="1" ht="18" customHeight="1">
      <c r="A22" s="10">
        <v>14</v>
      </c>
      <c r="B22" s="11" t="s">
        <v>48</v>
      </c>
      <c r="C22" s="11" t="s">
        <v>49</v>
      </c>
      <c r="D22" s="11" t="s">
        <v>19</v>
      </c>
      <c r="E22" s="12">
        <v>4002</v>
      </c>
      <c r="F22" s="13">
        <v>53.342658</v>
      </c>
      <c r="G22" s="14">
        <v>2.0071837730743001</v>
      </c>
      <c r="H22" s="15"/>
      <c r="I22" s="15"/>
      <c r="J22" s="11" t="s">
        <v>117</v>
      </c>
      <c r="K22" s="14">
        <v>0.58635800556137441</v>
      </c>
    </row>
    <row r="23" spans="1:11" s="1" customFormat="1" ht="18" customHeight="1">
      <c r="A23" s="10">
        <v>15</v>
      </c>
      <c r="B23" s="11" t="s">
        <v>50</v>
      </c>
      <c r="C23" s="11" t="s">
        <v>51</v>
      </c>
      <c r="D23" s="11" t="s">
        <v>52</v>
      </c>
      <c r="E23" s="12">
        <v>16696</v>
      </c>
      <c r="F23" s="13">
        <v>50.755839999999999</v>
      </c>
      <c r="G23" s="14">
        <v>1.9098466828697491</v>
      </c>
      <c r="H23" s="15"/>
      <c r="I23" s="15"/>
      <c r="J23" s="16" t="s">
        <v>143</v>
      </c>
      <c r="K23" s="27">
        <v>0.50683606020603067</v>
      </c>
    </row>
    <row r="24" spans="1:11" s="1" customFormat="1" ht="20.25" customHeight="1">
      <c r="A24" s="10">
        <v>16</v>
      </c>
      <c r="B24" s="11" t="s">
        <v>53</v>
      </c>
      <c r="C24" s="11" t="s">
        <v>54</v>
      </c>
      <c r="D24" s="11" t="s">
        <v>40</v>
      </c>
      <c r="E24" s="12">
        <v>4292</v>
      </c>
      <c r="F24" s="13">
        <v>49.1434</v>
      </c>
      <c r="G24" s="14">
        <v>1.8491736019922285</v>
      </c>
      <c r="H24" s="15"/>
      <c r="I24" s="15"/>
    </row>
    <row r="25" spans="1:11" s="1" customFormat="1" ht="18" customHeight="1">
      <c r="A25" s="10">
        <v>17</v>
      </c>
      <c r="B25" s="11" t="s">
        <v>55</v>
      </c>
      <c r="C25" s="11" t="s">
        <v>56</v>
      </c>
      <c r="D25" s="11" t="s">
        <v>57</v>
      </c>
      <c r="E25" s="12">
        <v>12881</v>
      </c>
      <c r="F25" s="13">
        <v>49.089490999999995</v>
      </c>
      <c r="G25" s="14">
        <v>1.8471451078361505</v>
      </c>
      <c r="H25" s="15"/>
      <c r="I25" s="15"/>
    </row>
    <row r="26" spans="1:11" s="1" customFormat="1" ht="18" customHeight="1">
      <c r="A26" s="10">
        <v>18</v>
      </c>
      <c r="B26" s="11" t="s">
        <v>58</v>
      </c>
      <c r="C26" s="11" t="s">
        <v>59</v>
      </c>
      <c r="D26" s="11" t="s">
        <v>40</v>
      </c>
      <c r="E26" s="12">
        <v>1231</v>
      </c>
      <c r="F26" s="13">
        <v>45.865213499999996</v>
      </c>
      <c r="G26" s="14">
        <v>1.725821617021565</v>
      </c>
      <c r="H26" s="15"/>
      <c r="I26" s="15"/>
    </row>
    <row r="27" spans="1:11" s="1" customFormat="1" ht="18" customHeight="1">
      <c r="A27" s="10">
        <v>19</v>
      </c>
      <c r="B27" s="11" t="s">
        <v>60</v>
      </c>
      <c r="C27" s="11" t="s">
        <v>61</v>
      </c>
      <c r="D27" s="11" t="s">
        <v>14</v>
      </c>
      <c r="E27" s="12">
        <v>5045</v>
      </c>
      <c r="F27" s="13">
        <v>44.423747499999998</v>
      </c>
      <c r="G27" s="14">
        <v>1.6715819658096154</v>
      </c>
      <c r="H27" s="15"/>
      <c r="I27" s="15"/>
    </row>
    <row r="28" spans="1:11" s="1" customFormat="1" ht="18" customHeight="1">
      <c r="A28" s="10">
        <v>20</v>
      </c>
      <c r="B28" s="11" t="s">
        <v>62</v>
      </c>
      <c r="C28" s="11" t="s">
        <v>63</v>
      </c>
      <c r="D28" s="11" t="s">
        <v>64</v>
      </c>
      <c r="E28" s="12">
        <v>11961</v>
      </c>
      <c r="F28" s="13">
        <v>43.388527500000002</v>
      </c>
      <c r="G28" s="14">
        <v>1.6326285865917674</v>
      </c>
      <c r="H28" s="15"/>
      <c r="I28" s="15"/>
    </row>
    <row r="29" spans="1:11" s="1" customFormat="1" ht="18" customHeight="1">
      <c r="A29" s="10">
        <v>21</v>
      </c>
      <c r="B29" s="11" t="s">
        <v>65</v>
      </c>
      <c r="C29" s="11" t="s">
        <v>66</v>
      </c>
      <c r="D29" s="11" t="s">
        <v>45</v>
      </c>
      <c r="E29" s="12">
        <v>2230</v>
      </c>
      <c r="F29" s="13">
        <v>39.527864999999998</v>
      </c>
      <c r="G29" s="14">
        <v>1.4873591265787987</v>
      </c>
      <c r="H29" s="15"/>
      <c r="I29" s="15"/>
    </row>
    <row r="30" spans="1:11" s="1" customFormat="1" ht="18" customHeight="1">
      <c r="A30" s="10">
        <v>22</v>
      </c>
      <c r="B30" s="11" t="s">
        <v>67</v>
      </c>
      <c r="C30" s="11" t="s">
        <v>68</v>
      </c>
      <c r="D30" s="11" t="s">
        <v>45</v>
      </c>
      <c r="E30" s="12">
        <v>1182</v>
      </c>
      <c r="F30" s="13">
        <v>39.127155000000002</v>
      </c>
      <c r="G30" s="14">
        <v>1.4722811638400728</v>
      </c>
      <c r="H30" s="15"/>
      <c r="I30" s="15"/>
    </row>
    <row r="31" spans="1:11" s="1" customFormat="1" ht="18" customHeight="1">
      <c r="A31" s="10">
        <v>23</v>
      </c>
      <c r="B31" s="11" t="s">
        <v>69</v>
      </c>
      <c r="C31" s="11" t="s">
        <v>70</v>
      </c>
      <c r="D31" s="11" t="s">
        <v>14</v>
      </c>
      <c r="E31" s="12">
        <v>5654</v>
      </c>
      <c r="F31" s="13">
        <v>35.131129000000001</v>
      </c>
      <c r="G31" s="14">
        <v>1.321918230219798</v>
      </c>
      <c r="H31" s="15"/>
      <c r="I31" s="15"/>
    </row>
    <row r="32" spans="1:11" s="1" customFormat="1" ht="18" customHeight="1">
      <c r="A32" s="10">
        <v>24</v>
      </c>
      <c r="B32" s="11" t="s">
        <v>71</v>
      </c>
      <c r="C32" s="11" t="s">
        <v>72</v>
      </c>
      <c r="D32" s="11" t="s">
        <v>19</v>
      </c>
      <c r="E32" s="12">
        <v>4023</v>
      </c>
      <c r="F32" s="13">
        <v>33.141474000000002</v>
      </c>
      <c r="G32" s="14">
        <v>1.2470512592110392</v>
      </c>
      <c r="H32" s="15"/>
      <c r="I32" s="15"/>
    </row>
    <row r="33" spans="1:9" s="1" customFormat="1" ht="18" customHeight="1">
      <c r="A33" s="10">
        <v>25</v>
      </c>
      <c r="B33" s="11" t="s">
        <v>73</v>
      </c>
      <c r="C33" s="11" t="s">
        <v>74</v>
      </c>
      <c r="D33" s="11" t="s">
        <v>14</v>
      </c>
      <c r="E33" s="12">
        <v>6111</v>
      </c>
      <c r="F33" s="13">
        <v>32.913845999999999</v>
      </c>
      <c r="G33" s="14">
        <v>1.2384860462083922</v>
      </c>
      <c r="H33" s="15"/>
      <c r="I33" s="15"/>
    </row>
    <row r="34" spans="1:9" s="1" customFormat="1" ht="18" customHeight="1">
      <c r="A34" s="10">
        <v>26</v>
      </c>
      <c r="B34" s="11" t="s">
        <v>75</v>
      </c>
      <c r="C34" s="11" t="s">
        <v>76</v>
      </c>
      <c r="D34" s="11" t="s">
        <v>27</v>
      </c>
      <c r="E34" s="12">
        <v>4214</v>
      </c>
      <c r="F34" s="13">
        <v>32.129643000000002</v>
      </c>
      <c r="G34" s="14">
        <v>1.2089779640202831</v>
      </c>
      <c r="H34" s="15"/>
      <c r="I34" s="15"/>
    </row>
    <row r="35" spans="1:9" s="1" customFormat="1" ht="18" customHeight="1">
      <c r="A35" s="10">
        <v>27</v>
      </c>
      <c r="B35" s="11" t="s">
        <v>77</v>
      </c>
      <c r="C35" s="11" t="s">
        <v>78</v>
      </c>
      <c r="D35" s="11" t="s">
        <v>45</v>
      </c>
      <c r="E35" s="12">
        <v>4723</v>
      </c>
      <c r="F35" s="13">
        <v>30.03828</v>
      </c>
      <c r="G35" s="14">
        <v>1.1302839124938673</v>
      </c>
      <c r="H35" s="15"/>
      <c r="I35" s="15"/>
    </row>
    <row r="36" spans="1:9" s="1" customFormat="1" ht="18" customHeight="1">
      <c r="A36" s="10">
        <v>28</v>
      </c>
      <c r="B36" s="11" t="s">
        <v>79</v>
      </c>
      <c r="C36" s="11" t="s">
        <v>80</v>
      </c>
      <c r="D36" s="11" t="s">
        <v>81</v>
      </c>
      <c r="E36" s="12">
        <v>20498</v>
      </c>
      <c r="F36" s="13">
        <v>29.148156</v>
      </c>
      <c r="G36" s="14">
        <v>1.0967902225314363</v>
      </c>
      <c r="H36" s="15"/>
      <c r="I36" s="15"/>
    </row>
    <row r="37" spans="1:9" s="1" customFormat="1" ht="18" customHeight="1">
      <c r="A37" s="10">
        <v>29</v>
      </c>
      <c r="B37" s="11" t="s">
        <v>82</v>
      </c>
      <c r="C37" s="11" t="s">
        <v>83</v>
      </c>
      <c r="D37" s="11" t="s">
        <v>81</v>
      </c>
      <c r="E37" s="12">
        <v>19214</v>
      </c>
      <c r="F37" s="13">
        <v>28.878642000000003</v>
      </c>
      <c r="G37" s="14">
        <v>1.0866489182226717</v>
      </c>
      <c r="H37" s="15"/>
      <c r="I37" s="15"/>
    </row>
    <row r="38" spans="1:9" s="1" customFormat="1" ht="18" customHeight="1">
      <c r="A38" s="10">
        <v>30</v>
      </c>
      <c r="B38" s="11" t="s">
        <v>84</v>
      </c>
      <c r="C38" s="11" t="s">
        <v>85</v>
      </c>
      <c r="D38" s="11" t="s">
        <v>40</v>
      </c>
      <c r="E38" s="12">
        <v>1117</v>
      </c>
      <c r="F38" s="13">
        <v>26.013812999999999</v>
      </c>
      <c r="G38" s="14">
        <v>0.97885079759972349</v>
      </c>
      <c r="H38" s="15"/>
      <c r="I38" s="15"/>
    </row>
    <row r="39" spans="1:9" s="1" customFormat="1" ht="18" customHeight="1">
      <c r="A39" s="10">
        <v>31</v>
      </c>
      <c r="B39" s="11" t="s">
        <v>86</v>
      </c>
      <c r="C39" s="11" t="s">
        <v>87</v>
      </c>
      <c r="D39" s="11" t="s">
        <v>88</v>
      </c>
      <c r="E39" s="12">
        <v>953</v>
      </c>
      <c r="F39" s="13">
        <v>25.465112999999999</v>
      </c>
      <c r="G39" s="14">
        <v>0.95820424983515828</v>
      </c>
      <c r="H39" s="15"/>
      <c r="I39" s="15"/>
    </row>
    <row r="40" spans="1:9" s="1" customFormat="1" ht="18" customHeight="1">
      <c r="A40" s="10">
        <v>32</v>
      </c>
      <c r="B40" s="11" t="s">
        <v>89</v>
      </c>
      <c r="C40" s="11" t="s">
        <v>90</v>
      </c>
      <c r="D40" s="11" t="s">
        <v>19</v>
      </c>
      <c r="E40" s="12">
        <v>3028</v>
      </c>
      <c r="F40" s="13">
        <v>25.418545999999999</v>
      </c>
      <c r="G40" s="14">
        <v>0.95645202131364837</v>
      </c>
      <c r="H40" s="15"/>
      <c r="I40" s="15"/>
    </row>
    <row r="41" spans="1:9" s="1" customFormat="1" ht="18" customHeight="1">
      <c r="A41" s="10">
        <v>33</v>
      </c>
      <c r="B41" s="11" t="s">
        <v>91</v>
      </c>
      <c r="C41" s="11" t="s">
        <v>92</v>
      </c>
      <c r="D41" s="11" t="s">
        <v>40</v>
      </c>
      <c r="E41" s="12">
        <v>1249</v>
      </c>
      <c r="F41" s="13">
        <v>24.338638500000002</v>
      </c>
      <c r="G41" s="14">
        <v>0.91581713562007772</v>
      </c>
      <c r="H41" s="15"/>
      <c r="I41" s="15"/>
    </row>
    <row r="42" spans="1:9" s="1" customFormat="1" ht="18" customHeight="1">
      <c r="A42" s="10">
        <v>34</v>
      </c>
      <c r="B42" s="11" t="s">
        <v>93</v>
      </c>
      <c r="C42" s="11" t="s">
        <v>94</v>
      </c>
      <c r="D42" s="11" t="s">
        <v>95</v>
      </c>
      <c r="E42" s="12">
        <v>6204</v>
      </c>
      <c r="F42" s="13">
        <v>22.356113999999998</v>
      </c>
      <c r="G42" s="14">
        <v>0.841218471899154</v>
      </c>
      <c r="H42" s="15"/>
      <c r="I42" s="15"/>
    </row>
    <row r="43" spans="1:9" s="1" customFormat="1" ht="18" customHeight="1">
      <c r="A43" s="10">
        <v>35</v>
      </c>
      <c r="B43" s="11" t="s">
        <v>96</v>
      </c>
      <c r="C43" s="11" t="s">
        <v>97</v>
      </c>
      <c r="D43" s="11" t="s">
        <v>98</v>
      </c>
      <c r="E43" s="12">
        <v>10242</v>
      </c>
      <c r="F43" s="13">
        <v>21.492837000000002</v>
      </c>
      <c r="G43" s="14">
        <v>0.80873498399219101</v>
      </c>
      <c r="H43" s="15"/>
      <c r="I43" s="15"/>
    </row>
    <row r="44" spans="1:9" s="1" customFormat="1" ht="18" customHeight="1">
      <c r="A44" s="10">
        <v>36</v>
      </c>
      <c r="B44" s="11" t="s">
        <v>99</v>
      </c>
      <c r="C44" s="11" t="s">
        <v>100</v>
      </c>
      <c r="D44" s="11" t="s">
        <v>88</v>
      </c>
      <c r="E44" s="12">
        <v>592</v>
      </c>
      <c r="F44" s="13">
        <v>21.248656</v>
      </c>
      <c r="G44" s="14">
        <v>0.79954691276984857</v>
      </c>
      <c r="H44" s="15"/>
      <c r="I44" s="15"/>
    </row>
    <row r="45" spans="1:9" s="1" customFormat="1" ht="18" customHeight="1">
      <c r="A45" s="10">
        <v>37</v>
      </c>
      <c r="B45" s="11" t="s">
        <v>101</v>
      </c>
      <c r="C45" s="11" t="s">
        <v>102</v>
      </c>
      <c r="D45" s="11" t="s">
        <v>24</v>
      </c>
      <c r="E45" s="12">
        <v>12380</v>
      </c>
      <c r="F45" s="13">
        <v>20.786020000000001</v>
      </c>
      <c r="G45" s="14">
        <v>0.78213879126154273</v>
      </c>
      <c r="H45" s="15"/>
      <c r="I45" s="15"/>
    </row>
    <row r="46" spans="1:9" s="1" customFormat="1" ht="18" customHeight="1">
      <c r="A46" s="10">
        <v>38</v>
      </c>
      <c r="B46" s="11" t="s">
        <v>103</v>
      </c>
      <c r="C46" s="11" t="s">
        <v>104</v>
      </c>
      <c r="D46" s="11" t="s">
        <v>105</v>
      </c>
      <c r="E46" s="12">
        <v>8413</v>
      </c>
      <c r="F46" s="13">
        <v>20.027146500000001</v>
      </c>
      <c r="G46" s="14">
        <v>0.7535838104614464</v>
      </c>
      <c r="H46" s="15"/>
      <c r="I46" s="15"/>
    </row>
    <row r="47" spans="1:9" s="1" customFormat="1" ht="18" customHeight="1">
      <c r="A47" s="10">
        <v>39</v>
      </c>
      <c r="B47" s="11" t="s">
        <v>106</v>
      </c>
      <c r="C47" s="11" t="s">
        <v>107</v>
      </c>
      <c r="D47" s="11" t="s">
        <v>30</v>
      </c>
      <c r="E47" s="12">
        <v>2405</v>
      </c>
      <c r="F47" s="13">
        <v>18.3922375</v>
      </c>
      <c r="G47" s="14">
        <v>0.69206526342441788</v>
      </c>
      <c r="H47" s="15"/>
      <c r="I47" s="15"/>
    </row>
    <row r="48" spans="1:9" s="1" customFormat="1" ht="18" customHeight="1">
      <c r="A48" s="10">
        <v>40</v>
      </c>
      <c r="B48" s="11" t="s">
        <v>108</v>
      </c>
      <c r="C48" s="11" t="s">
        <v>109</v>
      </c>
      <c r="D48" s="11" t="s">
        <v>57</v>
      </c>
      <c r="E48" s="12">
        <v>10421</v>
      </c>
      <c r="F48" s="13">
        <v>18.236750000000001</v>
      </c>
      <c r="G48" s="14">
        <v>0.68621456159182659</v>
      </c>
      <c r="H48" s="15"/>
      <c r="I48" s="15"/>
    </row>
    <row r="49" spans="1:9" s="1" customFormat="1" ht="18" customHeight="1">
      <c r="A49" s="10">
        <v>41</v>
      </c>
      <c r="B49" s="11" t="s">
        <v>110</v>
      </c>
      <c r="C49" s="11" t="s">
        <v>111</v>
      </c>
      <c r="D49" s="11" t="s">
        <v>88</v>
      </c>
      <c r="E49" s="12">
        <v>7160</v>
      </c>
      <c r="F49" s="13">
        <v>16.63984</v>
      </c>
      <c r="G49" s="14">
        <v>0.62612584537037241</v>
      </c>
      <c r="H49" s="15"/>
      <c r="I49" s="15"/>
    </row>
    <row r="50" spans="1:9" s="1" customFormat="1" ht="18" customHeight="1">
      <c r="A50" s="10">
        <v>42</v>
      </c>
      <c r="B50" s="11" t="s">
        <v>112</v>
      </c>
      <c r="C50" s="11" t="s">
        <v>113</v>
      </c>
      <c r="D50" s="11" t="s">
        <v>114</v>
      </c>
      <c r="E50" s="12">
        <v>5088</v>
      </c>
      <c r="F50" s="13">
        <v>15.877103999999999</v>
      </c>
      <c r="G50" s="14">
        <v>0.59742552596859833</v>
      </c>
      <c r="H50" s="15"/>
      <c r="I50" s="15"/>
    </row>
    <row r="51" spans="1:9" s="1" customFormat="1" ht="18" customHeight="1">
      <c r="A51" s="10">
        <v>43</v>
      </c>
      <c r="B51" s="11" t="s">
        <v>115</v>
      </c>
      <c r="C51" s="11" t="s">
        <v>116</v>
      </c>
      <c r="D51" s="11" t="s">
        <v>117</v>
      </c>
      <c r="E51" s="12">
        <v>4325</v>
      </c>
      <c r="F51" s="13">
        <v>15.582974999999999</v>
      </c>
      <c r="G51" s="14">
        <v>0.58635800556137441</v>
      </c>
      <c r="H51" s="15"/>
      <c r="I51" s="15"/>
    </row>
    <row r="52" spans="1:9" s="1" customFormat="1" ht="18" customHeight="1">
      <c r="A52" s="10">
        <v>44</v>
      </c>
      <c r="B52" s="11" t="s">
        <v>118</v>
      </c>
      <c r="C52" s="11" t="s">
        <v>119</v>
      </c>
      <c r="D52" s="11" t="s">
        <v>98</v>
      </c>
      <c r="E52" s="12">
        <v>11973</v>
      </c>
      <c r="F52" s="13">
        <v>15.397278</v>
      </c>
      <c r="G52" s="14">
        <v>0.57937057713010687</v>
      </c>
      <c r="H52" s="15"/>
      <c r="I52" s="15"/>
    </row>
    <row r="53" spans="1:9" s="1" customFormat="1" ht="18" customHeight="1">
      <c r="A53" s="10">
        <v>45</v>
      </c>
      <c r="B53" s="11" t="s">
        <v>120</v>
      </c>
      <c r="C53" s="11" t="s">
        <v>121</v>
      </c>
      <c r="D53" s="11" t="s">
        <v>19</v>
      </c>
      <c r="E53" s="12">
        <v>8740</v>
      </c>
      <c r="F53" s="13">
        <v>14.7706</v>
      </c>
      <c r="G53" s="14">
        <v>0.55578986406285302</v>
      </c>
      <c r="H53" s="15"/>
      <c r="I53" s="15"/>
    </row>
    <row r="54" spans="1:9" s="1" customFormat="1" ht="18" customHeight="1">
      <c r="A54" s="10">
        <v>46</v>
      </c>
      <c r="B54" s="11" t="s">
        <v>122</v>
      </c>
      <c r="C54" s="11" t="s">
        <v>123</v>
      </c>
      <c r="D54" s="11" t="s">
        <v>81</v>
      </c>
      <c r="E54" s="12">
        <v>16853</v>
      </c>
      <c r="F54" s="13">
        <v>12.774573999999999</v>
      </c>
      <c r="G54" s="14">
        <v>0.480683164321074</v>
      </c>
      <c r="H54" s="15"/>
      <c r="I54" s="15"/>
    </row>
    <row r="55" spans="1:9" s="1" customFormat="1" ht="18" customHeight="1">
      <c r="A55" s="10">
        <v>47</v>
      </c>
      <c r="B55" s="11" t="s">
        <v>124</v>
      </c>
      <c r="C55" s="11" t="s">
        <v>125</v>
      </c>
      <c r="D55" s="11" t="s">
        <v>88</v>
      </c>
      <c r="E55" s="12">
        <v>870</v>
      </c>
      <c r="F55" s="13">
        <v>12.473190000000001</v>
      </c>
      <c r="G55" s="14">
        <v>0.46934265192545577</v>
      </c>
      <c r="H55" s="15"/>
      <c r="I55" s="15"/>
    </row>
    <row r="56" spans="1:9" s="1" customFormat="1" ht="18" customHeight="1">
      <c r="A56" s="10">
        <v>48</v>
      </c>
      <c r="B56" s="11" t="s">
        <v>126</v>
      </c>
      <c r="C56" s="11" t="s">
        <v>127</v>
      </c>
      <c r="D56" s="11" t="s">
        <v>52</v>
      </c>
      <c r="E56" s="12">
        <v>5285</v>
      </c>
      <c r="F56" s="13">
        <v>11.280832500000001</v>
      </c>
      <c r="G56" s="14">
        <v>0.42447648448206665</v>
      </c>
      <c r="H56" s="15"/>
      <c r="I56" s="15"/>
    </row>
    <row r="57" spans="1:9" s="1" customFormat="1" ht="18" customHeight="1">
      <c r="A57" s="10">
        <v>49</v>
      </c>
      <c r="B57" s="11" t="s">
        <v>128</v>
      </c>
      <c r="C57" s="11" t="s">
        <v>129</v>
      </c>
      <c r="D57" s="11" t="s">
        <v>19</v>
      </c>
      <c r="E57" s="12">
        <v>6928</v>
      </c>
      <c r="F57" s="13">
        <v>11.06748</v>
      </c>
      <c r="G57" s="14">
        <v>0.41644843166278578</v>
      </c>
      <c r="H57" s="15"/>
      <c r="I57" s="15"/>
    </row>
    <row r="58" spans="1:9" s="1" customFormat="1" ht="18" customHeight="1">
      <c r="A58" s="10">
        <v>50</v>
      </c>
      <c r="B58" s="11" t="s">
        <v>130</v>
      </c>
      <c r="C58" s="11" t="s">
        <v>131</v>
      </c>
      <c r="D58" s="11" t="s">
        <v>64</v>
      </c>
      <c r="E58" s="12">
        <v>7378</v>
      </c>
      <c r="F58" s="13">
        <v>9.4622849999999996</v>
      </c>
      <c r="G58" s="14">
        <v>0.35604796649248999</v>
      </c>
      <c r="H58" s="15"/>
      <c r="I58" s="15"/>
    </row>
    <row r="59" spans="1:9" s="1" customFormat="1" ht="18" customHeight="1">
      <c r="A59" s="10">
        <v>51</v>
      </c>
      <c r="B59" s="11" t="s">
        <v>135</v>
      </c>
      <c r="C59" s="11" t="s">
        <v>136</v>
      </c>
      <c r="D59" s="11" t="s">
        <v>40</v>
      </c>
      <c r="E59" s="12">
        <v>919</v>
      </c>
      <c r="F59" s="13">
        <v>4.6708175000000001</v>
      </c>
      <c r="G59" s="14">
        <v>0.17575406709188487</v>
      </c>
      <c r="H59" s="15" t="s">
        <v>15</v>
      </c>
      <c r="I59" s="15" t="s">
        <v>137</v>
      </c>
    </row>
    <row r="60" spans="1:9" s="1" customFormat="1" ht="18" customHeight="1">
      <c r="A60" s="16"/>
      <c r="B60" s="17" t="s">
        <v>132</v>
      </c>
      <c r="C60" s="18"/>
      <c r="D60" s="18"/>
      <c r="E60" s="19"/>
      <c r="F60" s="20">
        <v>2644.117538500001</v>
      </c>
      <c r="G60" s="21">
        <v>99.493163939794002</v>
      </c>
      <c r="H60" s="22" t="s">
        <v>15</v>
      </c>
      <c r="I60" s="22"/>
    </row>
    <row r="61" spans="1:9" s="1" customFormat="1" ht="18" customHeight="1">
      <c r="A61" s="8"/>
      <c r="B61" s="8"/>
      <c r="C61" s="8"/>
      <c r="D61" s="8"/>
      <c r="E61" s="8"/>
      <c r="F61" s="8"/>
      <c r="G61" s="8"/>
      <c r="H61" s="7"/>
      <c r="I61" s="7"/>
    </row>
    <row r="62" spans="1:9" s="1" customFormat="1" ht="18" customHeight="1">
      <c r="A62" s="8"/>
      <c r="B62" s="9"/>
      <c r="C62" s="8"/>
      <c r="D62" s="8"/>
      <c r="E62" s="8"/>
      <c r="F62" s="8"/>
      <c r="G62" s="8"/>
      <c r="H62" s="7"/>
      <c r="I62" s="7"/>
    </row>
    <row r="63" spans="1:9" s="1" customFormat="1" ht="18" customHeight="1">
      <c r="A63" s="8"/>
      <c r="B63" s="9"/>
      <c r="C63" s="8"/>
      <c r="D63" s="8"/>
      <c r="E63" s="8"/>
      <c r="F63" s="8"/>
      <c r="G63" s="8"/>
      <c r="H63" s="7"/>
      <c r="I63" s="7"/>
    </row>
    <row r="64" spans="1:9" s="1" customFormat="1" ht="18" customHeight="1">
      <c r="A64" s="23">
        <v>51</v>
      </c>
      <c r="B64" s="4" t="s">
        <v>133</v>
      </c>
      <c r="C64" s="11"/>
      <c r="D64" s="11"/>
      <c r="E64" s="12"/>
      <c r="F64" s="13">
        <v>6.9922893000000004</v>
      </c>
      <c r="G64" s="14">
        <v>0.2631066794534509</v>
      </c>
      <c r="H64" s="15"/>
      <c r="I64" s="15" t="s">
        <v>134</v>
      </c>
    </row>
    <row r="65" spans="1:9" s="1" customFormat="1" ht="18" customHeight="1">
      <c r="A65" s="16"/>
      <c r="B65" s="17" t="s">
        <v>132</v>
      </c>
      <c r="C65" s="18"/>
      <c r="D65" s="18"/>
      <c r="E65" s="19"/>
      <c r="F65" s="20">
        <v>6.9922893000000004</v>
      </c>
      <c r="G65" s="21">
        <v>0.2631066794534509</v>
      </c>
      <c r="H65" s="22"/>
      <c r="I65" s="22"/>
    </row>
    <row r="66" spans="1:9" s="1" customFormat="1" ht="18" customHeight="1">
      <c r="A66" s="8"/>
      <c r="B66" s="8"/>
      <c r="C66" s="8"/>
      <c r="D66" s="8"/>
      <c r="E66" s="8"/>
      <c r="F66" s="8"/>
      <c r="G66" s="8"/>
      <c r="H66" s="7"/>
      <c r="I66" s="7"/>
    </row>
    <row r="67" spans="1:9" s="1" customFormat="1" ht="18" customHeight="1">
      <c r="A67" s="8"/>
      <c r="B67" s="9"/>
      <c r="C67" s="8"/>
      <c r="D67" s="8"/>
      <c r="E67" s="8"/>
      <c r="F67" s="8"/>
      <c r="G67" s="8"/>
      <c r="H67" s="7"/>
      <c r="I67" s="7"/>
    </row>
    <row r="68" spans="1:9" s="1" customFormat="1" ht="18" customHeight="1">
      <c r="A68" s="16"/>
      <c r="B68" s="24" t="s">
        <v>138</v>
      </c>
      <c r="C68" s="16"/>
      <c r="D68" s="16"/>
      <c r="E68" s="25"/>
      <c r="F68" s="16"/>
      <c r="G68" s="16"/>
      <c r="H68" s="22"/>
      <c r="I68" s="22"/>
    </row>
    <row r="69" spans="1:9" s="1" customFormat="1" ht="18" customHeight="1">
      <c r="A69" s="16"/>
      <c r="B69" s="24" t="s">
        <v>139</v>
      </c>
      <c r="C69" s="16"/>
      <c r="D69" s="16"/>
      <c r="E69" s="25"/>
      <c r="F69" s="26">
        <v>6.4773206999998365</v>
      </c>
      <c r="G69" s="27">
        <v>0.243729380752604</v>
      </c>
      <c r="H69" s="22"/>
      <c r="I69" s="22"/>
    </row>
    <row r="70" spans="1:9" s="1" customFormat="1" ht="18" customHeight="1">
      <c r="A70" s="16"/>
      <c r="B70" s="28" t="s">
        <v>132</v>
      </c>
      <c r="C70" s="18"/>
      <c r="D70" s="18"/>
      <c r="E70" s="19"/>
      <c r="F70" s="20">
        <v>6.4773206999998365</v>
      </c>
      <c r="G70" s="21">
        <v>0.243729380752604</v>
      </c>
      <c r="H70" s="22"/>
      <c r="I70" s="22"/>
    </row>
    <row r="71" spans="1:9" s="1" customFormat="1" ht="18" customHeight="1">
      <c r="A71" s="16"/>
      <c r="B71" s="29" t="s">
        <v>140</v>
      </c>
      <c r="C71" s="30"/>
      <c r="D71" s="30"/>
      <c r="E71" s="31"/>
      <c r="F71" s="32">
        <v>2657.5871484999998</v>
      </c>
      <c r="G71" s="33">
        <v>100.00000000000003</v>
      </c>
      <c r="H71" s="22"/>
      <c r="I71" s="22"/>
    </row>
    <row r="72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53.28515625" customWidth="1"/>
    <col min="5" max="5" width="16" customWidth="1"/>
    <col min="6" max="6" width="24.7109375" customWidth="1"/>
    <col min="7" max="7" width="15.5703125" customWidth="1"/>
    <col min="8" max="9" width="14.7109375" customWidth="1"/>
    <col min="10" max="10" width="53.2851562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144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8"/>
      <c r="C5" s="8"/>
      <c r="D5" s="8"/>
      <c r="E5" s="8"/>
      <c r="F5" s="8"/>
      <c r="G5" s="8"/>
      <c r="H5" s="7"/>
      <c r="I5" s="7"/>
      <c r="J5" s="11" t="s">
        <v>24</v>
      </c>
      <c r="K5" s="14">
        <v>12.598781335603775</v>
      </c>
    </row>
    <row r="6" spans="1:11" s="1" customFormat="1" ht="18" customHeight="1">
      <c r="A6" s="8"/>
      <c r="B6" s="8"/>
      <c r="C6" s="8"/>
      <c r="D6" s="8"/>
      <c r="E6" s="8"/>
      <c r="F6" s="8"/>
      <c r="G6" s="8"/>
      <c r="H6" s="7"/>
      <c r="I6" s="7"/>
      <c r="J6" s="11" t="s">
        <v>27</v>
      </c>
      <c r="K6" s="14">
        <v>11.028065526474423</v>
      </c>
    </row>
    <row r="7" spans="1:11" s="1" customFormat="1" ht="18" customHeight="1">
      <c r="A7" s="8"/>
      <c r="B7" s="9" t="s">
        <v>10</v>
      </c>
      <c r="C7" s="8"/>
      <c r="D7" s="8"/>
      <c r="E7" s="8"/>
      <c r="F7" s="8"/>
      <c r="G7" s="8"/>
      <c r="H7" s="7"/>
      <c r="I7" s="7"/>
      <c r="J7" s="11" t="s">
        <v>45</v>
      </c>
      <c r="K7" s="14">
        <v>10.707932262587065</v>
      </c>
    </row>
    <row r="8" spans="1:11" s="1" customFormat="1" ht="18" customHeight="1">
      <c r="A8" s="8"/>
      <c r="B8" s="9" t="s">
        <v>11</v>
      </c>
      <c r="C8" s="8"/>
      <c r="D8" s="8"/>
      <c r="E8" s="8"/>
      <c r="F8" s="8"/>
      <c r="G8" s="8"/>
      <c r="H8" s="7"/>
      <c r="I8" s="7"/>
      <c r="J8" s="11" t="s">
        <v>152</v>
      </c>
      <c r="K8" s="14">
        <v>7.3960965582378879</v>
      </c>
    </row>
    <row r="9" spans="1:11" s="1" customFormat="1" ht="18" customHeight="1">
      <c r="A9" s="10">
        <v>1</v>
      </c>
      <c r="B9" s="11" t="s">
        <v>145</v>
      </c>
      <c r="C9" s="11" t="s">
        <v>146</v>
      </c>
      <c r="D9" s="11" t="s">
        <v>147</v>
      </c>
      <c r="E9" s="12">
        <v>21370</v>
      </c>
      <c r="F9" s="35">
        <v>268.14007500000002</v>
      </c>
      <c r="G9" s="14">
        <v>2.58078504929275</v>
      </c>
      <c r="H9" s="15" t="s">
        <v>15</v>
      </c>
      <c r="I9" s="15" t="s">
        <v>16</v>
      </c>
      <c r="J9" s="11" t="s">
        <v>19</v>
      </c>
      <c r="K9" s="14">
        <v>6.0477635293620002</v>
      </c>
    </row>
    <row r="10" spans="1:11" s="1" customFormat="1" ht="18" customHeight="1">
      <c r="A10" s="10">
        <v>2</v>
      </c>
      <c r="B10" s="11" t="s">
        <v>148</v>
      </c>
      <c r="C10" s="11" t="s">
        <v>149</v>
      </c>
      <c r="D10" s="11" t="s">
        <v>40</v>
      </c>
      <c r="E10" s="12">
        <v>1737</v>
      </c>
      <c r="F10" s="35">
        <v>263.87809199999998</v>
      </c>
      <c r="G10" s="14">
        <v>2.5397644670215627</v>
      </c>
      <c r="H10" s="15"/>
      <c r="I10" s="15"/>
      <c r="J10" s="11" t="s">
        <v>105</v>
      </c>
      <c r="K10" s="14">
        <v>6.0477477832474325</v>
      </c>
    </row>
    <row r="11" spans="1:11" s="1" customFormat="1" ht="18" customHeight="1">
      <c r="A11" s="10">
        <v>3</v>
      </c>
      <c r="B11" s="11" t="s">
        <v>150</v>
      </c>
      <c r="C11" s="11" t="s">
        <v>151</v>
      </c>
      <c r="D11" s="11" t="s">
        <v>152</v>
      </c>
      <c r="E11" s="12">
        <v>52329</v>
      </c>
      <c r="F11" s="35">
        <v>263.81665350000003</v>
      </c>
      <c r="G11" s="14">
        <v>2.539173135933694</v>
      </c>
      <c r="H11" s="15"/>
      <c r="I11" s="15"/>
      <c r="J11" s="11" t="s">
        <v>40</v>
      </c>
      <c r="K11" s="14">
        <v>4.9249801891573366</v>
      </c>
    </row>
    <row r="12" spans="1:11" s="1" customFormat="1" ht="18" customHeight="1">
      <c r="A12" s="10">
        <v>4</v>
      </c>
      <c r="B12" s="11" t="s">
        <v>153</v>
      </c>
      <c r="C12" s="11" t="s">
        <v>154</v>
      </c>
      <c r="D12" s="11" t="s">
        <v>24</v>
      </c>
      <c r="E12" s="12">
        <v>44265</v>
      </c>
      <c r="F12" s="35">
        <v>262.77917250000002</v>
      </c>
      <c r="G12" s="14">
        <v>2.5291876257344992</v>
      </c>
      <c r="H12" s="15"/>
      <c r="I12" s="15"/>
      <c r="J12" s="11" t="s">
        <v>81</v>
      </c>
      <c r="K12" s="14">
        <v>3.9431135828359927</v>
      </c>
    </row>
    <row r="13" spans="1:11" s="1" customFormat="1" ht="18" customHeight="1">
      <c r="A13" s="10">
        <v>5</v>
      </c>
      <c r="B13" s="11" t="s">
        <v>155</v>
      </c>
      <c r="C13" s="11" t="s">
        <v>156</v>
      </c>
      <c r="D13" s="11" t="s">
        <v>157</v>
      </c>
      <c r="E13" s="12">
        <v>51863</v>
      </c>
      <c r="F13" s="35">
        <v>254.46580950000001</v>
      </c>
      <c r="G13" s="14">
        <v>2.4491734654500155</v>
      </c>
      <c r="H13" s="15"/>
      <c r="I13" s="15"/>
      <c r="J13" s="11" t="s">
        <v>14</v>
      </c>
      <c r="K13" s="14">
        <v>3.5786298521240214</v>
      </c>
    </row>
    <row r="14" spans="1:11" s="1" customFormat="1" ht="18" customHeight="1">
      <c r="A14" s="10">
        <v>6</v>
      </c>
      <c r="B14" s="11" t="s">
        <v>158</v>
      </c>
      <c r="C14" s="11" t="s">
        <v>159</v>
      </c>
      <c r="D14" s="11" t="s">
        <v>27</v>
      </c>
      <c r="E14" s="12">
        <v>10202</v>
      </c>
      <c r="F14" s="35">
        <v>224.22465699999998</v>
      </c>
      <c r="G14" s="14">
        <v>2.1581094973155168</v>
      </c>
      <c r="H14" s="15"/>
      <c r="I14" s="15"/>
      <c r="J14" s="11" t="s">
        <v>88</v>
      </c>
      <c r="K14" s="14">
        <v>3.3299879907666252</v>
      </c>
    </row>
    <row r="15" spans="1:11" s="1" customFormat="1" ht="18" customHeight="1">
      <c r="A15" s="10">
        <v>7</v>
      </c>
      <c r="B15" s="11" t="s">
        <v>160</v>
      </c>
      <c r="C15" s="11" t="s">
        <v>161</v>
      </c>
      <c r="D15" s="11" t="s">
        <v>45</v>
      </c>
      <c r="E15" s="12">
        <v>24169</v>
      </c>
      <c r="F15" s="35">
        <v>215.17660699999999</v>
      </c>
      <c r="G15" s="14">
        <v>2.0710241477449491</v>
      </c>
      <c r="H15" s="15"/>
      <c r="I15" s="15"/>
      <c r="J15" s="11" t="s">
        <v>30</v>
      </c>
      <c r="K15" s="14">
        <v>3.20954741379194</v>
      </c>
    </row>
    <row r="16" spans="1:11" s="1" customFormat="1" ht="18" customHeight="1">
      <c r="A16" s="10">
        <v>8</v>
      </c>
      <c r="B16" s="11" t="s">
        <v>162</v>
      </c>
      <c r="C16" s="11" t="s">
        <v>163</v>
      </c>
      <c r="D16" s="11" t="s">
        <v>164</v>
      </c>
      <c r="E16" s="12">
        <v>12831</v>
      </c>
      <c r="F16" s="35">
        <v>210.5246325</v>
      </c>
      <c r="G16" s="14">
        <v>2.0262499891664851</v>
      </c>
      <c r="H16" s="15"/>
      <c r="I16" s="15"/>
      <c r="J16" s="11" t="s">
        <v>147</v>
      </c>
      <c r="K16" s="14">
        <v>2.8797180082472078</v>
      </c>
    </row>
    <row r="17" spans="1:11" s="1" customFormat="1" ht="18" customHeight="1">
      <c r="A17" s="10">
        <v>9</v>
      </c>
      <c r="B17" s="11" t="s">
        <v>165</v>
      </c>
      <c r="C17" s="11" t="s">
        <v>166</v>
      </c>
      <c r="D17" s="11" t="s">
        <v>105</v>
      </c>
      <c r="E17" s="12">
        <v>15336</v>
      </c>
      <c r="F17" s="35">
        <v>208.69228800000002</v>
      </c>
      <c r="G17" s="14">
        <v>2.0086141050460165</v>
      </c>
      <c r="H17" s="15"/>
      <c r="I17" s="15"/>
      <c r="J17" s="11" t="s">
        <v>185</v>
      </c>
      <c r="K17" s="14">
        <v>2.7023194133686612</v>
      </c>
    </row>
    <row r="18" spans="1:11" s="1" customFormat="1" ht="18" customHeight="1">
      <c r="A18" s="10">
        <v>10</v>
      </c>
      <c r="B18" s="11" t="s">
        <v>167</v>
      </c>
      <c r="C18" s="11" t="s">
        <v>168</v>
      </c>
      <c r="D18" s="11" t="s">
        <v>45</v>
      </c>
      <c r="E18" s="12">
        <v>10957</v>
      </c>
      <c r="F18" s="35">
        <v>188.83841649999999</v>
      </c>
      <c r="G18" s="14">
        <v>1.8175252693403525</v>
      </c>
      <c r="H18" s="15"/>
      <c r="I18" s="15"/>
      <c r="J18" s="11" t="s">
        <v>164</v>
      </c>
      <c r="K18" s="14">
        <v>2.6195057652351772</v>
      </c>
    </row>
    <row r="19" spans="1:11" s="1" customFormat="1" ht="18" customHeight="1">
      <c r="A19" s="10">
        <v>11</v>
      </c>
      <c r="B19" s="11" t="s">
        <v>169</v>
      </c>
      <c r="C19" s="11" t="s">
        <v>170</v>
      </c>
      <c r="D19" s="11" t="s">
        <v>30</v>
      </c>
      <c r="E19" s="12">
        <v>28524</v>
      </c>
      <c r="F19" s="35">
        <v>178.31778600000001</v>
      </c>
      <c r="G19" s="14">
        <v>1.7162666793905539</v>
      </c>
      <c r="H19" s="15"/>
      <c r="I19" s="15"/>
      <c r="J19" s="11" t="s">
        <v>157</v>
      </c>
      <c r="K19" s="14">
        <v>2.4491734654500155</v>
      </c>
    </row>
    <row r="20" spans="1:11" s="1" customFormat="1" ht="18" customHeight="1">
      <c r="A20" s="10">
        <v>12</v>
      </c>
      <c r="B20" s="11" t="s">
        <v>171</v>
      </c>
      <c r="C20" s="11" t="s">
        <v>172</v>
      </c>
      <c r="D20" s="11" t="s">
        <v>152</v>
      </c>
      <c r="E20" s="12">
        <v>468</v>
      </c>
      <c r="F20" s="35">
        <v>171.588222</v>
      </c>
      <c r="G20" s="14">
        <v>1.6514962113452281</v>
      </c>
      <c r="H20" s="15"/>
      <c r="I20" s="15"/>
      <c r="J20" s="11" t="s">
        <v>95</v>
      </c>
      <c r="K20" s="14">
        <v>2.0148677187197563</v>
      </c>
    </row>
    <row r="21" spans="1:11" s="1" customFormat="1" ht="18" customHeight="1">
      <c r="A21" s="10">
        <v>13</v>
      </c>
      <c r="B21" s="11" t="s">
        <v>173</v>
      </c>
      <c r="C21" s="11" t="s">
        <v>174</v>
      </c>
      <c r="D21" s="11" t="s">
        <v>40</v>
      </c>
      <c r="E21" s="12">
        <v>243477</v>
      </c>
      <c r="F21" s="35">
        <v>169.459992</v>
      </c>
      <c r="G21" s="14">
        <v>1.6310124989965376</v>
      </c>
      <c r="H21" s="15"/>
      <c r="I21" s="15"/>
      <c r="J21" s="11" t="s">
        <v>236</v>
      </c>
      <c r="K21" s="14">
        <v>1.9555173308764433</v>
      </c>
    </row>
    <row r="22" spans="1:11" s="1" customFormat="1" ht="18" customHeight="1">
      <c r="A22" s="10">
        <v>14</v>
      </c>
      <c r="B22" s="11" t="s">
        <v>175</v>
      </c>
      <c r="C22" s="11" t="s">
        <v>176</v>
      </c>
      <c r="D22" s="11" t="s">
        <v>27</v>
      </c>
      <c r="E22" s="12">
        <v>42058</v>
      </c>
      <c r="F22" s="35">
        <v>168.94698600000001</v>
      </c>
      <c r="G22" s="14">
        <v>1.6260749371084182</v>
      </c>
      <c r="H22" s="15"/>
      <c r="I22" s="15"/>
      <c r="J22" s="11" t="s">
        <v>117</v>
      </c>
      <c r="K22" s="14">
        <v>1.9189815086395812</v>
      </c>
    </row>
    <row r="23" spans="1:11" s="1" customFormat="1" ht="18" customHeight="1">
      <c r="A23" s="10">
        <v>15</v>
      </c>
      <c r="B23" s="11" t="s">
        <v>177</v>
      </c>
      <c r="C23" s="11" t="s">
        <v>178</v>
      </c>
      <c r="D23" s="11" t="s">
        <v>24</v>
      </c>
      <c r="E23" s="12">
        <v>61893</v>
      </c>
      <c r="F23" s="35">
        <v>164.41875450000001</v>
      </c>
      <c r="G23" s="14">
        <v>1.5824917757516666</v>
      </c>
      <c r="H23" s="15"/>
      <c r="I23" s="15"/>
      <c r="J23" s="11" t="s">
        <v>219</v>
      </c>
      <c r="K23" s="14">
        <v>1.6191764449700452</v>
      </c>
    </row>
    <row r="24" spans="1:11" s="1" customFormat="1" ht="18" customHeight="1">
      <c r="A24" s="10">
        <v>16</v>
      </c>
      <c r="B24" s="11" t="s">
        <v>179</v>
      </c>
      <c r="C24" s="11" t="s">
        <v>180</v>
      </c>
      <c r="D24" s="11" t="s">
        <v>30</v>
      </c>
      <c r="E24" s="12">
        <v>42954</v>
      </c>
      <c r="F24" s="35">
        <v>155.14984800000002</v>
      </c>
      <c r="G24" s="14">
        <v>1.4932807344013859</v>
      </c>
      <c r="H24" s="15"/>
      <c r="I24" s="15"/>
      <c r="J24" s="11" t="s">
        <v>57</v>
      </c>
      <c r="K24" s="14">
        <v>1.5584125497891335</v>
      </c>
    </row>
    <row r="25" spans="1:11" s="1" customFormat="1" ht="18" customHeight="1">
      <c r="A25" s="10">
        <v>17</v>
      </c>
      <c r="B25" s="11" t="s">
        <v>181</v>
      </c>
      <c r="C25" s="11" t="s">
        <v>182</v>
      </c>
      <c r="D25" s="11" t="s">
        <v>45</v>
      </c>
      <c r="E25" s="12">
        <v>8914</v>
      </c>
      <c r="F25" s="35">
        <v>151.698452</v>
      </c>
      <c r="G25" s="14">
        <v>1.4600618610345875</v>
      </c>
      <c r="H25" s="15"/>
      <c r="I25" s="15"/>
      <c r="J25" s="11" t="s">
        <v>33</v>
      </c>
      <c r="K25" s="14">
        <v>1.5323086968855175</v>
      </c>
    </row>
    <row r="26" spans="1:11" s="1" customFormat="1" ht="18" customHeight="1">
      <c r="A26" s="10">
        <v>18</v>
      </c>
      <c r="B26" s="11" t="s">
        <v>183</v>
      </c>
      <c r="C26" s="11" t="s">
        <v>184</v>
      </c>
      <c r="D26" s="11" t="s">
        <v>185</v>
      </c>
      <c r="E26" s="12">
        <v>26675</v>
      </c>
      <c r="F26" s="35">
        <v>151.26058750000001</v>
      </c>
      <c r="G26" s="14">
        <v>1.4558475183809725</v>
      </c>
      <c r="H26" s="15"/>
      <c r="I26" s="15"/>
      <c r="J26" s="11" t="s">
        <v>190</v>
      </c>
      <c r="K26" s="14">
        <v>1.4371617986459311</v>
      </c>
    </row>
    <row r="27" spans="1:11" s="1" customFormat="1" ht="18" customHeight="1">
      <c r="A27" s="10">
        <v>19</v>
      </c>
      <c r="B27" s="11" t="s">
        <v>186</v>
      </c>
      <c r="C27" s="11" t="s">
        <v>187</v>
      </c>
      <c r="D27" s="11" t="s">
        <v>88</v>
      </c>
      <c r="E27" s="12">
        <v>1480</v>
      </c>
      <c r="F27" s="35">
        <v>150.85418000000001</v>
      </c>
      <c r="G27" s="14">
        <v>1.4519359419412312</v>
      </c>
      <c r="H27" s="15"/>
      <c r="I27" s="15"/>
      <c r="J27" s="11" t="s">
        <v>195</v>
      </c>
      <c r="K27" s="14">
        <v>1.4095582967632958</v>
      </c>
    </row>
    <row r="28" spans="1:11" s="1" customFormat="1" ht="18" customHeight="1">
      <c r="A28" s="10">
        <v>20</v>
      </c>
      <c r="B28" s="11" t="s">
        <v>188</v>
      </c>
      <c r="C28" s="11" t="s">
        <v>189</v>
      </c>
      <c r="D28" s="11" t="s">
        <v>190</v>
      </c>
      <c r="E28" s="12">
        <v>13131</v>
      </c>
      <c r="F28" s="35">
        <v>149.31916649999999</v>
      </c>
      <c r="G28" s="14">
        <v>1.4371617986459311</v>
      </c>
      <c r="H28" s="15"/>
      <c r="I28" s="15"/>
      <c r="J28" s="11" t="s">
        <v>52</v>
      </c>
      <c r="K28" s="14">
        <v>1.0717682582043269</v>
      </c>
    </row>
    <row r="29" spans="1:11" s="1" customFormat="1" ht="18" customHeight="1">
      <c r="A29" s="10">
        <v>21</v>
      </c>
      <c r="B29" s="11" t="s">
        <v>191</v>
      </c>
      <c r="C29" s="11" t="s">
        <v>192</v>
      </c>
      <c r="D29" s="11" t="s">
        <v>24</v>
      </c>
      <c r="E29" s="12">
        <v>10232</v>
      </c>
      <c r="F29" s="35">
        <v>146.81896800000001</v>
      </c>
      <c r="G29" s="14">
        <v>1.4130979771188275</v>
      </c>
      <c r="H29" s="15"/>
      <c r="I29" s="15"/>
      <c r="J29" s="11" t="s">
        <v>249</v>
      </c>
      <c r="K29" s="14">
        <v>0.91421244336324337</v>
      </c>
    </row>
    <row r="30" spans="1:11" s="1" customFormat="1" ht="18" customHeight="1">
      <c r="A30" s="10">
        <v>22</v>
      </c>
      <c r="B30" s="11" t="s">
        <v>193</v>
      </c>
      <c r="C30" s="11" t="s">
        <v>194</v>
      </c>
      <c r="D30" s="11" t="s">
        <v>195</v>
      </c>
      <c r="E30" s="12">
        <v>9340</v>
      </c>
      <c r="F30" s="35">
        <v>146.4512</v>
      </c>
      <c r="G30" s="14">
        <v>1.4095582967632958</v>
      </c>
      <c r="H30" s="15"/>
      <c r="I30" s="15"/>
      <c r="J30" s="11" t="s">
        <v>98</v>
      </c>
      <c r="K30" s="14">
        <v>0.65866316771087097</v>
      </c>
    </row>
    <row r="31" spans="1:11" s="1" customFormat="1" ht="18" customHeight="1">
      <c r="A31" s="10">
        <v>23</v>
      </c>
      <c r="B31" s="11" t="s">
        <v>196</v>
      </c>
      <c r="C31" s="11" t="s">
        <v>197</v>
      </c>
      <c r="D31" s="11" t="s">
        <v>152</v>
      </c>
      <c r="E31" s="12">
        <v>79171</v>
      </c>
      <c r="F31" s="35">
        <v>135.81785050000002</v>
      </c>
      <c r="G31" s="14">
        <v>1.3072148129945809</v>
      </c>
      <c r="H31" s="15"/>
      <c r="I31" s="15"/>
      <c r="J31" s="11" t="s">
        <v>114</v>
      </c>
      <c r="K31" s="14">
        <v>0.56739395230317513</v>
      </c>
    </row>
    <row r="32" spans="1:11" s="1" customFormat="1" ht="18" customHeight="1">
      <c r="A32" s="10">
        <v>24</v>
      </c>
      <c r="B32" s="11" t="s">
        <v>198</v>
      </c>
      <c r="C32" s="11" t="s">
        <v>199</v>
      </c>
      <c r="D32" s="11" t="s">
        <v>45</v>
      </c>
      <c r="E32" s="12">
        <v>14066</v>
      </c>
      <c r="F32" s="35">
        <v>131.953146</v>
      </c>
      <c r="G32" s="14">
        <v>1.2700179426888853</v>
      </c>
      <c r="H32" s="15"/>
      <c r="I32" s="15"/>
      <c r="J32" s="16" t="s">
        <v>143</v>
      </c>
      <c r="K32" s="27">
        <v>-0.12138484336086251</v>
      </c>
    </row>
    <row r="33" spans="1:9" s="1" customFormat="1" ht="20.25" customHeight="1">
      <c r="A33" s="10">
        <v>25</v>
      </c>
      <c r="B33" s="11" t="s">
        <v>200</v>
      </c>
      <c r="C33" s="11" t="s">
        <v>201</v>
      </c>
      <c r="D33" s="11" t="s">
        <v>185</v>
      </c>
      <c r="E33" s="12">
        <v>30333</v>
      </c>
      <c r="F33" s="35">
        <v>129.5067435</v>
      </c>
      <c r="G33" s="14">
        <v>1.246471894987689</v>
      </c>
      <c r="H33" s="15"/>
      <c r="I33" s="15"/>
    </row>
    <row r="34" spans="1:9" s="1" customFormat="1" ht="18" customHeight="1">
      <c r="A34" s="10">
        <v>26</v>
      </c>
      <c r="B34" s="11" t="s">
        <v>202</v>
      </c>
      <c r="C34" s="11" t="s">
        <v>203</v>
      </c>
      <c r="D34" s="11" t="s">
        <v>27</v>
      </c>
      <c r="E34" s="12">
        <v>2017</v>
      </c>
      <c r="F34" s="35">
        <v>126.44169599999999</v>
      </c>
      <c r="G34" s="14">
        <v>1.2169715349114409</v>
      </c>
      <c r="H34" s="15"/>
      <c r="I34" s="15"/>
    </row>
    <row r="35" spans="1:9" s="1" customFormat="1" ht="18" customHeight="1">
      <c r="A35" s="10">
        <v>27</v>
      </c>
      <c r="B35" s="11" t="s">
        <v>204</v>
      </c>
      <c r="C35" s="11" t="s">
        <v>205</v>
      </c>
      <c r="D35" s="11" t="s">
        <v>24</v>
      </c>
      <c r="E35" s="12">
        <v>47050</v>
      </c>
      <c r="F35" s="35">
        <v>125.92932500000001</v>
      </c>
      <c r="G35" s="14">
        <v>1.2120400847487185</v>
      </c>
      <c r="H35" s="15"/>
      <c r="I35" s="15"/>
    </row>
    <row r="36" spans="1:9" s="1" customFormat="1" ht="18" customHeight="1">
      <c r="A36" s="10">
        <v>28</v>
      </c>
      <c r="B36" s="11" t="s">
        <v>206</v>
      </c>
      <c r="C36" s="11" t="s">
        <v>207</v>
      </c>
      <c r="D36" s="11" t="s">
        <v>95</v>
      </c>
      <c r="E36" s="12">
        <v>178100</v>
      </c>
      <c r="F36" s="35">
        <v>123.69045</v>
      </c>
      <c r="G36" s="14">
        <v>1.1904914403424867</v>
      </c>
      <c r="H36" s="15"/>
      <c r="I36" s="15"/>
    </row>
    <row r="37" spans="1:9" s="1" customFormat="1" ht="18" customHeight="1">
      <c r="A37" s="10">
        <v>29</v>
      </c>
      <c r="B37" s="11" t="s">
        <v>208</v>
      </c>
      <c r="C37" s="11" t="s">
        <v>209</v>
      </c>
      <c r="D37" s="11" t="s">
        <v>14</v>
      </c>
      <c r="E37" s="12">
        <v>3702</v>
      </c>
      <c r="F37" s="35">
        <v>122.747214</v>
      </c>
      <c r="G37" s="14">
        <v>1.1814130160645988</v>
      </c>
      <c r="H37" s="15"/>
      <c r="I37" s="15"/>
    </row>
    <row r="38" spans="1:9" s="1" customFormat="1" ht="18" customHeight="1">
      <c r="A38" s="10">
        <v>30</v>
      </c>
      <c r="B38" s="11" t="s">
        <v>210</v>
      </c>
      <c r="C38" s="11" t="s">
        <v>211</v>
      </c>
      <c r="D38" s="11" t="s">
        <v>24</v>
      </c>
      <c r="E38" s="12">
        <v>3022</v>
      </c>
      <c r="F38" s="35">
        <v>122.218746</v>
      </c>
      <c r="G38" s="14">
        <v>1.1763266360692561</v>
      </c>
      <c r="H38" s="15"/>
      <c r="I38" s="15"/>
    </row>
    <row r="39" spans="1:9" s="1" customFormat="1" ht="18" customHeight="1">
      <c r="A39" s="10">
        <v>31</v>
      </c>
      <c r="B39" s="11" t="s">
        <v>212</v>
      </c>
      <c r="C39" s="11" t="s">
        <v>213</v>
      </c>
      <c r="D39" s="11" t="s">
        <v>105</v>
      </c>
      <c r="E39" s="12">
        <v>9135</v>
      </c>
      <c r="F39" s="35">
        <v>122.0298975</v>
      </c>
      <c r="G39" s="14">
        <v>1.1745090137486041</v>
      </c>
      <c r="H39" s="15"/>
      <c r="I39" s="15"/>
    </row>
    <row r="40" spans="1:9" s="1" customFormat="1" ht="18" customHeight="1">
      <c r="A40" s="10">
        <v>32</v>
      </c>
      <c r="B40" s="11" t="s">
        <v>668</v>
      </c>
      <c r="C40" s="11" t="s">
        <v>214</v>
      </c>
      <c r="D40" s="11" t="s">
        <v>105</v>
      </c>
      <c r="E40" s="12">
        <v>70929</v>
      </c>
      <c r="F40" s="35">
        <v>119.657223</v>
      </c>
      <c r="G40" s="14">
        <v>1.1516725806774262</v>
      </c>
      <c r="H40" s="15"/>
      <c r="I40" s="15"/>
    </row>
    <row r="41" spans="1:9" s="1" customFormat="1" ht="18" customHeight="1">
      <c r="A41" s="10">
        <v>33</v>
      </c>
      <c r="B41" s="11" t="s">
        <v>215</v>
      </c>
      <c r="C41" s="11" t="s">
        <v>216</v>
      </c>
      <c r="D41" s="11" t="s">
        <v>14</v>
      </c>
      <c r="E41" s="12">
        <v>9612</v>
      </c>
      <c r="F41" s="35">
        <v>117.19911599999999</v>
      </c>
      <c r="G41" s="14">
        <v>1.1280138799212565</v>
      </c>
      <c r="H41" s="15"/>
      <c r="I41" s="15"/>
    </row>
    <row r="42" spans="1:9" s="1" customFormat="1" ht="18" customHeight="1">
      <c r="A42" s="10">
        <v>34</v>
      </c>
      <c r="B42" s="11" t="s">
        <v>217</v>
      </c>
      <c r="C42" s="11" t="s">
        <v>218</v>
      </c>
      <c r="D42" s="11" t="s">
        <v>219</v>
      </c>
      <c r="E42" s="12">
        <v>41231</v>
      </c>
      <c r="F42" s="35">
        <v>115.364338</v>
      </c>
      <c r="G42" s="14">
        <v>1.1103545739366094</v>
      </c>
      <c r="H42" s="15"/>
      <c r="I42" s="15"/>
    </row>
    <row r="43" spans="1:9" s="1" customFormat="1" ht="18" customHeight="1">
      <c r="A43" s="10">
        <v>35</v>
      </c>
      <c r="B43" s="11" t="s">
        <v>220</v>
      </c>
      <c r="C43" s="11" t="s">
        <v>221</v>
      </c>
      <c r="D43" s="11" t="s">
        <v>27</v>
      </c>
      <c r="E43" s="12">
        <v>1656</v>
      </c>
      <c r="F43" s="35">
        <v>113.58835199999999</v>
      </c>
      <c r="G43" s="14">
        <v>1.0932611271008343</v>
      </c>
      <c r="H43" s="15"/>
      <c r="I43" s="15"/>
    </row>
    <row r="44" spans="1:9" s="1" customFormat="1" ht="18" customHeight="1">
      <c r="A44" s="10">
        <v>36</v>
      </c>
      <c r="B44" s="11" t="s">
        <v>222</v>
      </c>
      <c r="C44" s="11" t="s">
        <v>223</v>
      </c>
      <c r="D44" s="11" t="s">
        <v>152</v>
      </c>
      <c r="E44" s="12">
        <v>14109</v>
      </c>
      <c r="F44" s="35">
        <v>112.13833199999999</v>
      </c>
      <c r="G44" s="14">
        <v>1.0793050262189521</v>
      </c>
      <c r="H44" s="15"/>
      <c r="I44" s="15"/>
    </row>
    <row r="45" spans="1:9" s="1" customFormat="1" ht="18" customHeight="1">
      <c r="A45" s="10">
        <v>37</v>
      </c>
      <c r="B45" s="11" t="s">
        <v>224</v>
      </c>
      <c r="C45" s="11" t="s">
        <v>225</v>
      </c>
      <c r="D45" s="11" t="s">
        <v>33</v>
      </c>
      <c r="E45" s="12">
        <v>39783</v>
      </c>
      <c r="F45" s="35">
        <v>111.83001300000001</v>
      </c>
      <c r="G45" s="14">
        <v>1.0763375284825063</v>
      </c>
      <c r="H45" s="15"/>
      <c r="I45" s="15"/>
    </row>
    <row r="46" spans="1:9" s="1" customFormat="1" ht="18" customHeight="1">
      <c r="A46" s="10">
        <v>38</v>
      </c>
      <c r="B46" s="11" t="s">
        <v>226</v>
      </c>
      <c r="C46" s="11" t="s">
        <v>227</v>
      </c>
      <c r="D46" s="11" t="s">
        <v>52</v>
      </c>
      <c r="E46" s="12">
        <v>24324</v>
      </c>
      <c r="F46" s="35">
        <v>111.355272</v>
      </c>
      <c r="G46" s="14">
        <v>1.0717682582043269</v>
      </c>
      <c r="H46" s="15"/>
      <c r="I46" s="15"/>
    </row>
    <row r="47" spans="1:9" s="1" customFormat="1" ht="18" customHeight="1">
      <c r="A47" s="10">
        <v>39</v>
      </c>
      <c r="B47" s="11" t="s">
        <v>228</v>
      </c>
      <c r="C47" s="11" t="s">
        <v>229</v>
      </c>
      <c r="D47" s="11" t="s">
        <v>57</v>
      </c>
      <c r="E47" s="12">
        <v>179181</v>
      </c>
      <c r="F47" s="35">
        <v>108.404505</v>
      </c>
      <c r="G47" s="14">
        <v>1.0433678210166129</v>
      </c>
      <c r="H47" s="15"/>
      <c r="I47" s="15"/>
    </row>
    <row r="48" spans="1:9" s="1" customFormat="1" ht="18" customHeight="1">
      <c r="A48" s="10">
        <v>40</v>
      </c>
      <c r="B48" s="11" t="s">
        <v>230</v>
      </c>
      <c r="C48" s="11" t="s">
        <v>231</v>
      </c>
      <c r="D48" s="11" t="s">
        <v>27</v>
      </c>
      <c r="E48" s="12">
        <v>11504</v>
      </c>
      <c r="F48" s="35">
        <v>107.263296</v>
      </c>
      <c r="G48" s="14">
        <v>1.0323839532552634</v>
      </c>
      <c r="H48" s="15"/>
      <c r="I48" s="15"/>
    </row>
    <row r="49" spans="1:9" s="1" customFormat="1" ht="18" customHeight="1">
      <c r="A49" s="10">
        <v>41</v>
      </c>
      <c r="B49" s="11" t="s">
        <v>232</v>
      </c>
      <c r="C49" s="11" t="s">
        <v>233</v>
      </c>
      <c r="D49" s="11" t="s">
        <v>105</v>
      </c>
      <c r="E49" s="12">
        <v>3442</v>
      </c>
      <c r="F49" s="35">
        <v>106.17021099999999</v>
      </c>
      <c r="G49" s="14">
        <v>1.0218632676561183</v>
      </c>
      <c r="H49" s="15"/>
      <c r="I49" s="15"/>
    </row>
    <row r="50" spans="1:9" s="1" customFormat="1" ht="18" customHeight="1">
      <c r="A50" s="10">
        <v>42</v>
      </c>
      <c r="B50" s="11" t="s">
        <v>234</v>
      </c>
      <c r="C50" s="11" t="s">
        <v>235</v>
      </c>
      <c r="D50" s="11" t="s">
        <v>236</v>
      </c>
      <c r="E50" s="12">
        <v>77085</v>
      </c>
      <c r="F50" s="35">
        <v>105.18248250000001</v>
      </c>
      <c r="G50" s="14">
        <v>1.0123566135479611</v>
      </c>
      <c r="H50" s="15"/>
      <c r="I50" s="15"/>
    </row>
    <row r="51" spans="1:9" s="1" customFormat="1" ht="18" customHeight="1">
      <c r="A51" s="10">
        <v>43</v>
      </c>
      <c r="B51" s="11" t="s">
        <v>237</v>
      </c>
      <c r="C51" s="11" t="s">
        <v>238</v>
      </c>
      <c r="D51" s="11" t="s">
        <v>45</v>
      </c>
      <c r="E51" s="12">
        <v>8337</v>
      </c>
      <c r="F51" s="35">
        <v>100.1982345</v>
      </c>
      <c r="G51" s="14">
        <v>0.96438440081412291</v>
      </c>
      <c r="H51" s="15"/>
      <c r="I51" s="15"/>
    </row>
    <row r="52" spans="1:9" s="1" customFormat="1" ht="18" customHeight="1">
      <c r="A52" s="10">
        <v>44</v>
      </c>
      <c r="B52" s="11" t="s">
        <v>239</v>
      </c>
      <c r="C52" s="11" t="s">
        <v>240</v>
      </c>
      <c r="D52" s="11" t="s">
        <v>27</v>
      </c>
      <c r="E52" s="12">
        <v>10663</v>
      </c>
      <c r="F52" s="35">
        <v>99.213883499999994</v>
      </c>
      <c r="G52" s="14">
        <v>0.95491025434774213</v>
      </c>
      <c r="H52" s="15"/>
      <c r="I52" s="15"/>
    </row>
    <row r="53" spans="1:9" s="1" customFormat="1" ht="18" customHeight="1">
      <c r="A53" s="10">
        <v>45</v>
      </c>
      <c r="B53" s="11" t="s">
        <v>241</v>
      </c>
      <c r="C53" s="11" t="s">
        <v>242</v>
      </c>
      <c r="D53" s="11" t="s">
        <v>19</v>
      </c>
      <c r="E53" s="12">
        <v>20426</v>
      </c>
      <c r="F53" s="35">
        <v>98.371616000000003</v>
      </c>
      <c r="G53" s="14">
        <v>0.9468036280946347</v>
      </c>
      <c r="H53" s="15"/>
      <c r="I53" s="15"/>
    </row>
    <row r="54" spans="1:9" s="1" customFormat="1" ht="18" customHeight="1">
      <c r="A54" s="10">
        <v>46</v>
      </c>
      <c r="B54" s="11" t="s">
        <v>243</v>
      </c>
      <c r="C54" s="11" t="s">
        <v>244</v>
      </c>
      <c r="D54" s="11" t="s">
        <v>27</v>
      </c>
      <c r="E54" s="12">
        <v>69181</v>
      </c>
      <c r="F54" s="35">
        <v>98.306201000000001</v>
      </c>
      <c r="G54" s="14">
        <v>0.94617402413111129</v>
      </c>
      <c r="H54" s="15"/>
      <c r="I54" s="15"/>
    </row>
    <row r="55" spans="1:9" s="1" customFormat="1" ht="18" customHeight="1">
      <c r="A55" s="10">
        <v>47</v>
      </c>
      <c r="B55" s="11" t="s">
        <v>245</v>
      </c>
      <c r="C55" s="11" t="s">
        <v>246</v>
      </c>
      <c r="D55" s="11" t="s">
        <v>81</v>
      </c>
      <c r="E55" s="12">
        <v>23347</v>
      </c>
      <c r="F55" s="35">
        <v>96.773314999999997</v>
      </c>
      <c r="G55" s="14">
        <v>0.93142035752208174</v>
      </c>
      <c r="H55" s="15"/>
      <c r="I55" s="15"/>
    </row>
    <row r="56" spans="1:9" s="1" customFormat="1" ht="18" customHeight="1">
      <c r="A56" s="10">
        <v>48</v>
      </c>
      <c r="B56" s="11" t="s">
        <v>247</v>
      </c>
      <c r="C56" s="11" t="s">
        <v>248</v>
      </c>
      <c r="D56" s="11" t="s">
        <v>249</v>
      </c>
      <c r="E56" s="12">
        <v>86983</v>
      </c>
      <c r="F56" s="35">
        <v>94.985435999999993</v>
      </c>
      <c r="G56" s="14">
        <v>0.91421244336324337</v>
      </c>
      <c r="H56" s="15"/>
      <c r="I56" s="15"/>
    </row>
    <row r="57" spans="1:9" s="1" customFormat="1" ht="18" customHeight="1">
      <c r="A57" s="10">
        <v>49</v>
      </c>
      <c r="B57" s="11" t="s">
        <v>250</v>
      </c>
      <c r="C57" s="11" t="s">
        <v>251</v>
      </c>
      <c r="D57" s="11" t="s">
        <v>19</v>
      </c>
      <c r="E57" s="12">
        <v>24674</v>
      </c>
      <c r="F57" s="35">
        <v>93.354078999999999</v>
      </c>
      <c r="G57" s="14">
        <v>0.89851101657853383</v>
      </c>
      <c r="H57" s="15"/>
      <c r="I57" s="15"/>
    </row>
    <row r="58" spans="1:9" s="1" customFormat="1" ht="18" customHeight="1">
      <c r="A58" s="10">
        <v>50</v>
      </c>
      <c r="B58" s="11" t="s">
        <v>252</v>
      </c>
      <c r="C58" s="11" t="s">
        <v>253</v>
      </c>
      <c r="D58" s="11" t="s">
        <v>24</v>
      </c>
      <c r="E58" s="12">
        <v>21783</v>
      </c>
      <c r="F58" s="35">
        <v>93.296588999999997</v>
      </c>
      <c r="G58" s="14">
        <v>0.89795768887291627</v>
      </c>
      <c r="H58" s="15"/>
      <c r="I58" s="15"/>
    </row>
    <row r="59" spans="1:9" s="1" customFormat="1" ht="18" customHeight="1">
      <c r="A59" s="10">
        <v>51</v>
      </c>
      <c r="B59" s="11" t="s">
        <v>254</v>
      </c>
      <c r="C59" s="11" t="s">
        <v>255</v>
      </c>
      <c r="D59" s="11" t="s">
        <v>117</v>
      </c>
      <c r="E59" s="12">
        <v>51742</v>
      </c>
      <c r="F59" s="35">
        <v>90.36740300000001</v>
      </c>
      <c r="G59" s="14">
        <v>0.86976496372581702</v>
      </c>
      <c r="H59" s="15"/>
      <c r="I59" s="15"/>
    </row>
    <row r="60" spans="1:9" s="1" customFormat="1" ht="18" customHeight="1">
      <c r="A60" s="10">
        <v>52</v>
      </c>
      <c r="B60" s="11" t="s">
        <v>256</v>
      </c>
      <c r="C60" s="11" t="s">
        <v>257</v>
      </c>
      <c r="D60" s="11" t="s">
        <v>27</v>
      </c>
      <c r="E60" s="12">
        <v>5805</v>
      </c>
      <c r="F60" s="35">
        <v>86.564160000000001</v>
      </c>
      <c r="G60" s="14">
        <v>0.83315964587757174</v>
      </c>
      <c r="H60" s="15"/>
      <c r="I60" s="15"/>
    </row>
    <row r="61" spans="1:9" s="1" customFormat="1" ht="18" customHeight="1">
      <c r="A61" s="10">
        <v>53</v>
      </c>
      <c r="B61" s="11" t="s">
        <v>258</v>
      </c>
      <c r="C61" s="11" t="s">
        <v>259</v>
      </c>
      <c r="D61" s="11" t="s">
        <v>95</v>
      </c>
      <c r="E61" s="12">
        <v>61355</v>
      </c>
      <c r="F61" s="35">
        <v>85.651579999999996</v>
      </c>
      <c r="G61" s="14">
        <v>0.82437627837726946</v>
      </c>
      <c r="H61" s="15"/>
      <c r="I61" s="15"/>
    </row>
    <row r="62" spans="1:9" s="1" customFormat="1" ht="18" customHeight="1">
      <c r="A62" s="10">
        <v>54</v>
      </c>
      <c r="B62" s="11" t="s">
        <v>260</v>
      </c>
      <c r="C62" s="11" t="s">
        <v>261</v>
      </c>
      <c r="D62" s="11" t="s">
        <v>24</v>
      </c>
      <c r="E62" s="12">
        <v>18216</v>
      </c>
      <c r="F62" s="35">
        <v>85.624308000000013</v>
      </c>
      <c r="G62" s="14">
        <v>0.82411379180242872</v>
      </c>
      <c r="H62" s="15"/>
      <c r="I62" s="15"/>
    </row>
    <row r="63" spans="1:9" s="1" customFormat="1" ht="18" customHeight="1">
      <c r="A63" s="10">
        <v>55</v>
      </c>
      <c r="B63" s="11" t="s">
        <v>262</v>
      </c>
      <c r="C63" s="11" t="s">
        <v>263</v>
      </c>
      <c r="D63" s="11" t="s">
        <v>152</v>
      </c>
      <c r="E63" s="12">
        <v>49096</v>
      </c>
      <c r="F63" s="35">
        <v>85.083368000000007</v>
      </c>
      <c r="G63" s="14">
        <v>0.81890737174543271</v>
      </c>
      <c r="H63" s="15"/>
      <c r="I63" s="15"/>
    </row>
    <row r="64" spans="1:9" s="1" customFormat="1" ht="18" customHeight="1">
      <c r="A64" s="10">
        <v>56</v>
      </c>
      <c r="B64" s="11" t="s">
        <v>264</v>
      </c>
      <c r="C64" s="11" t="s">
        <v>265</v>
      </c>
      <c r="D64" s="11" t="s">
        <v>19</v>
      </c>
      <c r="E64" s="12">
        <v>38195</v>
      </c>
      <c r="F64" s="35">
        <v>82.730369999999994</v>
      </c>
      <c r="G64" s="14">
        <v>0.79626032035106076</v>
      </c>
      <c r="H64" s="15"/>
      <c r="I64" s="15"/>
    </row>
    <row r="65" spans="1:9" s="1" customFormat="1" ht="18" customHeight="1">
      <c r="A65" s="10">
        <v>57</v>
      </c>
      <c r="B65" s="11" t="s">
        <v>266</v>
      </c>
      <c r="C65" s="11" t="s">
        <v>267</v>
      </c>
      <c r="D65" s="11" t="s">
        <v>81</v>
      </c>
      <c r="E65" s="12">
        <v>70725</v>
      </c>
      <c r="F65" s="35">
        <v>80.980125000000001</v>
      </c>
      <c r="G65" s="14">
        <v>0.77941462457582311</v>
      </c>
      <c r="H65" s="15"/>
      <c r="I65" s="15"/>
    </row>
    <row r="66" spans="1:9" s="1" customFormat="1" ht="18" customHeight="1">
      <c r="A66" s="10">
        <v>58</v>
      </c>
      <c r="B66" s="11" t="s">
        <v>268</v>
      </c>
      <c r="C66" s="11" t="s">
        <v>269</v>
      </c>
      <c r="D66" s="11" t="s">
        <v>24</v>
      </c>
      <c r="E66" s="12">
        <v>20003</v>
      </c>
      <c r="F66" s="35">
        <v>80.782115500000003</v>
      </c>
      <c r="G66" s="14">
        <v>0.77750882978846081</v>
      </c>
      <c r="H66" s="15"/>
      <c r="I66" s="15"/>
    </row>
    <row r="67" spans="1:9" s="1" customFormat="1" ht="18" customHeight="1">
      <c r="A67" s="10">
        <v>59</v>
      </c>
      <c r="B67" s="11" t="s">
        <v>270</v>
      </c>
      <c r="C67" s="11" t="s">
        <v>271</v>
      </c>
      <c r="D67" s="11" t="s">
        <v>24</v>
      </c>
      <c r="E67" s="12">
        <v>4049</v>
      </c>
      <c r="F67" s="35">
        <v>80.145905999999997</v>
      </c>
      <c r="G67" s="14">
        <v>0.77138546323902579</v>
      </c>
      <c r="H67" s="15"/>
      <c r="I67" s="15"/>
    </row>
    <row r="68" spans="1:9" s="1" customFormat="1" ht="18" customHeight="1">
      <c r="A68" s="10">
        <v>60</v>
      </c>
      <c r="B68" s="11" t="s">
        <v>272</v>
      </c>
      <c r="C68" s="11" t="s">
        <v>273</v>
      </c>
      <c r="D68" s="11" t="s">
        <v>40</v>
      </c>
      <c r="E68" s="12">
        <v>33253</v>
      </c>
      <c r="F68" s="35">
        <v>78.360694500000008</v>
      </c>
      <c r="G68" s="14">
        <v>0.7542032231392366</v>
      </c>
      <c r="H68" s="15"/>
      <c r="I68" s="15"/>
    </row>
    <row r="69" spans="1:9" s="1" customFormat="1" ht="18" customHeight="1">
      <c r="A69" s="10">
        <v>61</v>
      </c>
      <c r="B69" s="11" t="s">
        <v>274</v>
      </c>
      <c r="C69" s="11" t="s">
        <v>275</v>
      </c>
      <c r="D69" s="11" t="s">
        <v>45</v>
      </c>
      <c r="E69" s="12">
        <v>7412</v>
      </c>
      <c r="F69" s="35">
        <v>76.276892000000004</v>
      </c>
      <c r="G69" s="14">
        <v>0.73414711501112906</v>
      </c>
      <c r="H69" s="15"/>
      <c r="I69" s="15"/>
    </row>
    <row r="70" spans="1:9" s="1" customFormat="1" ht="18" customHeight="1">
      <c r="A70" s="10">
        <v>62</v>
      </c>
      <c r="B70" s="11" t="s">
        <v>276</v>
      </c>
      <c r="C70" s="11" t="s">
        <v>277</v>
      </c>
      <c r="D70" s="11" t="s">
        <v>45</v>
      </c>
      <c r="E70" s="12">
        <v>11796</v>
      </c>
      <c r="F70" s="35">
        <v>75.742115999999996</v>
      </c>
      <c r="G70" s="14">
        <v>0.7290000220019226</v>
      </c>
      <c r="H70" s="15"/>
      <c r="I70" s="15"/>
    </row>
    <row r="71" spans="1:9" s="1" customFormat="1" ht="18" customHeight="1">
      <c r="A71" s="10">
        <v>63</v>
      </c>
      <c r="B71" s="11" t="s">
        <v>278</v>
      </c>
      <c r="C71" s="11" t="s">
        <v>279</v>
      </c>
      <c r="D71" s="11" t="s">
        <v>88</v>
      </c>
      <c r="E71" s="12">
        <v>23680</v>
      </c>
      <c r="F71" s="35">
        <v>72.543679999999995</v>
      </c>
      <c r="G71" s="14">
        <v>0.69821582903889878</v>
      </c>
      <c r="H71" s="15"/>
      <c r="I71" s="15"/>
    </row>
    <row r="72" spans="1:9" s="1" customFormat="1" ht="18" customHeight="1">
      <c r="A72" s="10">
        <v>64</v>
      </c>
      <c r="B72" s="11" t="s">
        <v>280</v>
      </c>
      <c r="C72" s="11" t="s">
        <v>281</v>
      </c>
      <c r="D72" s="11" t="s">
        <v>105</v>
      </c>
      <c r="E72" s="12">
        <v>7322</v>
      </c>
      <c r="F72" s="35">
        <v>71.803192999999993</v>
      </c>
      <c r="G72" s="14">
        <v>0.69108881611926842</v>
      </c>
      <c r="H72" s="15"/>
      <c r="I72" s="15"/>
    </row>
    <row r="73" spans="1:9" s="1" customFormat="1" ht="18" customHeight="1">
      <c r="A73" s="10">
        <v>65</v>
      </c>
      <c r="B73" s="11" t="s">
        <v>282</v>
      </c>
      <c r="C73" s="11" t="s">
        <v>283</v>
      </c>
      <c r="D73" s="11" t="s">
        <v>88</v>
      </c>
      <c r="E73" s="12">
        <v>9614</v>
      </c>
      <c r="F73" s="35">
        <v>70.263919000000001</v>
      </c>
      <c r="G73" s="14">
        <v>0.67627366651522269</v>
      </c>
      <c r="H73" s="15"/>
      <c r="I73" s="15"/>
    </row>
    <row r="74" spans="1:9" s="1" customFormat="1" ht="18" customHeight="1">
      <c r="A74" s="10">
        <v>66</v>
      </c>
      <c r="B74" s="11" t="s">
        <v>284</v>
      </c>
      <c r="C74" s="11" t="s">
        <v>285</v>
      </c>
      <c r="D74" s="11" t="s">
        <v>27</v>
      </c>
      <c r="E74" s="12">
        <v>30765</v>
      </c>
      <c r="F74" s="35">
        <v>68.682862499999999</v>
      </c>
      <c r="G74" s="14">
        <v>0.6610563701924439</v>
      </c>
      <c r="H74" s="15"/>
      <c r="I74" s="15"/>
    </row>
    <row r="75" spans="1:9" s="1" customFormat="1" ht="18" customHeight="1">
      <c r="A75" s="10">
        <v>67</v>
      </c>
      <c r="B75" s="11" t="s">
        <v>286</v>
      </c>
      <c r="C75" s="11" t="s">
        <v>287</v>
      </c>
      <c r="D75" s="11" t="s">
        <v>81</v>
      </c>
      <c r="E75" s="12">
        <v>121008</v>
      </c>
      <c r="F75" s="35">
        <v>68.551032000000006</v>
      </c>
      <c r="G75" s="14">
        <v>0.65978753268861023</v>
      </c>
      <c r="H75" s="15"/>
      <c r="I75" s="15"/>
    </row>
    <row r="76" spans="1:9" s="1" customFormat="1" ht="18" customHeight="1">
      <c r="A76" s="10">
        <v>68</v>
      </c>
      <c r="B76" s="11" t="s">
        <v>288</v>
      </c>
      <c r="C76" s="11" t="s">
        <v>289</v>
      </c>
      <c r="D76" s="11" t="s">
        <v>98</v>
      </c>
      <c r="E76" s="12">
        <v>40398</v>
      </c>
      <c r="F76" s="35">
        <v>68.434212000000002</v>
      </c>
      <c r="G76" s="14">
        <v>0.65866316771087097</v>
      </c>
      <c r="H76" s="15"/>
      <c r="I76" s="15"/>
    </row>
    <row r="77" spans="1:9" s="1" customFormat="1" ht="18" customHeight="1">
      <c r="A77" s="10">
        <v>69</v>
      </c>
      <c r="B77" s="11" t="s">
        <v>290</v>
      </c>
      <c r="C77" s="11" t="s">
        <v>291</v>
      </c>
      <c r="D77" s="11" t="s">
        <v>81</v>
      </c>
      <c r="E77" s="12">
        <v>11531</v>
      </c>
      <c r="F77" s="35">
        <v>63.178349000000004</v>
      </c>
      <c r="G77" s="14">
        <v>0.60807672459329165</v>
      </c>
      <c r="H77" s="15"/>
      <c r="I77" s="15"/>
    </row>
    <row r="78" spans="1:9" s="1" customFormat="1" ht="18" customHeight="1">
      <c r="A78" s="10">
        <v>70</v>
      </c>
      <c r="B78" s="11" t="s">
        <v>292</v>
      </c>
      <c r="C78" s="11" t="s">
        <v>293</v>
      </c>
      <c r="D78" s="11" t="s">
        <v>45</v>
      </c>
      <c r="E78" s="12">
        <v>4860</v>
      </c>
      <c r="F78" s="35">
        <v>62.591940000000001</v>
      </c>
      <c r="G78" s="14">
        <v>0.6024326761235852</v>
      </c>
      <c r="H78" s="15"/>
      <c r="I78" s="15"/>
    </row>
    <row r="79" spans="1:9" s="1" customFormat="1" ht="18" customHeight="1">
      <c r="A79" s="10">
        <v>71</v>
      </c>
      <c r="B79" s="11" t="s">
        <v>294</v>
      </c>
      <c r="C79" s="11" t="s">
        <v>295</v>
      </c>
      <c r="D79" s="11" t="s">
        <v>164</v>
      </c>
      <c r="E79" s="12">
        <v>18105</v>
      </c>
      <c r="F79" s="35">
        <v>61.638472499999999</v>
      </c>
      <c r="G79" s="14">
        <v>0.59325577606869206</v>
      </c>
      <c r="H79" s="15"/>
      <c r="I79" s="15"/>
    </row>
    <row r="80" spans="1:9" s="1" customFormat="1" ht="18" customHeight="1">
      <c r="A80" s="10">
        <v>72</v>
      </c>
      <c r="B80" s="11" t="s">
        <v>296</v>
      </c>
      <c r="C80" s="11" t="s">
        <v>297</v>
      </c>
      <c r="D80" s="11" t="s">
        <v>24</v>
      </c>
      <c r="E80" s="12">
        <v>13665</v>
      </c>
      <c r="F80" s="35">
        <v>61.007392500000002</v>
      </c>
      <c r="G80" s="14">
        <v>0.58718177974827024</v>
      </c>
      <c r="H80" s="15"/>
      <c r="I80" s="15"/>
    </row>
    <row r="81" spans="1:9" s="1" customFormat="1" ht="18" customHeight="1">
      <c r="A81" s="10">
        <v>73</v>
      </c>
      <c r="B81" s="11" t="s">
        <v>298</v>
      </c>
      <c r="C81" s="11" t="s">
        <v>299</v>
      </c>
      <c r="D81" s="11" t="s">
        <v>236</v>
      </c>
      <c r="E81" s="12">
        <v>25589</v>
      </c>
      <c r="F81" s="35">
        <v>59.737520499999995</v>
      </c>
      <c r="G81" s="14">
        <v>0.57495956092433842</v>
      </c>
      <c r="H81" s="15"/>
      <c r="I81" s="15"/>
    </row>
    <row r="82" spans="1:9" s="1" customFormat="1" ht="18" customHeight="1">
      <c r="A82" s="10">
        <v>74</v>
      </c>
      <c r="B82" s="11" t="s">
        <v>300</v>
      </c>
      <c r="C82" s="11" t="s">
        <v>301</v>
      </c>
      <c r="D82" s="11" t="s">
        <v>117</v>
      </c>
      <c r="E82" s="12">
        <v>49322</v>
      </c>
      <c r="F82" s="35">
        <v>59.235722000000003</v>
      </c>
      <c r="G82" s="14">
        <v>0.57012986858328296</v>
      </c>
      <c r="H82" s="15"/>
      <c r="I82" s="15"/>
    </row>
    <row r="83" spans="1:9" s="1" customFormat="1" ht="18" customHeight="1">
      <c r="A83" s="10">
        <v>75</v>
      </c>
      <c r="B83" s="11" t="s">
        <v>302</v>
      </c>
      <c r="C83" s="11" t="s">
        <v>303</v>
      </c>
      <c r="D83" s="11" t="s">
        <v>114</v>
      </c>
      <c r="E83" s="12">
        <v>16984</v>
      </c>
      <c r="F83" s="35">
        <v>58.951464000000001</v>
      </c>
      <c r="G83" s="14">
        <v>0.56739395230317513</v>
      </c>
      <c r="H83" s="15"/>
      <c r="I83" s="15"/>
    </row>
    <row r="84" spans="1:9" s="1" customFormat="1" ht="18" customHeight="1">
      <c r="A84" s="10">
        <v>76</v>
      </c>
      <c r="B84" s="11" t="s">
        <v>304</v>
      </c>
      <c r="C84" s="11" t="s">
        <v>305</v>
      </c>
      <c r="D84" s="11" t="s">
        <v>45</v>
      </c>
      <c r="E84" s="12">
        <v>12786</v>
      </c>
      <c r="F84" s="35">
        <v>57.875829000000003</v>
      </c>
      <c r="G84" s="14">
        <v>0.55704121884288949</v>
      </c>
      <c r="H84" s="15"/>
      <c r="I84" s="15"/>
    </row>
    <row r="85" spans="1:9" s="1" customFormat="1" ht="18" customHeight="1">
      <c r="A85" s="10">
        <v>77</v>
      </c>
      <c r="B85" s="11" t="s">
        <v>306</v>
      </c>
      <c r="C85" s="11" t="s">
        <v>307</v>
      </c>
      <c r="D85" s="11" t="s">
        <v>14</v>
      </c>
      <c r="E85" s="12">
        <v>14344</v>
      </c>
      <c r="F85" s="35">
        <v>56.651627999999995</v>
      </c>
      <c r="G85" s="14">
        <v>0.54525857263407773</v>
      </c>
      <c r="H85" s="15"/>
      <c r="I85" s="15"/>
    </row>
    <row r="86" spans="1:9" s="1" customFormat="1" ht="18" customHeight="1">
      <c r="A86" s="10">
        <v>78</v>
      </c>
      <c r="B86" s="11" t="s">
        <v>308</v>
      </c>
      <c r="C86" s="11" t="s">
        <v>309</v>
      </c>
      <c r="D86" s="11" t="s">
        <v>19</v>
      </c>
      <c r="E86" s="12">
        <v>231473</v>
      </c>
      <c r="F86" s="35">
        <v>56.132202499999998</v>
      </c>
      <c r="G86" s="14">
        <v>0.54025922457086328</v>
      </c>
      <c r="H86" s="15"/>
      <c r="I86" s="15"/>
    </row>
    <row r="87" spans="1:9" s="1" customFormat="1" ht="18" customHeight="1">
      <c r="A87" s="10">
        <v>79</v>
      </c>
      <c r="B87" s="11" t="s">
        <v>310</v>
      </c>
      <c r="C87" s="11" t="s">
        <v>311</v>
      </c>
      <c r="D87" s="11" t="s">
        <v>57</v>
      </c>
      <c r="E87" s="12">
        <v>12289</v>
      </c>
      <c r="F87" s="35">
        <v>53.5124505</v>
      </c>
      <c r="G87" s="14">
        <v>0.51504472877252061</v>
      </c>
      <c r="H87" s="15"/>
      <c r="I87" s="15"/>
    </row>
    <row r="88" spans="1:9" s="1" customFormat="1" ht="18" customHeight="1">
      <c r="A88" s="10">
        <v>80</v>
      </c>
      <c r="B88" s="11" t="s">
        <v>312</v>
      </c>
      <c r="C88" s="11" t="s">
        <v>313</v>
      </c>
      <c r="D88" s="11" t="s">
        <v>81</v>
      </c>
      <c r="E88" s="12">
        <v>268033</v>
      </c>
      <c r="F88" s="35">
        <v>52.936517500000001</v>
      </c>
      <c r="G88" s="14">
        <v>0.50950150933471627</v>
      </c>
      <c r="H88" s="15"/>
      <c r="I88" s="15"/>
    </row>
    <row r="89" spans="1:9" s="1" customFormat="1" ht="18" customHeight="1">
      <c r="A89" s="10">
        <v>81</v>
      </c>
      <c r="B89" s="11" t="s">
        <v>314</v>
      </c>
      <c r="C89" s="11" t="s">
        <v>315</v>
      </c>
      <c r="D89" s="11" t="s">
        <v>19</v>
      </c>
      <c r="E89" s="12">
        <v>36804</v>
      </c>
      <c r="F89" s="35">
        <v>52.924151999999999</v>
      </c>
      <c r="G89" s="14">
        <v>0.50938249431047189</v>
      </c>
      <c r="H89" s="15"/>
      <c r="I89" s="15"/>
    </row>
    <row r="90" spans="1:9" s="1" customFormat="1" ht="18" customHeight="1">
      <c r="A90" s="10">
        <v>82</v>
      </c>
      <c r="B90" s="11" t="s">
        <v>316</v>
      </c>
      <c r="C90" s="11" t="s">
        <v>317</v>
      </c>
      <c r="D90" s="11" t="s">
        <v>219</v>
      </c>
      <c r="E90" s="12">
        <v>5187</v>
      </c>
      <c r="F90" s="35">
        <v>52.865904</v>
      </c>
      <c r="G90" s="14">
        <v>0.50882187103343579</v>
      </c>
      <c r="H90" s="15"/>
      <c r="I90" s="15"/>
    </row>
    <row r="91" spans="1:9" s="1" customFormat="1" ht="18" customHeight="1">
      <c r="A91" s="10">
        <v>83</v>
      </c>
      <c r="B91" s="11" t="s">
        <v>318</v>
      </c>
      <c r="C91" s="11" t="s">
        <v>319</v>
      </c>
      <c r="D91" s="11" t="s">
        <v>27</v>
      </c>
      <c r="E91" s="12">
        <v>14556</v>
      </c>
      <c r="F91" s="35">
        <v>52.568994000000004</v>
      </c>
      <c r="G91" s="14">
        <v>0.50596418223408157</v>
      </c>
      <c r="H91" s="15"/>
      <c r="I91" s="15"/>
    </row>
    <row r="92" spans="1:9" s="1" customFormat="1" ht="18" customHeight="1">
      <c r="A92" s="10">
        <v>84</v>
      </c>
      <c r="B92" s="11" t="s">
        <v>320</v>
      </c>
      <c r="C92" s="11" t="s">
        <v>321</v>
      </c>
      <c r="D92" s="11" t="s">
        <v>88</v>
      </c>
      <c r="E92" s="12">
        <v>253978</v>
      </c>
      <c r="F92" s="35">
        <v>52.319468000000001</v>
      </c>
      <c r="G92" s="14">
        <v>0.50356255327127231</v>
      </c>
      <c r="H92" s="15"/>
      <c r="I92" s="15"/>
    </row>
    <row r="93" spans="1:9" s="1" customFormat="1" ht="18" customHeight="1">
      <c r="A93" s="10">
        <v>85</v>
      </c>
      <c r="B93" s="11" t="s">
        <v>322</v>
      </c>
      <c r="C93" s="11" t="s">
        <v>323</v>
      </c>
      <c r="D93" s="11" t="s">
        <v>45</v>
      </c>
      <c r="E93" s="12">
        <v>1572</v>
      </c>
      <c r="F93" s="35">
        <v>52.188042000000003</v>
      </c>
      <c r="G93" s="14">
        <v>0.50229760898464026</v>
      </c>
      <c r="H93" s="15"/>
      <c r="I93" s="15"/>
    </row>
    <row r="94" spans="1:9" s="1" customFormat="1" ht="18" customHeight="1">
      <c r="A94" s="10">
        <v>86</v>
      </c>
      <c r="B94" s="11" t="s">
        <v>324</v>
      </c>
      <c r="C94" s="11" t="s">
        <v>325</v>
      </c>
      <c r="D94" s="11" t="s">
        <v>117</v>
      </c>
      <c r="E94" s="12">
        <v>12089</v>
      </c>
      <c r="F94" s="35">
        <v>49.776457499999999</v>
      </c>
      <c r="G94" s="14">
        <v>0.4790866763304813</v>
      </c>
      <c r="H94" s="15"/>
      <c r="I94" s="15"/>
    </row>
    <row r="95" spans="1:9" s="1" customFormat="1" ht="18" customHeight="1">
      <c r="A95" s="10">
        <v>87</v>
      </c>
      <c r="B95" s="11" t="s">
        <v>326</v>
      </c>
      <c r="C95" s="11" t="s">
        <v>327</v>
      </c>
      <c r="D95" s="11" t="s">
        <v>19</v>
      </c>
      <c r="E95" s="12">
        <v>65014</v>
      </c>
      <c r="F95" s="35">
        <v>48.435429999999997</v>
      </c>
      <c r="G95" s="14">
        <v>0.46617960258296171</v>
      </c>
      <c r="H95" s="15"/>
      <c r="I95" s="15"/>
    </row>
    <row r="96" spans="1:9" s="1" customFormat="1" ht="18" customHeight="1">
      <c r="A96" s="10">
        <v>88</v>
      </c>
      <c r="B96" s="11" t="s">
        <v>328</v>
      </c>
      <c r="C96" s="11" t="s">
        <v>329</v>
      </c>
      <c r="D96" s="11" t="s">
        <v>33</v>
      </c>
      <c r="E96" s="12">
        <v>321185</v>
      </c>
      <c r="F96" s="35">
        <v>47.374787499999996</v>
      </c>
      <c r="G96" s="14">
        <v>0.45597116840301122</v>
      </c>
      <c r="H96" s="15"/>
      <c r="I96" s="15"/>
    </row>
    <row r="97" spans="1:9" s="1" customFormat="1" ht="18" customHeight="1">
      <c r="A97" s="10">
        <v>89</v>
      </c>
      <c r="B97" s="11" t="s">
        <v>330</v>
      </c>
      <c r="C97" s="11" t="s">
        <v>331</v>
      </c>
      <c r="D97" s="11" t="s">
        <v>14</v>
      </c>
      <c r="E97" s="12">
        <v>4422</v>
      </c>
      <c r="F97" s="35">
        <v>47.326455000000003</v>
      </c>
      <c r="G97" s="14">
        <v>0.45550597947742838</v>
      </c>
      <c r="H97" s="15"/>
      <c r="I97" s="15"/>
    </row>
    <row r="98" spans="1:9" s="1" customFormat="1" ht="18" customHeight="1">
      <c r="A98" s="10">
        <v>90</v>
      </c>
      <c r="B98" s="11" t="s">
        <v>332</v>
      </c>
      <c r="C98" s="11" t="s">
        <v>333</v>
      </c>
      <c r="D98" s="11" t="s">
        <v>81</v>
      </c>
      <c r="E98" s="12">
        <v>28628</v>
      </c>
      <c r="F98" s="35">
        <v>47.264828000000001</v>
      </c>
      <c r="G98" s="14">
        <v>0.45491283412146932</v>
      </c>
      <c r="H98" s="15"/>
      <c r="I98" s="15"/>
    </row>
    <row r="99" spans="1:9" s="1" customFormat="1" ht="18" customHeight="1">
      <c r="A99" s="10">
        <v>91</v>
      </c>
      <c r="B99" s="11" t="s">
        <v>334</v>
      </c>
      <c r="C99" s="11" t="s">
        <v>335</v>
      </c>
      <c r="D99" s="11" t="s">
        <v>24</v>
      </c>
      <c r="E99" s="12">
        <v>74245</v>
      </c>
      <c r="F99" s="35">
        <v>46.811472500000001</v>
      </c>
      <c r="G99" s="14">
        <v>0.45054939424246343</v>
      </c>
      <c r="H99" s="15"/>
      <c r="I99" s="15"/>
    </row>
    <row r="100" spans="1:9" s="1" customFormat="1" ht="18" customHeight="1">
      <c r="A100" s="10">
        <v>92</v>
      </c>
      <c r="B100" s="11" t="s">
        <v>336</v>
      </c>
      <c r="C100" s="11" t="s">
        <v>337</v>
      </c>
      <c r="D100" s="11" t="s">
        <v>19</v>
      </c>
      <c r="E100" s="12">
        <v>21134</v>
      </c>
      <c r="F100" s="35">
        <v>43.060524999999998</v>
      </c>
      <c r="G100" s="14">
        <v>0.41444740826113624</v>
      </c>
      <c r="H100" s="15"/>
      <c r="I100" s="15"/>
    </row>
    <row r="101" spans="1:9" s="1" customFormat="1" ht="18" customHeight="1">
      <c r="A101" s="10">
        <v>93</v>
      </c>
      <c r="B101" s="11" t="s">
        <v>338</v>
      </c>
      <c r="C101" s="11" t="s">
        <v>339</v>
      </c>
      <c r="D101" s="11" t="s">
        <v>19</v>
      </c>
      <c r="E101" s="12">
        <v>32503</v>
      </c>
      <c r="F101" s="35">
        <v>40.953780000000002</v>
      </c>
      <c r="G101" s="14">
        <v>0.39417048397567744</v>
      </c>
      <c r="H101" s="15"/>
      <c r="I101" s="15"/>
    </row>
    <row r="102" spans="1:9" s="1" customFormat="1" ht="18" customHeight="1">
      <c r="A102" s="10">
        <v>94</v>
      </c>
      <c r="B102" s="11" t="s">
        <v>340</v>
      </c>
      <c r="C102" s="11" t="s">
        <v>341</v>
      </c>
      <c r="D102" s="11" t="s">
        <v>19</v>
      </c>
      <c r="E102" s="12">
        <v>38622</v>
      </c>
      <c r="F102" s="35">
        <v>39.877215</v>
      </c>
      <c r="G102" s="14">
        <v>0.38380879948449553</v>
      </c>
      <c r="H102" s="15"/>
      <c r="I102" s="15"/>
    </row>
    <row r="103" spans="1:9" s="1" customFormat="1" ht="18" customHeight="1">
      <c r="A103" s="10">
        <v>95</v>
      </c>
      <c r="B103" s="11" t="s">
        <v>342</v>
      </c>
      <c r="C103" s="11" t="s">
        <v>343</v>
      </c>
      <c r="D103" s="11" t="s">
        <v>24</v>
      </c>
      <c r="E103" s="12">
        <v>116732</v>
      </c>
      <c r="F103" s="35">
        <v>39.163586000000002</v>
      </c>
      <c r="G103" s="14">
        <v>0.37694028848724254</v>
      </c>
      <c r="H103" s="15"/>
      <c r="I103" s="15"/>
    </row>
    <row r="104" spans="1:9" s="1" customFormat="1" ht="18" customHeight="1">
      <c r="A104" s="10">
        <v>96</v>
      </c>
      <c r="B104" s="11" t="s">
        <v>344</v>
      </c>
      <c r="C104" s="11" t="s">
        <v>345</v>
      </c>
      <c r="D104" s="11" t="s">
        <v>236</v>
      </c>
      <c r="E104" s="12">
        <v>248413</v>
      </c>
      <c r="F104" s="35">
        <v>38.255602000000003</v>
      </c>
      <c r="G104" s="14">
        <v>0.36820115640414375</v>
      </c>
      <c r="H104" s="15"/>
      <c r="I104" s="15"/>
    </row>
    <row r="105" spans="1:9" s="1" customFormat="1" ht="18" customHeight="1">
      <c r="A105" s="10">
        <v>97</v>
      </c>
      <c r="B105" s="11" t="s">
        <v>346</v>
      </c>
      <c r="C105" s="11" t="s">
        <v>347</v>
      </c>
      <c r="D105" s="11" t="s">
        <v>19</v>
      </c>
      <c r="E105" s="12">
        <v>39162</v>
      </c>
      <c r="F105" s="35">
        <v>37.615101000000003</v>
      </c>
      <c r="G105" s="14">
        <v>0.36203648517826653</v>
      </c>
      <c r="H105" s="15"/>
      <c r="I105" s="15"/>
    </row>
    <row r="106" spans="1:9" s="1" customFormat="1" ht="18" customHeight="1">
      <c r="A106" s="10">
        <v>98</v>
      </c>
      <c r="B106" s="11" t="s">
        <v>348</v>
      </c>
      <c r="C106" s="11" t="s">
        <v>349</v>
      </c>
      <c r="D106" s="11" t="s">
        <v>19</v>
      </c>
      <c r="E106" s="12">
        <v>35146</v>
      </c>
      <c r="F106" s="35">
        <v>34.899977999999997</v>
      </c>
      <c r="G106" s="14">
        <v>0.33590406597389771</v>
      </c>
      <c r="H106" s="15"/>
      <c r="I106" s="15"/>
    </row>
    <row r="107" spans="1:9" s="1" customFormat="1" ht="18" customHeight="1">
      <c r="A107" s="10">
        <v>99</v>
      </c>
      <c r="B107" s="11" t="s">
        <v>350</v>
      </c>
      <c r="C107" s="11" t="s">
        <v>351</v>
      </c>
      <c r="D107" s="11" t="s">
        <v>147</v>
      </c>
      <c r="E107" s="12">
        <v>54489</v>
      </c>
      <c r="F107" s="35">
        <v>31.058730000000001</v>
      </c>
      <c r="G107" s="14">
        <v>0.29893295895445771</v>
      </c>
      <c r="H107" s="15"/>
      <c r="I107" s="15"/>
    </row>
    <row r="108" spans="1:9" s="1" customFormat="1" ht="18" customHeight="1">
      <c r="A108" s="10">
        <v>100</v>
      </c>
      <c r="B108" s="11" t="s">
        <v>352</v>
      </c>
      <c r="C108" s="11" t="s">
        <v>353</v>
      </c>
      <c r="D108" s="11" t="s">
        <v>14</v>
      </c>
      <c r="E108" s="12">
        <v>26537</v>
      </c>
      <c r="F108" s="35">
        <v>27.890387</v>
      </c>
      <c r="G108" s="14">
        <v>0.26843840402665986</v>
      </c>
      <c r="H108" s="15"/>
      <c r="I108" s="15"/>
    </row>
    <row r="109" spans="1:9" s="1" customFormat="1" ht="18" customHeight="1">
      <c r="A109" s="16"/>
      <c r="B109" s="17" t="s">
        <v>132</v>
      </c>
      <c r="C109" s="18"/>
      <c r="D109" s="18"/>
      <c r="E109" s="19"/>
      <c r="F109" s="36">
        <v>10402.476427999998</v>
      </c>
      <c r="G109" s="21">
        <v>100.12138484336083</v>
      </c>
      <c r="H109" s="22" t="s">
        <v>15</v>
      </c>
      <c r="I109" s="22"/>
    </row>
    <row r="110" spans="1:9" s="1" customFormat="1" ht="18" customHeight="1">
      <c r="A110" s="8"/>
      <c r="B110" s="8"/>
      <c r="C110" s="8"/>
      <c r="D110" s="8"/>
      <c r="E110" s="8"/>
      <c r="F110" s="8"/>
      <c r="G110" s="8"/>
      <c r="H110" s="7"/>
      <c r="I110" s="7"/>
    </row>
    <row r="111" spans="1:9" s="1" customFormat="1" ht="18" customHeight="1">
      <c r="A111" s="8"/>
      <c r="B111" s="9"/>
      <c r="C111" s="8"/>
      <c r="D111" s="8"/>
      <c r="E111" s="8"/>
      <c r="F111" s="8"/>
      <c r="G111" s="8"/>
      <c r="H111" s="7"/>
      <c r="I111" s="7"/>
    </row>
    <row r="112" spans="1:9" s="1" customFormat="1" ht="18" customHeight="1">
      <c r="A112" s="8"/>
      <c r="B112" s="9"/>
      <c r="C112" s="8"/>
      <c r="D112" s="8"/>
      <c r="E112" s="8"/>
      <c r="F112" s="8"/>
      <c r="G112" s="8"/>
      <c r="H112" s="7"/>
      <c r="I112" s="7"/>
    </row>
    <row r="113" spans="1:9" s="1" customFormat="1" ht="18" customHeight="1">
      <c r="A113" s="23">
        <v>101</v>
      </c>
      <c r="B113" s="4" t="s">
        <v>133</v>
      </c>
      <c r="C113" s="11"/>
      <c r="D113" s="11"/>
      <c r="E113" s="12"/>
      <c r="F113" s="35">
        <v>6.9922893000000004</v>
      </c>
      <c r="G113" s="14">
        <v>6.7299137160939743E-2</v>
      </c>
      <c r="H113" s="15"/>
      <c r="I113" s="15" t="s">
        <v>134</v>
      </c>
    </row>
    <row r="114" spans="1:9" s="1" customFormat="1" ht="18" customHeight="1">
      <c r="A114" s="16"/>
      <c r="B114" s="17" t="s">
        <v>132</v>
      </c>
      <c r="C114" s="18"/>
      <c r="D114" s="18"/>
      <c r="E114" s="19"/>
      <c r="F114" s="36">
        <v>6.9922893000000004</v>
      </c>
      <c r="G114" s="21">
        <v>6.7299137160939743E-2</v>
      </c>
      <c r="H114" s="22"/>
      <c r="I114" s="22"/>
    </row>
    <row r="115" spans="1:9" s="1" customFormat="1" ht="18" customHeight="1">
      <c r="A115" s="16"/>
      <c r="B115" s="24"/>
      <c r="C115" s="16"/>
      <c r="D115" s="16"/>
      <c r="E115" s="25"/>
      <c r="F115" s="16"/>
      <c r="G115" s="16"/>
      <c r="H115" s="22"/>
      <c r="I115" s="22"/>
    </row>
    <row r="116" spans="1:9" s="1" customFormat="1" ht="18" customHeight="1">
      <c r="A116" s="16"/>
      <c r="B116" s="24" t="s">
        <v>138</v>
      </c>
      <c r="C116" s="16"/>
      <c r="D116" s="16"/>
      <c r="E116" s="25"/>
      <c r="F116" s="16"/>
      <c r="G116" s="16"/>
      <c r="H116" s="22"/>
      <c r="I116" s="22"/>
    </row>
    <row r="117" spans="1:9" s="1" customFormat="1" ht="18" customHeight="1">
      <c r="A117" s="16"/>
      <c r="B117" s="24" t="s">
        <v>139</v>
      </c>
      <c r="C117" s="16"/>
      <c r="D117" s="16"/>
      <c r="E117" s="25"/>
      <c r="F117" s="37">
        <v>-19.604010299995934</v>
      </c>
      <c r="G117" s="27">
        <v>-0.18868398052178731</v>
      </c>
      <c r="H117" s="22"/>
      <c r="I117" s="22"/>
    </row>
    <row r="118" spans="1:9" s="1" customFormat="1" ht="18" customHeight="1">
      <c r="A118" s="16"/>
      <c r="B118" s="28" t="s">
        <v>132</v>
      </c>
      <c r="C118" s="18"/>
      <c r="D118" s="18"/>
      <c r="E118" s="19"/>
      <c r="F118" s="36">
        <v>-19.604010299995934</v>
      </c>
      <c r="G118" s="21">
        <v>-0.18868398052178731</v>
      </c>
      <c r="H118" s="22"/>
      <c r="I118" s="22"/>
    </row>
    <row r="119" spans="1:9" s="1" customFormat="1" ht="18" customHeight="1">
      <c r="A119" s="16"/>
      <c r="B119" s="29" t="s">
        <v>140</v>
      </c>
      <c r="C119" s="30"/>
      <c r="D119" s="30"/>
      <c r="E119" s="31"/>
      <c r="F119" s="38">
        <v>10389.864707000001</v>
      </c>
      <c r="G119" s="33">
        <v>100.00000000000003</v>
      </c>
      <c r="H119" s="22"/>
      <c r="I119" s="22"/>
    </row>
    <row r="12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37.28515625" customWidth="1"/>
    <col min="5" max="5" width="16" customWidth="1"/>
    <col min="6" max="6" width="25.140625" customWidth="1"/>
    <col min="7" max="7" width="15.5703125" customWidth="1"/>
    <col min="8" max="9" width="14.7109375" customWidth="1"/>
    <col min="10" max="10" width="37.28515625" customWidth="1"/>
    <col min="11" max="11" width="14.7109375" customWidth="1"/>
    <col min="12" max="12" width="4.7109375" customWidth="1"/>
  </cols>
  <sheetData>
    <row r="1" spans="1:11" s="1" customFormat="1" ht="22.5" customHeight="1">
      <c r="A1" s="2"/>
      <c r="B1" s="41" t="s">
        <v>354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19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8"/>
      <c r="C5" s="8"/>
      <c r="D5" s="8"/>
      <c r="E5" s="8"/>
      <c r="F5" s="8"/>
      <c r="G5" s="8"/>
      <c r="H5" s="7"/>
      <c r="I5" s="7"/>
      <c r="J5" s="11" t="s">
        <v>360</v>
      </c>
      <c r="K5" s="14">
        <v>23.222130046066887</v>
      </c>
    </row>
    <row r="6" spans="1:11" s="1" customFormat="1" ht="18" customHeight="1">
      <c r="A6" s="8"/>
      <c r="B6" s="8"/>
      <c r="C6" s="8"/>
      <c r="D6" s="8"/>
      <c r="E6" s="8"/>
      <c r="F6" s="8"/>
      <c r="G6" s="8"/>
      <c r="H6" s="7"/>
      <c r="I6" s="7"/>
      <c r="J6" s="11" t="s">
        <v>357</v>
      </c>
      <c r="K6" s="14">
        <v>20.343025242696669</v>
      </c>
    </row>
    <row r="7" spans="1:11" s="1" customFormat="1" ht="18" customHeight="1">
      <c r="A7" s="8"/>
      <c r="B7" s="9" t="s">
        <v>10</v>
      </c>
      <c r="C7" s="8"/>
      <c r="D7" s="8"/>
      <c r="E7" s="8"/>
      <c r="F7" s="8"/>
      <c r="G7" s="8"/>
      <c r="H7" s="7"/>
      <c r="I7" s="7"/>
      <c r="J7" s="11" t="s">
        <v>376</v>
      </c>
      <c r="K7" s="14">
        <v>9.8874217818412493</v>
      </c>
    </row>
    <row r="8" spans="1:11" s="1" customFormat="1" ht="18" customHeight="1">
      <c r="A8" s="8"/>
      <c r="B8" s="9" t="s">
        <v>11</v>
      </c>
      <c r="C8" s="8"/>
      <c r="D8" s="8"/>
      <c r="E8" s="8"/>
      <c r="F8" s="8"/>
      <c r="G8" s="8"/>
      <c r="H8" s="7"/>
      <c r="I8" s="7"/>
      <c r="J8" s="11" t="s">
        <v>381</v>
      </c>
      <c r="K8" s="14">
        <v>8.127105320956586</v>
      </c>
    </row>
    <row r="9" spans="1:11" s="1" customFormat="1" ht="18" customHeight="1">
      <c r="A9" s="10">
        <v>1</v>
      </c>
      <c r="B9" s="11" t="s">
        <v>355</v>
      </c>
      <c r="C9" s="11" t="s">
        <v>356</v>
      </c>
      <c r="D9" s="11" t="s">
        <v>357</v>
      </c>
      <c r="E9" s="12">
        <v>12580</v>
      </c>
      <c r="F9" s="35">
        <v>1024.8835971999999</v>
      </c>
      <c r="G9" s="14">
        <v>14.436133715159741</v>
      </c>
      <c r="H9" s="15" t="s">
        <v>15</v>
      </c>
      <c r="I9" s="15" t="s">
        <v>16</v>
      </c>
      <c r="J9" s="11" t="s">
        <v>363</v>
      </c>
      <c r="K9" s="14">
        <v>7.5864528049520654</v>
      </c>
    </row>
    <row r="10" spans="1:11" s="1" customFormat="1" ht="18" customHeight="1">
      <c r="A10" s="10">
        <v>2</v>
      </c>
      <c r="B10" s="11" t="s">
        <v>358</v>
      </c>
      <c r="C10" s="11" t="s">
        <v>359</v>
      </c>
      <c r="D10" s="11" t="s">
        <v>360</v>
      </c>
      <c r="E10" s="12">
        <v>17718</v>
      </c>
      <c r="F10" s="35">
        <v>550.50353389999998</v>
      </c>
      <c r="G10" s="14">
        <v>7.7541904736890199</v>
      </c>
      <c r="H10" s="15"/>
      <c r="I10" s="15"/>
      <c r="J10" s="11" t="s">
        <v>373</v>
      </c>
      <c r="K10" s="14">
        <v>6.8192694168946808</v>
      </c>
    </row>
    <row r="11" spans="1:11" s="1" customFormat="1" ht="18" customHeight="1">
      <c r="A11" s="10">
        <v>3</v>
      </c>
      <c r="B11" s="11" t="s">
        <v>361</v>
      </c>
      <c r="C11" s="11" t="s">
        <v>362</v>
      </c>
      <c r="D11" s="11" t="s">
        <v>363</v>
      </c>
      <c r="E11" s="12">
        <v>1003</v>
      </c>
      <c r="F11" s="35">
        <v>272.74104499999999</v>
      </c>
      <c r="G11" s="14">
        <v>3.8417301301233082</v>
      </c>
      <c r="H11" s="15"/>
      <c r="I11" s="15"/>
      <c r="J11" s="11" t="s">
        <v>368</v>
      </c>
      <c r="K11" s="14">
        <v>3.4669563188282329</v>
      </c>
    </row>
    <row r="12" spans="1:11" s="1" customFormat="1" ht="18" customHeight="1">
      <c r="A12" s="10">
        <v>4</v>
      </c>
      <c r="B12" s="11" t="s">
        <v>364</v>
      </c>
      <c r="C12" s="11" t="s">
        <v>365</v>
      </c>
      <c r="D12" s="11" t="s">
        <v>360</v>
      </c>
      <c r="E12" s="12">
        <v>738</v>
      </c>
      <c r="F12" s="35">
        <v>256.63143760000003</v>
      </c>
      <c r="G12" s="14">
        <v>3.614816120414805</v>
      </c>
      <c r="H12" s="15"/>
      <c r="I12" s="15"/>
      <c r="J12" s="11" t="s">
        <v>408</v>
      </c>
      <c r="K12" s="14">
        <v>2.2463106588875812</v>
      </c>
    </row>
    <row r="13" spans="1:11" s="1" customFormat="1" ht="18" customHeight="1">
      <c r="A13" s="10">
        <v>5</v>
      </c>
      <c r="B13" s="11" t="s">
        <v>366</v>
      </c>
      <c r="C13" s="11" t="s">
        <v>367</v>
      </c>
      <c r="D13" s="11" t="s">
        <v>368</v>
      </c>
      <c r="E13" s="12">
        <v>4830</v>
      </c>
      <c r="F13" s="35">
        <v>246.1342305</v>
      </c>
      <c r="G13" s="14">
        <v>3.4669563188282329</v>
      </c>
      <c r="H13" s="15"/>
      <c r="I13" s="15"/>
      <c r="J13" s="11" t="s">
        <v>402</v>
      </c>
      <c r="K13" s="14">
        <v>2.1935852558927253</v>
      </c>
    </row>
    <row r="14" spans="1:11" s="1" customFormat="1" ht="18" customHeight="1">
      <c r="A14" s="10">
        <v>6</v>
      </c>
      <c r="B14" s="11" t="s">
        <v>369</v>
      </c>
      <c r="C14" s="11" t="s">
        <v>370</v>
      </c>
      <c r="D14" s="11" t="s">
        <v>360</v>
      </c>
      <c r="E14" s="12">
        <v>620</v>
      </c>
      <c r="F14" s="35">
        <v>220.43179230000001</v>
      </c>
      <c r="G14" s="14">
        <v>3.1049212197452465</v>
      </c>
      <c r="H14" s="15"/>
      <c r="I14" s="15"/>
      <c r="J14" s="11" t="s">
        <v>388</v>
      </c>
      <c r="K14" s="14">
        <v>1.7758938886475977</v>
      </c>
    </row>
    <row r="15" spans="1:11" s="1" customFormat="1" ht="18" customHeight="1">
      <c r="A15" s="10">
        <v>7</v>
      </c>
      <c r="B15" s="11" t="s">
        <v>371</v>
      </c>
      <c r="C15" s="11" t="s">
        <v>372</v>
      </c>
      <c r="D15" s="11" t="s">
        <v>373</v>
      </c>
      <c r="E15" s="12">
        <v>10229</v>
      </c>
      <c r="F15" s="35">
        <v>213.03398989999999</v>
      </c>
      <c r="G15" s="14">
        <v>3.0007184937610494</v>
      </c>
      <c r="H15" s="15"/>
      <c r="I15" s="15"/>
      <c r="J15" s="11" t="s">
        <v>395</v>
      </c>
      <c r="K15" s="14">
        <v>1.6755152456792626</v>
      </c>
    </row>
    <row r="16" spans="1:11" s="1" customFormat="1" ht="18" customHeight="1">
      <c r="A16" s="10">
        <v>8</v>
      </c>
      <c r="B16" s="11" t="s">
        <v>374</v>
      </c>
      <c r="C16" s="11" t="s">
        <v>375</v>
      </c>
      <c r="D16" s="11" t="s">
        <v>376</v>
      </c>
      <c r="E16" s="12">
        <v>3217</v>
      </c>
      <c r="F16" s="35">
        <v>208.46322989999999</v>
      </c>
      <c r="G16" s="14">
        <v>2.9363364481119887</v>
      </c>
      <c r="H16" s="15"/>
      <c r="I16" s="15"/>
      <c r="J16" s="11" t="s">
        <v>418</v>
      </c>
      <c r="K16" s="14">
        <v>1.5860160832684904</v>
      </c>
    </row>
    <row r="17" spans="1:11" s="1" customFormat="1" ht="18" customHeight="1">
      <c r="A17" s="10">
        <v>9</v>
      </c>
      <c r="B17" s="11" t="s">
        <v>377</v>
      </c>
      <c r="C17" s="11" t="s">
        <v>378</v>
      </c>
      <c r="D17" s="11" t="s">
        <v>357</v>
      </c>
      <c r="E17" s="12">
        <v>11025</v>
      </c>
      <c r="F17" s="35">
        <v>202.83486379999999</v>
      </c>
      <c r="G17" s="14">
        <v>2.8570573515985376</v>
      </c>
      <c r="H17" s="15"/>
      <c r="I17" s="15"/>
      <c r="J17" s="11" t="s">
        <v>405</v>
      </c>
      <c r="K17" s="14">
        <v>1.5605440142017921</v>
      </c>
    </row>
    <row r="18" spans="1:11" s="1" customFormat="1" ht="18" customHeight="1">
      <c r="A18" s="10">
        <v>10</v>
      </c>
      <c r="B18" s="11" t="s">
        <v>379</v>
      </c>
      <c r="C18" s="11" t="s">
        <v>380</v>
      </c>
      <c r="D18" s="11" t="s">
        <v>381</v>
      </c>
      <c r="E18" s="12">
        <v>4603</v>
      </c>
      <c r="F18" s="35">
        <v>170.06904370000001</v>
      </c>
      <c r="G18" s="14">
        <v>2.3955300507979929</v>
      </c>
      <c r="H18" s="15"/>
      <c r="I18" s="15"/>
      <c r="J18" s="11" t="s">
        <v>413</v>
      </c>
      <c r="K18" s="14">
        <v>1.1102158166803358</v>
      </c>
    </row>
    <row r="19" spans="1:11" s="1" customFormat="1" ht="18" customHeight="1">
      <c r="A19" s="10">
        <v>11</v>
      </c>
      <c r="B19" s="11" t="s">
        <v>382</v>
      </c>
      <c r="C19" s="11" t="s">
        <v>383</v>
      </c>
      <c r="D19" s="11" t="s">
        <v>376</v>
      </c>
      <c r="E19" s="12">
        <v>1639</v>
      </c>
      <c r="F19" s="35">
        <v>167.0970361</v>
      </c>
      <c r="G19" s="14">
        <v>2.353667443928992</v>
      </c>
      <c r="H19" s="15"/>
      <c r="I19" s="15"/>
      <c r="J19" s="11" t="s">
        <v>467</v>
      </c>
      <c r="K19" s="14">
        <v>0.69786441131898236</v>
      </c>
    </row>
    <row r="20" spans="1:11" s="1" customFormat="1" ht="18" customHeight="1">
      <c r="A20" s="10">
        <v>12</v>
      </c>
      <c r="B20" s="11" t="s">
        <v>384</v>
      </c>
      <c r="C20" s="11" t="s">
        <v>385</v>
      </c>
      <c r="D20" s="11" t="s">
        <v>357</v>
      </c>
      <c r="E20" s="12">
        <v>3563</v>
      </c>
      <c r="F20" s="35">
        <v>154.95326789999999</v>
      </c>
      <c r="G20" s="14">
        <v>2.1826147877834039</v>
      </c>
      <c r="H20" s="15"/>
      <c r="I20" s="15"/>
      <c r="J20" s="11" t="s">
        <v>437</v>
      </c>
      <c r="K20" s="14">
        <v>0.65623882479678197</v>
      </c>
    </row>
    <row r="21" spans="1:11" s="1" customFormat="1" ht="18" customHeight="1">
      <c r="A21" s="10">
        <v>13</v>
      </c>
      <c r="B21" s="11" t="s">
        <v>386</v>
      </c>
      <c r="C21" s="11" t="s">
        <v>387</v>
      </c>
      <c r="D21" s="11" t="s">
        <v>388</v>
      </c>
      <c r="E21" s="12">
        <v>2354</v>
      </c>
      <c r="F21" s="35">
        <v>126.0783914</v>
      </c>
      <c r="G21" s="14">
        <v>1.7758938886475977</v>
      </c>
      <c r="H21" s="15"/>
      <c r="I21" s="15"/>
      <c r="J21" s="11" t="s">
        <v>447</v>
      </c>
      <c r="K21" s="14">
        <v>0.56401762798918387</v>
      </c>
    </row>
    <row r="22" spans="1:11" s="1" customFormat="1" ht="18" customHeight="1">
      <c r="A22" s="10">
        <v>14</v>
      </c>
      <c r="B22" s="11" t="s">
        <v>389</v>
      </c>
      <c r="C22" s="11" t="s">
        <v>390</v>
      </c>
      <c r="D22" s="11" t="s">
        <v>376</v>
      </c>
      <c r="E22" s="12">
        <v>1729</v>
      </c>
      <c r="F22" s="35">
        <v>123.9536415</v>
      </c>
      <c r="G22" s="14">
        <v>1.7459654423816295</v>
      </c>
      <c r="H22" s="15"/>
      <c r="I22" s="15"/>
      <c r="J22" s="11" t="s">
        <v>456</v>
      </c>
      <c r="K22" s="14">
        <v>0.51740836861472084</v>
      </c>
    </row>
    <row r="23" spans="1:11" s="1" customFormat="1" ht="18" customHeight="1">
      <c r="A23" s="10">
        <v>15</v>
      </c>
      <c r="B23" s="11" t="s">
        <v>391</v>
      </c>
      <c r="C23" s="11" t="s">
        <v>392</v>
      </c>
      <c r="D23" s="11" t="s">
        <v>376</v>
      </c>
      <c r="E23" s="12">
        <v>507</v>
      </c>
      <c r="F23" s="35">
        <v>123.22765039999999</v>
      </c>
      <c r="G23" s="14">
        <v>1.7357393985418714</v>
      </c>
      <c r="H23" s="15"/>
      <c r="I23" s="15"/>
      <c r="J23" s="11" t="s">
        <v>525</v>
      </c>
      <c r="K23" s="14">
        <v>0.48426466966966453</v>
      </c>
    </row>
    <row r="24" spans="1:11" s="1" customFormat="1" ht="18" customHeight="1">
      <c r="A24" s="10">
        <v>16</v>
      </c>
      <c r="B24" s="11" t="s">
        <v>393</v>
      </c>
      <c r="C24" s="11" t="s">
        <v>394</v>
      </c>
      <c r="D24" s="11" t="s">
        <v>395</v>
      </c>
      <c r="E24" s="12">
        <v>3238</v>
      </c>
      <c r="F24" s="35">
        <v>103.86618109999999</v>
      </c>
      <c r="G24" s="14">
        <v>1.4630208571383676</v>
      </c>
      <c r="H24" s="15"/>
      <c r="I24" s="15"/>
      <c r="J24" s="11" t="s">
        <v>470</v>
      </c>
      <c r="K24" s="14">
        <v>0.4493835952854846</v>
      </c>
    </row>
    <row r="25" spans="1:11" s="1" customFormat="1" ht="18" customHeight="1">
      <c r="A25" s="10">
        <v>17</v>
      </c>
      <c r="B25" s="11" t="s">
        <v>396</v>
      </c>
      <c r="C25" s="11" t="s">
        <v>397</v>
      </c>
      <c r="D25" s="11" t="s">
        <v>360</v>
      </c>
      <c r="E25" s="12">
        <v>2613</v>
      </c>
      <c r="F25" s="35">
        <v>97.437264100000007</v>
      </c>
      <c r="G25" s="14">
        <v>1.3724654948423776</v>
      </c>
      <c r="H25" s="15"/>
      <c r="I25" s="15"/>
      <c r="J25" s="11" t="s">
        <v>475</v>
      </c>
      <c r="K25" s="14">
        <v>0.44665808314599231</v>
      </c>
    </row>
    <row r="26" spans="1:11" s="1" customFormat="1" ht="18" customHeight="1">
      <c r="A26" s="10">
        <v>18</v>
      </c>
      <c r="B26" s="11" t="s">
        <v>398</v>
      </c>
      <c r="C26" s="11" t="s">
        <v>399</v>
      </c>
      <c r="D26" s="11" t="s">
        <v>363</v>
      </c>
      <c r="E26" s="12">
        <v>112</v>
      </c>
      <c r="F26" s="35">
        <v>88.558024099999997</v>
      </c>
      <c r="G26" s="14">
        <v>1.2473957832388451</v>
      </c>
      <c r="H26" s="15"/>
      <c r="I26" s="15"/>
      <c r="J26" s="11" t="s">
        <v>482</v>
      </c>
      <c r="K26" s="14">
        <v>0.42657584332784154</v>
      </c>
    </row>
    <row r="27" spans="1:11" s="1" customFormat="1" ht="18" customHeight="1">
      <c r="A27" s="10">
        <v>19</v>
      </c>
      <c r="B27" s="11" t="s">
        <v>400</v>
      </c>
      <c r="C27" s="11" t="s">
        <v>401</v>
      </c>
      <c r="D27" s="11" t="s">
        <v>402</v>
      </c>
      <c r="E27" s="12">
        <v>3562</v>
      </c>
      <c r="F27" s="35">
        <v>87.301709900000006</v>
      </c>
      <c r="G27" s="14">
        <v>1.2296998031011956</v>
      </c>
      <c r="H27" s="15"/>
      <c r="I27" s="15"/>
      <c r="J27" s="11" t="s">
        <v>485</v>
      </c>
      <c r="K27" s="14">
        <v>0.4238995731510391</v>
      </c>
    </row>
    <row r="28" spans="1:11" s="1" customFormat="1" ht="18" customHeight="1">
      <c r="A28" s="10">
        <v>20</v>
      </c>
      <c r="B28" s="11" t="s">
        <v>403</v>
      </c>
      <c r="C28" s="11" t="s">
        <v>404</v>
      </c>
      <c r="D28" s="11" t="s">
        <v>405</v>
      </c>
      <c r="E28" s="12">
        <v>951</v>
      </c>
      <c r="F28" s="35">
        <v>87.005357799999999</v>
      </c>
      <c r="G28" s="14">
        <v>1.2255254963271809</v>
      </c>
      <c r="H28" s="15"/>
      <c r="I28" s="15"/>
      <c r="J28" s="11" t="s">
        <v>498</v>
      </c>
      <c r="K28" s="14">
        <v>0.35560004406550966</v>
      </c>
    </row>
    <row r="29" spans="1:11" s="1" customFormat="1" ht="18" customHeight="1">
      <c r="A29" s="10">
        <v>21</v>
      </c>
      <c r="B29" s="11" t="s">
        <v>406</v>
      </c>
      <c r="C29" s="11" t="s">
        <v>407</v>
      </c>
      <c r="D29" s="11" t="s">
        <v>408</v>
      </c>
      <c r="E29" s="12">
        <v>1570</v>
      </c>
      <c r="F29" s="35">
        <v>84.30671310000001</v>
      </c>
      <c r="G29" s="14">
        <v>1.1875133788093077</v>
      </c>
      <c r="H29" s="15"/>
      <c r="I29" s="15"/>
      <c r="J29" s="11" t="s">
        <v>583</v>
      </c>
      <c r="K29" s="14">
        <v>0.35357604854183</v>
      </c>
    </row>
    <row r="30" spans="1:11" s="1" customFormat="1" ht="18" customHeight="1">
      <c r="A30" s="10">
        <v>22</v>
      </c>
      <c r="B30" s="11" t="s">
        <v>409</v>
      </c>
      <c r="C30" s="11" t="s">
        <v>410</v>
      </c>
      <c r="D30" s="11" t="s">
        <v>360</v>
      </c>
      <c r="E30" s="12">
        <v>598</v>
      </c>
      <c r="F30" s="35">
        <v>82.939835299999999</v>
      </c>
      <c r="G30" s="14">
        <v>1.1682600404331323</v>
      </c>
      <c r="H30" s="15"/>
      <c r="I30" s="15"/>
      <c r="J30" s="11" t="s">
        <v>164</v>
      </c>
      <c r="K30" s="14">
        <v>0.35296578992191979</v>
      </c>
    </row>
    <row r="31" spans="1:11" s="1" customFormat="1" ht="18" customHeight="1">
      <c r="A31" s="10">
        <v>23</v>
      </c>
      <c r="B31" s="11" t="s">
        <v>411</v>
      </c>
      <c r="C31" s="11" t="s">
        <v>412</v>
      </c>
      <c r="D31" s="11" t="s">
        <v>413</v>
      </c>
      <c r="E31" s="12">
        <v>2262</v>
      </c>
      <c r="F31" s="35">
        <v>78.8190247</v>
      </c>
      <c r="G31" s="14">
        <v>1.1102158166803358</v>
      </c>
      <c r="H31" s="15"/>
      <c r="I31" s="15"/>
      <c r="J31" s="11" t="s">
        <v>14</v>
      </c>
      <c r="K31" s="14">
        <v>0.35033037653077437</v>
      </c>
    </row>
    <row r="32" spans="1:11" s="1" customFormat="1" ht="18" customHeight="1">
      <c r="A32" s="10">
        <v>24</v>
      </c>
      <c r="B32" s="11" t="s">
        <v>414</v>
      </c>
      <c r="C32" s="11" t="s">
        <v>415</v>
      </c>
      <c r="D32" s="11" t="s">
        <v>402</v>
      </c>
      <c r="E32" s="12">
        <v>1270</v>
      </c>
      <c r="F32" s="35">
        <v>68.430399000000008</v>
      </c>
      <c r="G32" s="14">
        <v>0.96388545279152948</v>
      </c>
      <c r="H32" s="15"/>
      <c r="I32" s="15"/>
      <c r="J32" s="11" t="s">
        <v>513</v>
      </c>
      <c r="K32" s="14">
        <v>0.31961147555676539</v>
      </c>
    </row>
    <row r="33" spans="1:11" s="1" customFormat="1" ht="18" customHeight="1">
      <c r="A33" s="10">
        <v>25</v>
      </c>
      <c r="B33" s="11" t="s">
        <v>416</v>
      </c>
      <c r="C33" s="11" t="s">
        <v>417</v>
      </c>
      <c r="D33" s="11" t="s">
        <v>418</v>
      </c>
      <c r="E33" s="12">
        <v>217</v>
      </c>
      <c r="F33" s="35">
        <v>64.550285000000002</v>
      </c>
      <c r="G33" s="14">
        <v>0.90923159289261601</v>
      </c>
      <c r="H33" s="15"/>
      <c r="I33" s="15"/>
      <c r="J33" s="11" t="s">
        <v>520</v>
      </c>
      <c r="K33" s="14">
        <v>0.29582700752959223</v>
      </c>
    </row>
    <row r="34" spans="1:11" s="1" customFormat="1" ht="18" customHeight="1">
      <c r="A34" s="10">
        <v>26</v>
      </c>
      <c r="B34" s="11" t="s">
        <v>419</v>
      </c>
      <c r="C34" s="11" t="s">
        <v>420</v>
      </c>
      <c r="D34" s="11" t="s">
        <v>381</v>
      </c>
      <c r="E34" s="12">
        <v>2867</v>
      </c>
      <c r="F34" s="35">
        <v>62.859746700000002</v>
      </c>
      <c r="G34" s="14">
        <v>0.88541929165560396</v>
      </c>
      <c r="H34" s="15"/>
      <c r="I34" s="15"/>
      <c r="J34" s="11" t="s">
        <v>544</v>
      </c>
      <c r="K34" s="14">
        <v>0.23770767073287569</v>
      </c>
    </row>
    <row r="35" spans="1:11" s="1" customFormat="1" ht="18" customHeight="1">
      <c r="A35" s="10">
        <v>27</v>
      </c>
      <c r="B35" s="11" t="s">
        <v>421</v>
      </c>
      <c r="C35" s="11" t="s">
        <v>422</v>
      </c>
      <c r="D35" s="11" t="s">
        <v>381</v>
      </c>
      <c r="E35" s="12">
        <v>1086</v>
      </c>
      <c r="F35" s="35">
        <v>62.773413600000005</v>
      </c>
      <c r="G35" s="14">
        <v>0.8842032353355993</v>
      </c>
      <c r="H35" s="15"/>
      <c r="I35" s="15"/>
      <c r="J35" s="11" t="s">
        <v>551</v>
      </c>
      <c r="K35" s="14">
        <v>0.23377199006776758</v>
      </c>
    </row>
    <row r="36" spans="1:11" s="1" customFormat="1" ht="18" customHeight="1">
      <c r="A36" s="10">
        <v>28</v>
      </c>
      <c r="B36" s="11" t="s">
        <v>423</v>
      </c>
      <c r="C36" s="11" t="s">
        <v>424</v>
      </c>
      <c r="D36" s="11" t="s">
        <v>360</v>
      </c>
      <c r="E36" s="12">
        <v>1026</v>
      </c>
      <c r="F36" s="35">
        <v>55.484572499999999</v>
      </c>
      <c r="G36" s="14">
        <v>0.78153529818095824</v>
      </c>
      <c r="H36" s="15"/>
      <c r="I36" s="15"/>
      <c r="J36" s="11" t="s">
        <v>554</v>
      </c>
      <c r="K36" s="14">
        <v>0.23197404218316345</v>
      </c>
    </row>
    <row r="37" spans="1:11" s="1" customFormat="1" ht="18" customHeight="1">
      <c r="A37" s="10">
        <v>29</v>
      </c>
      <c r="B37" s="11" t="s">
        <v>425</v>
      </c>
      <c r="C37" s="11" t="s">
        <v>426</v>
      </c>
      <c r="D37" s="11" t="s">
        <v>360</v>
      </c>
      <c r="E37" s="12">
        <v>2022</v>
      </c>
      <c r="F37" s="35">
        <v>55.422520600000006</v>
      </c>
      <c r="G37" s="14">
        <v>0.78066125792104291</v>
      </c>
      <c r="H37" s="15"/>
      <c r="I37" s="15"/>
      <c r="J37" s="11" t="s">
        <v>563</v>
      </c>
      <c r="K37" s="14">
        <v>0.21885718708072469</v>
      </c>
    </row>
    <row r="38" spans="1:11" s="1" customFormat="1" ht="18" customHeight="1">
      <c r="A38" s="10">
        <v>30</v>
      </c>
      <c r="B38" s="11" t="s">
        <v>427</v>
      </c>
      <c r="C38" s="11" t="s">
        <v>428</v>
      </c>
      <c r="D38" s="11" t="s">
        <v>360</v>
      </c>
      <c r="E38" s="12">
        <v>1082</v>
      </c>
      <c r="F38" s="35">
        <v>52.523939200000001</v>
      </c>
      <c r="G38" s="14">
        <v>0.73983290552181002</v>
      </c>
      <c r="H38" s="15"/>
      <c r="I38" s="15"/>
      <c r="J38" s="11" t="s">
        <v>574</v>
      </c>
      <c r="K38" s="14">
        <v>0.20479653262336731</v>
      </c>
    </row>
    <row r="39" spans="1:11" s="1" customFormat="1" ht="18" customHeight="1">
      <c r="A39" s="10">
        <v>31</v>
      </c>
      <c r="B39" s="11" t="s">
        <v>429</v>
      </c>
      <c r="C39" s="11" t="s">
        <v>430</v>
      </c>
      <c r="D39" s="11" t="s">
        <v>360</v>
      </c>
      <c r="E39" s="12">
        <v>1317</v>
      </c>
      <c r="F39" s="35">
        <v>49.977606100000003</v>
      </c>
      <c r="G39" s="14">
        <v>0.70396619322846865</v>
      </c>
      <c r="H39" s="15"/>
      <c r="I39" s="15"/>
      <c r="J39" s="11" t="s">
        <v>596</v>
      </c>
      <c r="K39" s="14">
        <v>0.11004001211210976</v>
      </c>
    </row>
    <row r="40" spans="1:11" s="1" customFormat="1" ht="18" customHeight="1">
      <c r="A40" s="10">
        <v>32</v>
      </c>
      <c r="B40" s="11" t="s">
        <v>431</v>
      </c>
      <c r="C40" s="11" t="s">
        <v>432</v>
      </c>
      <c r="D40" s="11" t="s">
        <v>418</v>
      </c>
      <c r="E40" s="12">
        <v>437</v>
      </c>
      <c r="F40" s="35">
        <v>48.047859400000007</v>
      </c>
      <c r="G40" s="14">
        <v>0.6767844903758744</v>
      </c>
      <c r="H40" s="15"/>
      <c r="I40" s="15"/>
      <c r="J40" s="16" t="s">
        <v>143</v>
      </c>
      <c r="K40" s="27">
        <v>0.46818893025975894</v>
      </c>
    </row>
    <row r="41" spans="1:11" s="1" customFormat="1" ht="21" customHeight="1">
      <c r="A41" s="10">
        <v>33</v>
      </c>
      <c r="B41" s="11" t="s">
        <v>433</v>
      </c>
      <c r="C41" s="11" t="s">
        <v>434</v>
      </c>
      <c r="D41" s="11" t="s">
        <v>363</v>
      </c>
      <c r="E41" s="12">
        <v>131</v>
      </c>
      <c r="F41" s="35">
        <v>46.6962318</v>
      </c>
      <c r="G41" s="14">
        <v>0.65774596071259517</v>
      </c>
      <c r="H41" s="15"/>
      <c r="I41" s="15"/>
    </row>
    <row r="42" spans="1:11" s="1" customFormat="1" ht="18" customHeight="1">
      <c r="A42" s="10">
        <v>34</v>
      </c>
      <c r="B42" s="11" t="s">
        <v>435</v>
      </c>
      <c r="C42" s="11" t="s">
        <v>436</v>
      </c>
      <c r="D42" s="11" t="s">
        <v>437</v>
      </c>
      <c r="E42" s="12">
        <v>1505</v>
      </c>
      <c r="F42" s="35">
        <v>46.589233700000001</v>
      </c>
      <c r="G42" s="14">
        <v>0.65623882479678197</v>
      </c>
      <c r="H42" s="15"/>
      <c r="I42" s="15"/>
    </row>
    <row r="43" spans="1:11" s="1" customFormat="1" ht="18" customHeight="1">
      <c r="A43" s="10">
        <v>35</v>
      </c>
      <c r="B43" s="40" t="s">
        <v>665</v>
      </c>
      <c r="C43" s="11" t="s">
        <v>438</v>
      </c>
      <c r="D43" s="11" t="s">
        <v>381</v>
      </c>
      <c r="E43" s="12">
        <v>1351</v>
      </c>
      <c r="F43" s="35">
        <v>43.233711200000002</v>
      </c>
      <c r="G43" s="14">
        <v>0.60897416798446868</v>
      </c>
      <c r="H43" s="15"/>
      <c r="I43" s="15"/>
    </row>
    <row r="44" spans="1:11" s="1" customFormat="1" ht="18" customHeight="1">
      <c r="A44" s="10">
        <v>36</v>
      </c>
      <c r="B44" s="11" t="s">
        <v>439</v>
      </c>
      <c r="C44" s="11" t="s">
        <v>440</v>
      </c>
      <c r="D44" s="11" t="s">
        <v>373</v>
      </c>
      <c r="E44" s="12">
        <v>2327</v>
      </c>
      <c r="F44" s="35">
        <v>42.546225499999998</v>
      </c>
      <c r="G44" s="14">
        <v>0.5992904970587416</v>
      </c>
      <c r="H44" s="15"/>
      <c r="I44" s="15"/>
    </row>
    <row r="45" spans="1:11" s="1" customFormat="1" ht="18" customHeight="1">
      <c r="A45" s="10">
        <v>37</v>
      </c>
      <c r="B45" s="11" t="s">
        <v>441</v>
      </c>
      <c r="C45" s="11" t="s">
        <v>442</v>
      </c>
      <c r="D45" s="11" t="s">
        <v>373</v>
      </c>
      <c r="E45" s="12">
        <v>554</v>
      </c>
      <c r="F45" s="35">
        <v>41.060557299999999</v>
      </c>
      <c r="G45" s="14">
        <v>0.57836392076251142</v>
      </c>
      <c r="H45" s="15"/>
      <c r="I45" s="15"/>
    </row>
    <row r="46" spans="1:11" s="1" customFormat="1" ht="18" customHeight="1">
      <c r="A46" s="10">
        <v>38</v>
      </c>
      <c r="B46" s="11" t="s">
        <v>443</v>
      </c>
      <c r="C46" s="11" t="s">
        <v>444</v>
      </c>
      <c r="D46" s="11" t="s">
        <v>376</v>
      </c>
      <c r="E46" s="12">
        <v>523</v>
      </c>
      <c r="F46" s="35">
        <v>40.992070900000002</v>
      </c>
      <c r="G46" s="14">
        <v>0.57739924650021368</v>
      </c>
      <c r="H46" s="15"/>
      <c r="I46" s="15"/>
    </row>
    <row r="47" spans="1:11" s="1" customFormat="1" ht="18" customHeight="1">
      <c r="A47" s="10">
        <v>39</v>
      </c>
      <c r="B47" s="11" t="s">
        <v>445</v>
      </c>
      <c r="C47" s="11" t="s">
        <v>446</v>
      </c>
      <c r="D47" s="11" t="s">
        <v>447</v>
      </c>
      <c r="E47" s="12">
        <v>272</v>
      </c>
      <c r="F47" s="35">
        <v>40.042051899999997</v>
      </c>
      <c r="G47" s="14">
        <v>0.56401762798918387</v>
      </c>
      <c r="H47" s="15"/>
      <c r="I47" s="15"/>
    </row>
    <row r="48" spans="1:11" s="1" customFormat="1" ht="18" customHeight="1">
      <c r="A48" s="10">
        <v>40</v>
      </c>
      <c r="B48" s="11" t="s">
        <v>448</v>
      </c>
      <c r="C48" s="11" t="s">
        <v>449</v>
      </c>
      <c r="D48" s="11" t="s">
        <v>360</v>
      </c>
      <c r="E48" s="12">
        <v>598</v>
      </c>
      <c r="F48" s="35">
        <v>38.318961399999999</v>
      </c>
      <c r="G48" s="14">
        <v>0.53974680842559664</v>
      </c>
      <c r="H48" s="15"/>
      <c r="I48" s="15"/>
    </row>
    <row r="49" spans="1:9" s="1" customFormat="1" ht="18" customHeight="1">
      <c r="A49" s="10">
        <v>41</v>
      </c>
      <c r="B49" s="11" t="s">
        <v>450</v>
      </c>
      <c r="C49" s="11" t="s">
        <v>451</v>
      </c>
      <c r="D49" s="11" t="s">
        <v>376</v>
      </c>
      <c r="E49" s="12">
        <v>810</v>
      </c>
      <c r="F49" s="35">
        <v>38.217226099999998</v>
      </c>
      <c r="G49" s="14">
        <v>0.53831380237655424</v>
      </c>
      <c r="H49" s="15"/>
      <c r="I49" s="15"/>
    </row>
    <row r="50" spans="1:9" s="1" customFormat="1" ht="18" customHeight="1">
      <c r="A50" s="10">
        <v>42</v>
      </c>
      <c r="B50" s="11" t="s">
        <v>452</v>
      </c>
      <c r="C50" s="11" t="s">
        <v>453</v>
      </c>
      <c r="D50" s="11" t="s">
        <v>381</v>
      </c>
      <c r="E50" s="12">
        <v>1725</v>
      </c>
      <c r="F50" s="35">
        <v>36.908885400000003</v>
      </c>
      <c r="G50" s="14">
        <v>0.51988499607915006</v>
      </c>
      <c r="H50" s="15"/>
      <c r="I50" s="15"/>
    </row>
    <row r="51" spans="1:9" s="1" customFormat="1" ht="18" customHeight="1">
      <c r="A51" s="10">
        <v>43</v>
      </c>
      <c r="B51" s="11" t="s">
        <v>454</v>
      </c>
      <c r="C51" s="11" t="s">
        <v>455</v>
      </c>
      <c r="D51" s="11" t="s">
        <v>456</v>
      </c>
      <c r="E51" s="12">
        <v>311</v>
      </c>
      <c r="F51" s="35">
        <v>36.733058900000003</v>
      </c>
      <c r="G51" s="14">
        <v>0.51740836861472084</v>
      </c>
      <c r="H51" s="15"/>
      <c r="I51" s="15"/>
    </row>
    <row r="52" spans="1:9" s="1" customFormat="1" ht="18" customHeight="1">
      <c r="A52" s="10">
        <v>44</v>
      </c>
      <c r="B52" s="11" t="s">
        <v>457</v>
      </c>
      <c r="C52" s="11" t="s">
        <v>458</v>
      </c>
      <c r="D52" s="11" t="s">
        <v>381</v>
      </c>
      <c r="E52" s="12">
        <v>767</v>
      </c>
      <c r="F52" s="35">
        <v>35.090614299999999</v>
      </c>
      <c r="G52" s="14">
        <v>0.49427349756193029</v>
      </c>
      <c r="H52" s="15"/>
      <c r="I52" s="15"/>
    </row>
    <row r="53" spans="1:9" s="1" customFormat="1" ht="18" customHeight="1">
      <c r="A53" s="10">
        <v>45</v>
      </c>
      <c r="B53" s="11" t="s">
        <v>459</v>
      </c>
      <c r="C53" s="11" t="s">
        <v>460</v>
      </c>
      <c r="D53" s="11" t="s">
        <v>408</v>
      </c>
      <c r="E53" s="12">
        <v>740</v>
      </c>
      <c r="F53" s="35">
        <v>34.225585799999998</v>
      </c>
      <c r="G53" s="14">
        <v>0.48208902400069797</v>
      </c>
      <c r="H53" s="15"/>
      <c r="I53" s="15"/>
    </row>
    <row r="54" spans="1:9" s="1" customFormat="1" ht="18" customHeight="1">
      <c r="A54" s="10">
        <v>46</v>
      </c>
      <c r="B54" s="11" t="s">
        <v>461</v>
      </c>
      <c r="C54" s="11" t="s">
        <v>462</v>
      </c>
      <c r="D54" s="11" t="s">
        <v>373</v>
      </c>
      <c r="E54" s="12">
        <v>2654</v>
      </c>
      <c r="F54" s="35">
        <v>33.633020899999998</v>
      </c>
      <c r="G54" s="14">
        <v>0.47374237258127738</v>
      </c>
      <c r="H54" s="15"/>
      <c r="I54" s="15"/>
    </row>
    <row r="55" spans="1:9" s="1" customFormat="1" ht="18" customHeight="1">
      <c r="A55" s="10">
        <v>47</v>
      </c>
      <c r="B55" s="11" t="s">
        <v>463</v>
      </c>
      <c r="C55" s="11" t="s">
        <v>464</v>
      </c>
      <c r="D55" s="11" t="s">
        <v>373</v>
      </c>
      <c r="E55" s="12">
        <v>1188</v>
      </c>
      <c r="F55" s="35">
        <v>33.405446499999996</v>
      </c>
      <c r="G55" s="14">
        <v>0.47053684321431055</v>
      </c>
      <c r="H55" s="15"/>
      <c r="I55" s="15"/>
    </row>
    <row r="56" spans="1:9" s="1" customFormat="1" ht="18" customHeight="1">
      <c r="A56" s="10">
        <v>48</v>
      </c>
      <c r="B56" s="11" t="s">
        <v>465</v>
      </c>
      <c r="C56" s="11" t="s">
        <v>466</v>
      </c>
      <c r="D56" s="11" t="s">
        <v>467</v>
      </c>
      <c r="E56" s="12">
        <v>766</v>
      </c>
      <c r="F56" s="35">
        <v>32.143863199999998</v>
      </c>
      <c r="G56" s="14">
        <v>0.45276664447040527</v>
      </c>
      <c r="H56" s="15"/>
      <c r="I56" s="15"/>
    </row>
    <row r="57" spans="1:9" s="1" customFormat="1" ht="18" customHeight="1">
      <c r="A57" s="10">
        <v>49</v>
      </c>
      <c r="B57" s="11" t="s">
        <v>468</v>
      </c>
      <c r="C57" s="11" t="s">
        <v>469</v>
      </c>
      <c r="D57" s="11" t="s">
        <v>470</v>
      </c>
      <c r="E57" s="12">
        <v>362</v>
      </c>
      <c r="F57" s="35">
        <v>31.903685899999999</v>
      </c>
      <c r="G57" s="14">
        <v>0.4493835952854846</v>
      </c>
      <c r="H57" s="15"/>
      <c r="I57" s="15"/>
    </row>
    <row r="58" spans="1:9" s="1" customFormat="1" ht="18" customHeight="1">
      <c r="A58" s="10">
        <v>50</v>
      </c>
      <c r="B58" s="11" t="s">
        <v>471</v>
      </c>
      <c r="C58" s="11" t="s">
        <v>472</v>
      </c>
      <c r="D58" s="11" t="s">
        <v>381</v>
      </c>
      <c r="E58" s="12">
        <v>865</v>
      </c>
      <c r="F58" s="35">
        <v>31.882837200000001</v>
      </c>
      <c r="G58" s="14">
        <v>0.44908992815898413</v>
      </c>
      <c r="H58" s="15"/>
      <c r="I58" s="15"/>
    </row>
    <row r="59" spans="1:9" s="1" customFormat="1" ht="18" customHeight="1">
      <c r="A59" s="10">
        <v>51</v>
      </c>
      <c r="B59" s="11" t="s">
        <v>473</v>
      </c>
      <c r="C59" s="11" t="s">
        <v>474</v>
      </c>
      <c r="D59" s="11" t="s">
        <v>475</v>
      </c>
      <c r="E59" s="12">
        <v>597</v>
      </c>
      <c r="F59" s="35">
        <v>31.710190000000001</v>
      </c>
      <c r="G59" s="14">
        <v>0.44665808314599231</v>
      </c>
      <c r="H59" s="15"/>
      <c r="I59" s="15"/>
    </row>
    <row r="60" spans="1:9" s="1" customFormat="1" ht="18" customHeight="1">
      <c r="A60" s="10">
        <v>52</v>
      </c>
      <c r="B60" s="11" t="s">
        <v>476</v>
      </c>
      <c r="C60" s="11" t="s">
        <v>477</v>
      </c>
      <c r="D60" s="11" t="s">
        <v>363</v>
      </c>
      <c r="E60" s="12">
        <v>220</v>
      </c>
      <c r="F60" s="35">
        <v>30.7860671</v>
      </c>
      <c r="G60" s="14">
        <v>0.4336412275829914</v>
      </c>
      <c r="H60" s="15"/>
      <c r="I60" s="15"/>
    </row>
    <row r="61" spans="1:9" s="1" customFormat="1" ht="18" customHeight="1">
      <c r="A61" s="10">
        <v>53</v>
      </c>
      <c r="B61" s="11" t="s">
        <v>478</v>
      </c>
      <c r="C61" s="11" t="s">
        <v>479</v>
      </c>
      <c r="D61" s="11" t="s">
        <v>381</v>
      </c>
      <c r="E61" s="12">
        <v>12055</v>
      </c>
      <c r="F61" s="35">
        <v>30.385623799999998</v>
      </c>
      <c r="G61" s="14">
        <v>0.42800073041830533</v>
      </c>
      <c r="H61" s="15"/>
      <c r="I61" s="15"/>
    </row>
    <row r="62" spans="1:9" s="1" customFormat="1" ht="18" customHeight="1">
      <c r="A62" s="10">
        <v>54</v>
      </c>
      <c r="B62" s="11" t="s">
        <v>480</v>
      </c>
      <c r="C62" s="11" t="s">
        <v>481</v>
      </c>
      <c r="D62" s="11" t="s">
        <v>482</v>
      </c>
      <c r="E62" s="12">
        <v>499</v>
      </c>
      <c r="F62" s="35">
        <v>30.284464900000003</v>
      </c>
      <c r="G62" s="14">
        <v>0.42657584332784154</v>
      </c>
      <c r="H62" s="15"/>
      <c r="I62" s="15"/>
    </row>
    <row r="63" spans="1:9" s="1" customFormat="1" ht="18" customHeight="1">
      <c r="A63" s="10">
        <v>55</v>
      </c>
      <c r="B63" s="11" t="s">
        <v>483</v>
      </c>
      <c r="C63" s="11" t="s">
        <v>484</v>
      </c>
      <c r="D63" s="11" t="s">
        <v>485</v>
      </c>
      <c r="E63" s="12">
        <v>498</v>
      </c>
      <c r="F63" s="35">
        <v>30.094464900000002</v>
      </c>
      <c r="G63" s="14">
        <v>0.4238995731510391</v>
      </c>
      <c r="H63" s="15"/>
      <c r="I63" s="15"/>
    </row>
    <row r="64" spans="1:9" s="1" customFormat="1" ht="18" customHeight="1">
      <c r="A64" s="10">
        <v>56</v>
      </c>
      <c r="B64" s="11" t="s">
        <v>486</v>
      </c>
      <c r="C64" s="11" t="s">
        <v>487</v>
      </c>
      <c r="D64" s="11" t="s">
        <v>381</v>
      </c>
      <c r="E64" s="12">
        <v>242</v>
      </c>
      <c r="F64" s="35">
        <v>28.859151400000002</v>
      </c>
      <c r="G64" s="14">
        <v>0.40649940115603156</v>
      </c>
      <c r="H64" s="15"/>
      <c r="I64" s="15"/>
    </row>
    <row r="65" spans="1:9" s="1" customFormat="1" ht="18" customHeight="1">
      <c r="A65" s="10">
        <v>57</v>
      </c>
      <c r="B65" s="11" t="s">
        <v>488</v>
      </c>
      <c r="C65" s="11" t="s">
        <v>489</v>
      </c>
      <c r="D65" s="11" t="s">
        <v>363</v>
      </c>
      <c r="E65" s="12">
        <v>450</v>
      </c>
      <c r="F65" s="35">
        <v>28.430652299999998</v>
      </c>
      <c r="G65" s="14">
        <v>0.40046372030278587</v>
      </c>
      <c r="H65" s="15"/>
      <c r="I65" s="15"/>
    </row>
    <row r="66" spans="1:9" s="1" customFormat="1" ht="18" customHeight="1">
      <c r="A66" s="10">
        <v>58</v>
      </c>
      <c r="B66" s="11" t="s">
        <v>490</v>
      </c>
      <c r="C66" s="11" t="s">
        <v>491</v>
      </c>
      <c r="D66" s="11" t="s">
        <v>373</v>
      </c>
      <c r="E66" s="12">
        <v>673</v>
      </c>
      <c r="F66" s="35">
        <v>26.775085499999999</v>
      </c>
      <c r="G66" s="14">
        <v>0.3771440147630794</v>
      </c>
      <c r="H66" s="15"/>
      <c r="I66" s="15"/>
    </row>
    <row r="67" spans="1:9" s="1" customFormat="1" ht="18" customHeight="1">
      <c r="A67" s="10">
        <v>59</v>
      </c>
      <c r="B67" s="11" t="s">
        <v>492</v>
      </c>
      <c r="C67" s="11" t="s">
        <v>493</v>
      </c>
      <c r="D67" s="11" t="s">
        <v>357</v>
      </c>
      <c r="E67" s="12">
        <v>709</v>
      </c>
      <c r="F67" s="35">
        <v>26.119398399999998</v>
      </c>
      <c r="G67" s="14">
        <v>0.36790824723126847</v>
      </c>
      <c r="H67" s="15"/>
      <c r="I67" s="15"/>
    </row>
    <row r="68" spans="1:9" s="1" customFormat="1" ht="18" customHeight="1">
      <c r="A68" s="10">
        <v>60</v>
      </c>
      <c r="B68" s="11" t="s">
        <v>494</v>
      </c>
      <c r="C68" s="11" t="s">
        <v>495</v>
      </c>
      <c r="D68" s="11" t="s">
        <v>360</v>
      </c>
      <c r="E68" s="12">
        <v>516</v>
      </c>
      <c r="F68" s="35">
        <v>25.757517400000001</v>
      </c>
      <c r="G68" s="14">
        <v>0.36281092445310309</v>
      </c>
      <c r="H68" s="15"/>
      <c r="I68" s="15"/>
    </row>
    <row r="69" spans="1:9" s="1" customFormat="1" ht="18" customHeight="1">
      <c r="A69" s="10">
        <v>61</v>
      </c>
      <c r="B69" s="11" t="s">
        <v>496</v>
      </c>
      <c r="C69" s="11" t="s">
        <v>497</v>
      </c>
      <c r="D69" s="11" t="s">
        <v>498</v>
      </c>
      <c r="E69" s="12">
        <v>349</v>
      </c>
      <c r="F69" s="35">
        <v>25.245585800000001</v>
      </c>
      <c r="G69" s="14">
        <v>0.35560004406550966</v>
      </c>
      <c r="H69" s="15"/>
      <c r="I69" s="15"/>
    </row>
    <row r="70" spans="1:9" s="1" customFormat="1" ht="18" customHeight="1">
      <c r="A70" s="10">
        <v>62</v>
      </c>
      <c r="B70" s="11" t="s">
        <v>499</v>
      </c>
      <c r="C70" s="11" t="s">
        <v>500</v>
      </c>
      <c r="D70" s="11" t="s">
        <v>408</v>
      </c>
      <c r="E70" s="12">
        <v>79</v>
      </c>
      <c r="F70" s="35">
        <v>24.9923179</v>
      </c>
      <c r="G70" s="14">
        <v>0.35203260549966026</v>
      </c>
      <c r="H70" s="15"/>
      <c r="I70" s="15"/>
    </row>
    <row r="71" spans="1:9" s="1" customFormat="1" ht="18" customHeight="1">
      <c r="A71" s="10">
        <v>63</v>
      </c>
      <c r="B71" s="11" t="s">
        <v>501</v>
      </c>
      <c r="C71" s="11" t="s">
        <v>502</v>
      </c>
      <c r="D71" s="11" t="s">
        <v>14</v>
      </c>
      <c r="E71" s="12">
        <v>670</v>
      </c>
      <c r="F71" s="35">
        <v>24.871469300000001</v>
      </c>
      <c r="G71" s="14">
        <v>0.35033037653077437</v>
      </c>
      <c r="H71" s="15"/>
      <c r="I71" s="15"/>
    </row>
    <row r="72" spans="1:9" s="1" customFormat="1" ht="18" customHeight="1">
      <c r="A72" s="10">
        <v>64</v>
      </c>
      <c r="B72" s="11" t="s">
        <v>503</v>
      </c>
      <c r="C72" s="11" t="s">
        <v>504</v>
      </c>
      <c r="D72" s="11" t="s">
        <v>360</v>
      </c>
      <c r="E72" s="12">
        <v>784</v>
      </c>
      <c r="F72" s="35">
        <v>24.247397100000001</v>
      </c>
      <c r="G72" s="14">
        <v>0.34153992486218759</v>
      </c>
      <c r="H72" s="15"/>
      <c r="I72" s="15"/>
    </row>
    <row r="73" spans="1:9" s="1" customFormat="1" ht="18" customHeight="1">
      <c r="A73" s="10">
        <v>65</v>
      </c>
      <c r="B73" s="11" t="s">
        <v>505</v>
      </c>
      <c r="C73" s="11" t="s">
        <v>506</v>
      </c>
      <c r="D73" s="11" t="s">
        <v>405</v>
      </c>
      <c r="E73" s="12">
        <v>779</v>
      </c>
      <c r="F73" s="35">
        <v>23.784414200000001</v>
      </c>
      <c r="G73" s="14">
        <v>0.33501851787461129</v>
      </c>
      <c r="H73" s="15"/>
      <c r="I73" s="15"/>
    </row>
    <row r="74" spans="1:9" s="1" customFormat="1" ht="18" customHeight="1">
      <c r="A74" s="10">
        <v>66</v>
      </c>
      <c r="B74" s="11" t="s">
        <v>507</v>
      </c>
      <c r="C74" s="11" t="s">
        <v>508</v>
      </c>
      <c r="D74" s="11" t="s">
        <v>360</v>
      </c>
      <c r="E74" s="12">
        <v>1474</v>
      </c>
      <c r="F74" s="35">
        <v>23.2395377</v>
      </c>
      <c r="G74" s="14">
        <v>0.32734358773255612</v>
      </c>
      <c r="H74" s="15"/>
      <c r="I74" s="15"/>
    </row>
    <row r="75" spans="1:9" s="1" customFormat="1" ht="18" customHeight="1">
      <c r="A75" s="10">
        <v>67</v>
      </c>
      <c r="B75" s="11" t="s">
        <v>509</v>
      </c>
      <c r="C75" s="11" t="s">
        <v>510</v>
      </c>
      <c r="D75" s="11" t="s">
        <v>360</v>
      </c>
      <c r="E75" s="12">
        <v>1561</v>
      </c>
      <c r="F75" s="35">
        <v>22.925642800000002</v>
      </c>
      <c r="G75" s="14">
        <v>0.32292217952455415</v>
      </c>
      <c r="H75" s="15"/>
      <c r="I75" s="15"/>
    </row>
    <row r="76" spans="1:9" s="1" customFormat="1" ht="18" customHeight="1">
      <c r="A76" s="10">
        <v>68</v>
      </c>
      <c r="B76" s="11" t="s">
        <v>511</v>
      </c>
      <c r="C76" s="11" t="s">
        <v>512</v>
      </c>
      <c r="D76" s="11" t="s">
        <v>513</v>
      </c>
      <c r="E76" s="12">
        <v>258</v>
      </c>
      <c r="F76" s="35">
        <v>22.690601600000001</v>
      </c>
      <c r="G76" s="14">
        <v>0.31961147555676539</v>
      </c>
      <c r="H76" s="15"/>
      <c r="I76" s="15"/>
    </row>
    <row r="77" spans="1:9" s="1" customFormat="1" ht="18" customHeight="1">
      <c r="A77" s="10">
        <v>69</v>
      </c>
      <c r="B77" s="11" t="s">
        <v>514</v>
      </c>
      <c r="C77" s="11" t="s">
        <v>515</v>
      </c>
      <c r="D77" s="11" t="s">
        <v>363</v>
      </c>
      <c r="E77" s="12">
        <v>444</v>
      </c>
      <c r="F77" s="35">
        <v>21.783837900000002</v>
      </c>
      <c r="G77" s="14">
        <v>0.30683913530562318</v>
      </c>
      <c r="H77" s="15"/>
      <c r="I77" s="15"/>
    </row>
    <row r="78" spans="1:9" s="1" customFormat="1" ht="18" customHeight="1">
      <c r="A78" s="10">
        <v>70</v>
      </c>
      <c r="B78" s="11" t="s">
        <v>516</v>
      </c>
      <c r="C78" s="11" t="s">
        <v>517</v>
      </c>
      <c r="D78" s="11" t="s">
        <v>360</v>
      </c>
      <c r="E78" s="12">
        <v>397</v>
      </c>
      <c r="F78" s="35">
        <v>21.5521469</v>
      </c>
      <c r="G78" s="14">
        <v>0.3035756210238677</v>
      </c>
      <c r="H78" s="15"/>
      <c r="I78" s="15"/>
    </row>
    <row r="79" spans="1:9" s="1" customFormat="1" ht="18" customHeight="1">
      <c r="A79" s="10">
        <v>71</v>
      </c>
      <c r="B79" s="11" t="s">
        <v>518</v>
      </c>
      <c r="C79" s="11" t="s">
        <v>519</v>
      </c>
      <c r="D79" s="11" t="s">
        <v>520</v>
      </c>
      <c r="E79" s="12">
        <v>931</v>
      </c>
      <c r="F79" s="35">
        <v>21.002039300000003</v>
      </c>
      <c r="G79" s="14">
        <v>0.29582700752959223</v>
      </c>
      <c r="H79" s="15"/>
      <c r="I79" s="15"/>
    </row>
    <row r="80" spans="1:9" s="1" customFormat="1" ht="18" customHeight="1">
      <c r="A80" s="10">
        <v>72</v>
      </c>
      <c r="B80" s="11" t="s">
        <v>521</v>
      </c>
      <c r="C80" s="11" t="s">
        <v>522</v>
      </c>
      <c r="D80" s="11" t="s">
        <v>381</v>
      </c>
      <c r="E80" s="12">
        <v>482</v>
      </c>
      <c r="F80" s="35">
        <v>20.922279899999999</v>
      </c>
      <c r="G80" s="14">
        <v>0.29470354593201503</v>
      </c>
      <c r="H80" s="15"/>
      <c r="I80" s="15"/>
    </row>
    <row r="81" spans="1:9" s="1" customFormat="1" ht="18" customHeight="1">
      <c r="A81" s="10">
        <v>73</v>
      </c>
      <c r="B81" s="11" t="s">
        <v>523</v>
      </c>
      <c r="C81" s="11" t="s">
        <v>524</v>
      </c>
      <c r="D81" s="11" t="s">
        <v>525</v>
      </c>
      <c r="E81" s="12">
        <v>279</v>
      </c>
      <c r="F81" s="35">
        <v>20.636105100000002</v>
      </c>
      <c r="G81" s="14">
        <v>0.29067259286573927</v>
      </c>
      <c r="H81" s="15"/>
      <c r="I81" s="15"/>
    </row>
    <row r="82" spans="1:9" s="1" customFormat="1" ht="18" customHeight="1">
      <c r="A82" s="10">
        <v>74</v>
      </c>
      <c r="B82" s="11" t="s">
        <v>526</v>
      </c>
      <c r="C82" s="11" t="s">
        <v>527</v>
      </c>
      <c r="D82" s="11" t="s">
        <v>357</v>
      </c>
      <c r="E82" s="12">
        <v>460</v>
      </c>
      <c r="F82" s="35">
        <v>19.763394599999998</v>
      </c>
      <c r="G82" s="14">
        <v>0.27837991347556906</v>
      </c>
      <c r="H82" s="15"/>
      <c r="I82" s="15"/>
    </row>
    <row r="83" spans="1:9" s="1" customFormat="1" ht="18" customHeight="1">
      <c r="A83" s="10">
        <v>75</v>
      </c>
      <c r="B83" s="11" t="s">
        <v>528</v>
      </c>
      <c r="C83" s="11" t="s">
        <v>529</v>
      </c>
      <c r="D83" s="11" t="s">
        <v>360</v>
      </c>
      <c r="E83" s="12">
        <v>956</v>
      </c>
      <c r="F83" s="35">
        <v>19.489322399999999</v>
      </c>
      <c r="G83" s="14">
        <v>0.27451943318530259</v>
      </c>
      <c r="H83" s="15"/>
      <c r="I83" s="15"/>
    </row>
    <row r="84" spans="1:9" s="1" customFormat="1" ht="18" customHeight="1">
      <c r="A84" s="10">
        <v>76</v>
      </c>
      <c r="B84" s="11" t="s">
        <v>530</v>
      </c>
      <c r="C84" s="11" t="s">
        <v>531</v>
      </c>
      <c r="D84" s="11" t="s">
        <v>360</v>
      </c>
      <c r="E84" s="12">
        <v>491</v>
      </c>
      <c r="F84" s="35">
        <v>18.514338200000001</v>
      </c>
      <c r="G84" s="14">
        <v>0.26078616404154698</v>
      </c>
      <c r="H84" s="15"/>
      <c r="I84" s="15"/>
    </row>
    <row r="85" spans="1:9" s="1" customFormat="1" ht="18" customHeight="1">
      <c r="A85" s="10">
        <v>77</v>
      </c>
      <c r="B85" s="11" t="s">
        <v>532</v>
      </c>
      <c r="C85" s="11" t="s">
        <v>533</v>
      </c>
      <c r="D85" s="11" t="s">
        <v>360</v>
      </c>
      <c r="E85" s="12">
        <v>384</v>
      </c>
      <c r="F85" s="35">
        <v>18.271007000000001</v>
      </c>
      <c r="G85" s="14">
        <v>0.25735869018025465</v>
      </c>
      <c r="H85" s="15"/>
      <c r="I85" s="15"/>
    </row>
    <row r="86" spans="1:9" s="1" customFormat="1" ht="18" customHeight="1">
      <c r="A86" s="10">
        <v>78</v>
      </c>
      <c r="B86" s="11" t="s">
        <v>534</v>
      </c>
      <c r="C86" s="11" t="s">
        <v>535</v>
      </c>
      <c r="D86" s="11" t="s">
        <v>363</v>
      </c>
      <c r="E86" s="12">
        <v>401</v>
      </c>
      <c r="F86" s="35">
        <v>18.023413599999998</v>
      </c>
      <c r="G86" s="14">
        <v>0.25387118053608032</v>
      </c>
      <c r="H86" s="15"/>
      <c r="I86" s="15"/>
    </row>
    <row r="87" spans="1:9" s="1" customFormat="1" ht="18" customHeight="1">
      <c r="A87" s="10">
        <v>79</v>
      </c>
      <c r="B87" s="11" t="s">
        <v>536</v>
      </c>
      <c r="C87" s="11" t="s">
        <v>537</v>
      </c>
      <c r="D87" s="11" t="s">
        <v>381</v>
      </c>
      <c r="E87" s="12">
        <v>543</v>
      </c>
      <c r="F87" s="35">
        <v>17.988809400000001</v>
      </c>
      <c r="G87" s="14">
        <v>0.2533837584915955</v>
      </c>
      <c r="H87" s="15"/>
      <c r="I87" s="15"/>
    </row>
    <row r="88" spans="1:9" s="1" customFormat="1" ht="18" customHeight="1">
      <c r="A88" s="10">
        <v>80</v>
      </c>
      <c r="B88" s="11" t="s">
        <v>538</v>
      </c>
      <c r="C88" s="11" t="s">
        <v>539</v>
      </c>
      <c r="D88" s="11" t="s">
        <v>363</v>
      </c>
      <c r="E88" s="12">
        <v>962</v>
      </c>
      <c r="F88" s="35">
        <v>17.570665000000002</v>
      </c>
      <c r="G88" s="14">
        <v>0.24749393013729584</v>
      </c>
      <c r="H88" s="15"/>
      <c r="I88" s="15"/>
    </row>
    <row r="89" spans="1:9" s="1" customFormat="1" ht="18" customHeight="1">
      <c r="A89" s="10">
        <v>81</v>
      </c>
      <c r="B89" s="11" t="s">
        <v>540</v>
      </c>
      <c r="C89" s="11" t="s">
        <v>541</v>
      </c>
      <c r="D89" s="11" t="s">
        <v>467</v>
      </c>
      <c r="E89" s="12">
        <v>638</v>
      </c>
      <c r="F89" s="35">
        <v>17.400551</v>
      </c>
      <c r="G89" s="14">
        <v>0.24509776684857706</v>
      </c>
      <c r="H89" s="15"/>
      <c r="I89" s="15"/>
    </row>
    <row r="90" spans="1:9" s="1" customFormat="1" ht="18" customHeight="1">
      <c r="A90" s="10">
        <v>82</v>
      </c>
      <c r="B90" s="11" t="s">
        <v>542</v>
      </c>
      <c r="C90" s="11" t="s">
        <v>543</v>
      </c>
      <c r="D90" s="11" t="s">
        <v>544</v>
      </c>
      <c r="E90" s="12">
        <v>448</v>
      </c>
      <c r="F90" s="35">
        <v>16.875896099999999</v>
      </c>
      <c r="G90" s="14">
        <v>0.23770767073287569</v>
      </c>
      <c r="H90" s="15"/>
      <c r="I90" s="15"/>
    </row>
    <row r="91" spans="1:9" s="1" customFormat="1" ht="18" customHeight="1">
      <c r="A91" s="10">
        <v>83</v>
      </c>
      <c r="B91" s="11" t="s">
        <v>545</v>
      </c>
      <c r="C91" s="11" t="s">
        <v>546</v>
      </c>
      <c r="D91" s="11" t="s">
        <v>373</v>
      </c>
      <c r="E91" s="12">
        <v>650</v>
      </c>
      <c r="F91" s="35">
        <v>16.762507899999999</v>
      </c>
      <c r="G91" s="14">
        <v>0.23611052621676354</v>
      </c>
      <c r="H91" s="15"/>
      <c r="I91" s="15"/>
    </row>
    <row r="92" spans="1:9" s="1" customFormat="1" ht="18" customHeight="1">
      <c r="A92" s="10">
        <v>84</v>
      </c>
      <c r="B92" s="11" t="s">
        <v>547</v>
      </c>
      <c r="C92" s="11" t="s">
        <v>548</v>
      </c>
      <c r="D92" s="11" t="s">
        <v>373</v>
      </c>
      <c r="E92" s="12">
        <v>344</v>
      </c>
      <c r="F92" s="35">
        <v>16.640101299999998</v>
      </c>
      <c r="G92" s="14">
        <v>0.23438635183242784</v>
      </c>
      <c r="H92" s="15"/>
      <c r="I92" s="15"/>
    </row>
    <row r="93" spans="1:9" s="1" customFormat="1" ht="18" customHeight="1">
      <c r="A93" s="10">
        <v>85</v>
      </c>
      <c r="B93" s="11" t="s">
        <v>549</v>
      </c>
      <c r="C93" s="11" t="s">
        <v>550</v>
      </c>
      <c r="D93" s="11" t="s">
        <v>551</v>
      </c>
      <c r="E93" s="12">
        <v>341</v>
      </c>
      <c r="F93" s="35">
        <v>16.596485099999999</v>
      </c>
      <c r="G93" s="14">
        <v>0.23377199006776758</v>
      </c>
      <c r="H93" s="15"/>
      <c r="I93" s="15"/>
    </row>
    <row r="94" spans="1:9" s="1" customFormat="1" ht="18" customHeight="1">
      <c r="A94" s="10">
        <v>86</v>
      </c>
      <c r="B94" s="11" t="s">
        <v>552</v>
      </c>
      <c r="C94" s="11" t="s">
        <v>553</v>
      </c>
      <c r="D94" s="11" t="s">
        <v>554</v>
      </c>
      <c r="E94" s="12">
        <v>294</v>
      </c>
      <c r="F94" s="35">
        <v>16.468841000000001</v>
      </c>
      <c r="G94" s="14">
        <v>0.23197404218316345</v>
      </c>
      <c r="H94" s="15"/>
      <c r="I94" s="15"/>
    </row>
    <row r="95" spans="1:9" s="1" customFormat="1" ht="18" customHeight="1">
      <c r="A95" s="10">
        <v>87</v>
      </c>
      <c r="B95" s="11" t="s">
        <v>555</v>
      </c>
      <c r="C95" s="11" t="s">
        <v>556</v>
      </c>
      <c r="D95" s="11" t="s">
        <v>373</v>
      </c>
      <c r="E95" s="12">
        <v>1174</v>
      </c>
      <c r="F95" s="35">
        <v>16.461279300000001</v>
      </c>
      <c r="G95" s="14">
        <v>0.23186753085581649</v>
      </c>
      <c r="H95" s="15"/>
      <c r="I95" s="15"/>
    </row>
    <row r="96" spans="1:9" s="1" customFormat="1" ht="18" customHeight="1">
      <c r="A96" s="10">
        <v>88</v>
      </c>
      <c r="B96" s="11" t="s">
        <v>557</v>
      </c>
      <c r="C96" s="11" t="s">
        <v>558</v>
      </c>
      <c r="D96" s="11" t="s">
        <v>408</v>
      </c>
      <c r="E96" s="12">
        <v>181</v>
      </c>
      <c r="F96" s="35">
        <v>15.950696600000002</v>
      </c>
      <c r="G96" s="14">
        <v>0.22467565057791511</v>
      </c>
      <c r="H96" s="15"/>
      <c r="I96" s="15"/>
    </row>
    <row r="97" spans="1:9" s="1" customFormat="1" ht="18" customHeight="1">
      <c r="A97" s="10">
        <v>89</v>
      </c>
      <c r="B97" s="11" t="s">
        <v>559</v>
      </c>
      <c r="C97" s="11" t="s">
        <v>560</v>
      </c>
      <c r="D97" s="11" t="s">
        <v>357</v>
      </c>
      <c r="E97" s="12">
        <v>673</v>
      </c>
      <c r="F97" s="35">
        <v>15.684863799999999</v>
      </c>
      <c r="G97" s="14">
        <v>0.22093122744814725</v>
      </c>
      <c r="H97" s="15"/>
      <c r="I97" s="15"/>
    </row>
    <row r="98" spans="1:9" s="1" customFormat="1" ht="18" customHeight="1">
      <c r="A98" s="10">
        <v>90</v>
      </c>
      <c r="B98" s="11" t="s">
        <v>561</v>
      </c>
      <c r="C98" s="11" t="s">
        <v>562</v>
      </c>
      <c r="D98" s="11" t="s">
        <v>563</v>
      </c>
      <c r="E98" s="12">
        <v>183</v>
      </c>
      <c r="F98" s="35">
        <v>15.537618700000001</v>
      </c>
      <c r="G98" s="14">
        <v>0.21885718708072469</v>
      </c>
      <c r="H98" s="15"/>
      <c r="I98" s="15"/>
    </row>
    <row r="99" spans="1:9" s="1" customFormat="1" ht="18" customHeight="1">
      <c r="A99" s="10">
        <v>91</v>
      </c>
      <c r="B99" s="11" t="s">
        <v>564</v>
      </c>
      <c r="C99" s="11" t="s">
        <v>565</v>
      </c>
      <c r="D99" s="11" t="s">
        <v>373</v>
      </c>
      <c r="E99" s="12">
        <v>565</v>
      </c>
      <c r="F99" s="35">
        <v>15.5079797</v>
      </c>
      <c r="G99" s="14">
        <v>0.21843970301877602</v>
      </c>
      <c r="H99" s="15"/>
      <c r="I99" s="15"/>
    </row>
    <row r="100" spans="1:9" s="1" customFormat="1" ht="18" customHeight="1">
      <c r="A100" s="10">
        <v>92</v>
      </c>
      <c r="B100" s="11" t="s">
        <v>566</v>
      </c>
      <c r="C100" s="11" t="s">
        <v>567</v>
      </c>
      <c r="D100" s="11" t="s">
        <v>373</v>
      </c>
      <c r="E100" s="12">
        <v>517</v>
      </c>
      <c r="F100" s="35">
        <v>15.130190000000001</v>
      </c>
      <c r="G100" s="14">
        <v>0.21311829613870686</v>
      </c>
      <c r="H100" s="15"/>
      <c r="I100" s="15"/>
    </row>
    <row r="101" spans="1:9" s="1" customFormat="1" ht="18" customHeight="1">
      <c r="A101" s="10">
        <v>93</v>
      </c>
      <c r="B101" s="11" t="s">
        <v>568</v>
      </c>
      <c r="C101" s="11" t="s">
        <v>569</v>
      </c>
      <c r="D101" s="11" t="s">
        <v>395</v>
      </c>
      <c r="E101" s="12">
        <v>219</v>
      </c>
      <c r="F101" s="35">
        <v>15.085896099999999</v>
      </c>
      <c r="G101" s="14">
        <v>0.21249438854089492</v>
      </c>
      <c r="H101" s="15"/>
      <c r="I101" s="15"/>
    </row>
    <row r="102" spans="1:9" s="1" customFormat="1" ht="18" customHeight="1">
      <c r="A102" s="10">
        <v>94</v>
      </c>
      <c r="B102" s="11" t="s">
        <v>570</v>
      </c>
      <c r="C102" s="11" t="s">
        <v>571</v>
      </c>
      <c r="D102" s="11" t="s">
        <v>360</v>
      </c>
      <c r="E102" s="12">
        <v>345</v>
      </c>
      <c r="F102" s="35">
        <v>14.971121</v>
      </c>
      <c r="G102" s="14">
        <v>0.21087770866105537</v>
      </c>
      <c r="H102" s="15"/>
      <c r="I102" s="15"/>
    </row>
    <row r="103" spans="1:9" s="1" customFormat="1" ht="18" customHeight="1">
      <c r="A103" s="10">
        <v>95</v>
      </c>
      <c r="B103" s="11" t="s">
        <v>572</v>
      </c>
      <c r="C103" s="11" t="s">
        <v>573</v>
      </c>
      <c r="D103" s="11" t="s">
        <v>574</v>
      </c>
      <c r="E103" s="12">
        <v>281</v>
      </c>
      <c r="F103" s="35">
        <v>14.539391999999999</v>
      </c>
      <c r="G103" s="14">
        <v>0.20479653262336731</v>
      </c>
      <c r="H103" s="15"/>
      <c r="I103" s="15"/>
    </row>
    <row r="104" spans="1:9" s="1" customFormat="1" ht="18" customHeight="1">
      <c r="A104" s="10">
        <v>96</v>
      </c>
      <c r="B104" s="11" t="s">
        <v>575</v>
      </c>
      <c r="C104" s="11" t="s">
        <v>576</v>
      </c>
      <c r="D104" s="11" t="s">
        <v>363</v>
      </c>
      <c r="E104" s="12">
        <v>1383</v>
      </c>
      <c r="F104" s="35">
        <v>14.005174199999999</v>
      </c>
      <c r="G104" s="14">
        <v>0.19727173701254097</v>
      </c>
      <c r="H104" s="15"/>
      <c r="I104" s="15"/>
    </row>
    <row r="105" spans="1:9" s="1" customFormat="1" ht="18" customHeight="1">
      <c r="A105" s="10">
        <v>97</v>
      </c>
      <c r="B105" s="11" t="s">
        <v>577</v>
      </c>
      <c r="C105" s="11" t="s">
        <v>578</v>
      </c>
      <c r="D105" s="11" t="s">
        <v>525</v>
      </c>
      <c r="E105" s="12">
        <v>3794</v>
      </c>
      <c r="F105" s="35">
        <v>13.7439392</v>
      </c>
      <c r="G105" s="14">
        <v>0.19359207680392526</v>
      </c>
      <c r="H105" s="15"/>
      <c r="I105" s="15"/>
    </row>
    <row r="106" spans="1:9" s="1" customFormat="1" ht="18" customHeight="1">
      <c r="A106" s="10">
        <v>98</v>
      </c>
      <c r="B106" s="11" t="s">
        <v>579</v>
      </c>
      <c r="C106" s="11" t="s">
        <v>580</v>
      </c>
      <c r="D106" s="11" t="s">
        <v>373</v>
      </c>
      <c r="E106" s="12">
        <v>351</v>
      </c>
      <c r="F106" s="35">
        <v>13.173058900000001</v>
      </c>
      <c r="G106" s="14">
        <v>0.18555086669121992</v>
      </c>
      <c r="H106" s="15"/>
      <c r="I106" s="15"/>
    </row>
    <row r="107" spans="1:9" s="1" customFormat="1" ht="18" customHeight="1">
      <c r="A107" s="10">
        <v>99</v>
      </c>
      <c r="B107" s="11" t="s">
        <v>581</v>
      </c>
      <c r="C107" s="11" t="s">
        <v>582</v>
      </c>
      <c r="D107" s="11" t="s">
        <v>583</v>
      </c>
      <c r="E107" s="12">
        <v>731</v>
      </c>
      <c r="F107" s="35">
        <v>13.161703599999999</v>
      </c>
      <c r="G107" s="14">
        <v>0.1853909201083849</v>
      </c>
      <c r="H107" s="15"/>
      <c r="I107" s="15"/>
    </row>
    <row r="108" spans="1:9" s="1" customFormat="1" ht="18" customHeight="1">
      <c r="A108" s="10">
        <v>100</v>
      </c>
      <c r="B108" s="11" t="s">
        <v>584</v>
      </c>
      <c r="C108" s="11" t="s">
        <v>585</v>
      </c>
      <c r="D108" s="11" t="s">
        <v>164</v>
      </c>
      <c r="E108" s="12">
        <v>316</v>
      </c>
      <c r="F108" s="35">
        <v>12.953198200000001</v>
      </c>
      <c r="G108" s="14">
        <v>0.18245398966774146</v>
      </c>
      <c r="H108" s="15"/>
      <c r="I108" s="15"/>
    </row>
    <row r="109" spans="1:9" s="1" customFormat="1" ht="18" customHeight="1">
      <c r="A109" s="10">
        <v>101</v>
      </c>
      <c r="B109" s="11" t="s">
        <v>586</v>
      </c>
      <c r="C109" s="11" t="s">
        <v>587</v>
      </c>
      <c r="D109" s="11" t="s">
        <v>381</v>
      </c>
      <c r="E109" s="12">
        <v>493</v>
      </c>
      <c r="F109" s="35">
        <v>12.123616200000001</v>
      </c>
      <c r="G109" s="14">
        <v>0.17076880247925666</v>
      </c>
      <c r="H109" s="15"/>
      <c r="I109" s="15"/>
    </row>
    <row r="110" spans="1:9" s="1" customFormat="1" ht="18" customHeight="1">
      <c r="A110" s="10">
        <v>102</v>
      </c>
      <c r="B110" s="11" t="s">
        <v>588</v>
      </c>
      <c r="C110" s="11" t="s">
        <v>589</v>
      </c>
      <c r="D110" s="11" t="s">
        <v>164</v>
      </c>
      <c r="E110" s="12">
        <v>414</v>
      </c>
      <c r="F110" s="35">
        <v>12.105370500000001</v>
      </c>
      <c r="G110" s="14">
        <v>0.17051180025417834</v>
      </c>
      <c r="H110" s="15"/>
      <c r="I110" s="15"/>
    </row>
    <row r="111" spans="1:9" s="1" customFormat="1" ht="18" customHeight="1">
      <c r="A111" s="10">
        <v>103</v>
      </c>
      <c r="B111" s="11" t="s">
        <v>590</v>
      </c>
      <c r="C111" s="11" t="s">
        <v>591</v>
      </c>
      <c r="D111" s="11" t="s">
        <v>583</v>
      </c>
      <c r="E111" s="12">
        <v>414</v>
      </c>
      <c r="F111" s="35">
        <v>11.940189999999999</v>
      </c>
      <c r="G111" s="14">
        <v>0.16818512843344507</v>
      </c>
      <c r="H111" s="15"/>
      <c r="I111" s="15"/>
    </row>
    <row r="112" spans="1:9" s="1" customFormat="1" ht="18" customHeight="1">
      <c r="A112" s="10">
        <v>104</v>
      </c>
      <c r="B112" s="11" t="s">
        <v>592</v>
      </c>
      <c r="C112" s="11" t="s">
        <v>593</v>
      </c>
      <c r="D112" s="11" t="s">
        <v>381</v>
      </c>
      <c r="E112" s="12">
        <v>614</v>
      </c>
      <c r="F112" s="35">
        <v>11.731716299999999</v>
      </c>
      <c r="G112" s="14">
        <v>0.16524864450735213</v>
      </c>
      <c r="H112" s="15"/>
      <c r="I112" s="15"/>
    </row>
    <row r="113" spans="1:9" s="1" customFormat="1" ht="18" customHeight="1">
      <c r="A113" s="10">
        <v>105</v>
      </c>
      <c r="B113" s="11" t="s">
        <v>594</v>
      </c>
      <c r="C113" s="11" t="s">
        <v>595</v>
      </c>
      <c r="D113" s="11" t="s">
        <v>596</v>
      </c>
      <c r="E113" s="12">
        <v>291</v>
      </c>
      <c r="F113" s="35">
        <v>7.8122166000000002</v>
      </c>
      <c r="G113" s="14">
        <v>0.11004001211210976</v>
      </c>
      <c r="H113" s="15"/>
      <c r="I113" s="15"/>
    </row>
    <row r="114" spans="1:9" s="1" customFormat="1" ht="18" customHeight="1">
      <c r="A114" s="10">
        <v>106</v>
      </c>
      <c r="B114" s="11" t="s">
        <v>597</v>
      </c>
      <c r="C114" s="11" t="s">
        <v>598</v>
      </c>
      <c r="D114" s="11" t="s">
        <v>381</v>
      </c>
      <c r="E114" s="12">
        <v>321</v>
      </c>
      <c r="F114" s="35">
        <v>6.5440089000000006</v>
      </c>
      <c r="G114" s="14">
        <v>9.2176504504208695E-2</v>
      </c>
      <c r="H114" s="15"/>
      <c r="I114" s="15"/>
    </row>
    <row r="115" spans="1:9" s="1" customFormat="1" ht="18" customHeight="1">
      <c r="A115" s="10">
        <v>107</v>
      </c>
      <c r="B115" s="11" t="s">
        <v>599</v>
      </c>
      <c r="C115" s="11" t="s">
        <v>600</v>
      </c>
      <c r="D115" s="11" t="s">
        <v>381</v>
      </c>
      <c r="E115" s="12">
        <v>226</v>
      </c>
      <c r="F115" s="35">
        <v>5.6049145000000005</v>
      </c>
      <c r="G115" s="14">
        <v>7.8948765894092041E-2</v>
      </c>
      <c r="H115" s="15"/>
      <c r="I115" s="15"/>
    </row>
    <row r="116" spans="1:9" s="1" customFormat="1" ht="18" customHeight="1">
      <c r="A116" s="16"/>
      <c r="B116" s="17" t="s">
        <v>132</v>
      </c>
      <c r="C116" s="18"/>
      <c r="D116" s="18"/>
      <c r="E116" s="19"/>
      <c r="F116" s="36">
        <v>7066.1939392999966</v>
      </c>
      <c r="G116" s="21">
        <v>99.531811069740229</v>
      </c>
      <c r="H116" s="22" t="s">
        <v>15</v>
      </c>
      <c r="I116" s="22"/>
    </row>
    <row r="117" spans="1:9" s="1" customFormat="1" ht="18" customHeight="1">
      <c r="A117" s="16"/>
      <c r="B117" s="24"/>
      <c r="C117" s="16"/>
      <c r="D117" s="16"/>
      <c r="E117" s="25"/>
      <c r="F117" s="16"/>
      <c r="G117" s="16"/>
      <c r="H117" s="22"/>
      <c r="I117" s="22"/>
    </row>
    <row r="118" spans="1:9" s="1" customFormat="1" ht="18" customHeight="1">
      <c r="A118" s="16"/>
      <c r="B118" s="24" t="s">
        <v>138</v>
      </c>
      <c r="C118" s="16"/>
      <c r="D118" s="16"/>
      <c r="E118" s="25"/>
      <c r="F118" s="16"/>
      <c r="G118" s="16"/>
      <c r="H118" s="22"/>
      <c r="I118" s="22"/>
    </row>
    <row r="119" spans="1:9" s="1" customFormat="1" ht="18" customHeight="1">
      <c r="A119" s="16"/>
      <c r="B119" s="24" t="s">
        <v>139</v>
      </c>
      <c r="C119" s="16"/>
      <c r="D119" s="16"/>
      <c r="E119" s="25"/>
      <c r="F119" s="37">
        <v>33.238758000003145</v>
      </c>
      <c r="G119" s="27">
        <v>0.46818893025979735</v>
      </c>
      <c r="H119" s="22"/>
      <c r="I119" s="22"/>
    </row>
    <row r="120" spans="1:9" s="1" customFormat="1" ht="18" customHeight="1">
      <c r="A120" s="16"/>
      <c r="B120" s="28" t="s">
        <v>132</v>
      </c>
      <c r="C120" s="18"/>
      <c r="D120" s="18"/>
      <c r="E120" s="19"/>
      <c r="F120" s="36">
        <v>33.238758000003145</v>
      </c>
      <c r="G120" s="21">
        <v>0.46818893025979735</v>
      </c>
      <c r="H120" s="22"/>
      <c r="I120" s="22"/>
    </row>
    <row r="121" spans="1:9" s="1" customFormat="1" ht="18" customHeight="1">
      <c r="A121" s="16"/>
      <c r="B121" s="29" t="s">
        <v>140</v>
      </c>
      <c r="C121" s="30"/>
      <c r="D121" s="30"/>
      <c r="E121" s="31"/>
      <c r="F121" s="38">
        <v>7099.4326972999997</v>
      </c>
      <c r="G121" s="33">
        <v>100.00000000000004</v>
      </c>
      <c r="H121" s="22"/>
      <c r="I121" s="22"/>
    </row>
    <row r="122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17.570312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15.855468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1" t="s">
        <v>601</v>
      </c>
      <c r="C1" s="41"/>
      <c r="D1" s="41"/>
      <c r="E1" s="41"/>
      <c r="F1" s="41"/>
      <c r="G1" s="41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141</v>
      </c>
      <c r="K4" s="34" t="s">
        <v>142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605</v>
      </c>
      <c r="K5" s="14">
        <v>93.572334042791383</v>
      </c>
    </row>
    <row r="6" spans="1:11" s="1" customFormat="1" ht="18" customHeight="1">
      <c r="A6" s="8"/>
      <c r="B6" s="9"/>
      <c r="C6" s="8"/>
      <c r="D6" s="8"/>
      <c r="E6" s="8"/>
      <c r="F6" s="8"/>
      <c r="G6" s="8"/>
      <c r="H6" s="7"/>
      <c r="I6" s="7"/>
      <c r="J6" s="11" t="s">
        <v>143</v>
      </c>
      <c r="K6" s="14">
        <v>6.4276659572086174</v>
      </c>
    </row>
    <row r="7" spans="1:11" s="1" customFormat="1" ht="20.25" customHeight="1">
      <c r="A7" s="8"/>
      <c r="B7" s="9" t="s">
        <v>602</v>
      </c>
      <c r="C7" s="8"/>
      <c r="D7" s="8"/>
      <c r="E7" s="8"/>
      <c r="F7" s="8"/>
      <c r="G7" s="8"/>
      <c r="H7" s="7"/>
      <c r="I7" s="7"/>
    </row>
    <row r="8" spans="1:11" s="1" customFormat="1" ht="18" customHeight="1">
      <c r="A8" s="10">
        <v>1</v>
      </c>
      <c r="B8" s="11" t="s">
        <v>603</v>
      </c>
      <c r="C8" s="11" t="s">
        <v>604</v>
      </c>
      <c r="D8" s="11" t="s">
        <v>605</v>
      </c>
      <c r="E8" s="12">
        <v>160000000</v>
      </c>
      <c r="F8" s="35">
        <v>1655.7248</v>
      </c>
      <c r="G8" s="14">
        <v>93.572334042791383</v>
      </c>
      <c r="H8" s="15" t="s">
        <v>15</v>
      </c>
      <c r="I8" s="15" t="s">
        <v>606</v>
      </c>
    </row>
    <row r="9" spans="1:11" s="1" customFormat="1" ht="18" customHeight="1">
      <c r="A9" s="16"/>
      <c r="B9" s="28" t="s">
        <v>132</v>
      </c>
      <c r="C9" s="18"/>
      <c r="D9" s="18"/>
      <c r="E9" s="19"/>
      <c r="F9" s="36">
        <v>1655.7248</v>
      </c>
      <c r="G9" s="21">
        <v>93.572334042791383</v>
      </c>
      <c r="H9" s="22" t="s">
        <v>15</v>
      </c>
      <c r="I9" s="22"/>
    </row>
    <row r="10" spans="1:11" s="1" customFormat="1" ht="18" customHeight="1">
      <c r="A10" s="8"/>
      <c r="B10" s="9"/>
      <c r="C10" s="8"/>
      <c r="D10" s="8"/>
      <c r="E10" s="8"/>
      <c r="F10" s="8"/>
      <c r="G10" s="8"/>
      <c r="H10" s="7"/>
      <c r="I10" s="7"/>
    </row>
    <row r="11" spans="1:11" s="1" customFormat="1" ht="18" customHeight="1">
      <c r="A11" s="8"/>
      <c r="B11" s="9"/>
      <c r="C11" s="8"/>
      <c r="D11" s="8"/>
      <c r="E11" s="8"/>
      <c r="F11" s="8"/>
      <c r="G11" s="8"/>
      <c r="H11" s="7"/>
      <c r="I11" s="7"/>
    </row>
    <row r="12" spans="1:11" s="1" customFormat="1" ht="18" customHeight="1">
      <c r="A12" s="8"/>
      <c r="B12" s="9"/>
      <c r="C12" s="8"/>
      <c r="D12" s="8"/>
      <c r="E12" s="8"/>
      <c r="F12" s="8"/>
      <c r="G12" s="8"/>
      <c r="H12" s="7"/>
      <c r="I12" s="7"/>
    </row>
    <row r="13" spans="1:11" s="1" customFormat="1" ht="18" customHeight="1">
      <c r="A13" s="23">
        <v>2</v>
      </c>
      <c r="B13" s="4" t="s">
        <v>133</v>
      </c>
      <c r="C13" s="11"/>
      <c r="D13" s="11"/>
      <c r="E13" s="12"/>
      <c r="F13" s="35">
        <v>9.9889846999999996</v>
      </c>
      <c r="G13" s="14">
        <v>0.56452172069702167</v>
      </c>
      <c r="H13" s="15"/>
      <c r="I13" s="15" t="s">
        <v>134</v>
      </c>
    </row>
    <row r="14" spans="1:11" s="1" customFormat="1" ht="18" customHeight="1">
      <c r="A14" s="16"/>
      <c r="B14" s="28" t="s">
        <v>132</v>
      </c>
      <c r="C14" s="18"/>
      <c r="D14" s="18"/>
      <c r="E14" s="19"/>
      <c r="F14" s="36">
        <v>9.9889846999999996</v>
      </c>
      <c r="G14" s="21">
        <v>0.56452172069702167</v>
      </c>
      <c r="H14" s="22"/>
      <c r="I14" s="22"/>
    </row>
    <row r="15" spans="1:11" s="1" customFormat="1" ht="18" customHeight="1">
      <c r="A15" s="16"/>
      <c r="B15" s="24"/>
      <c r="C15" s="16"/>
      <c r="D15" s="16"/>
      <c r="E15" s="25"/>
      <c r="F15" s="16"/>
      <c r="G15" s="16"/>
      <c r="H15" s="22"/>
      <c r="I15" s="22"/>
    </row>
    <row r="16" spans="1:11" s="1" customFormat="1" ht="18" customHeight="1">
      <c r="A16" s="16"/>
      <c r="B16" s="24" t="s">
        <v>138</v>
      </c>
      <c r="C16" s="16"/>
      <c r="D16" s="16"/>
      <c r="E16" s="25"/>
      <c r="F16" s="16"/>
      <c r="G16" s="16"/>
      <c r="H16" s="22"/>
      <c r="I16" s="22"/>
    </row>
    <row r="17" spans="1:9" s="1" customFormat="1" ht="18" customHeight="1">
      <c r="A17" s="16"/>
      <c r="B17" s="24" t="s">
        <v>139</v>
      </c>
      <c r="C17" s="16"/>
      <c r="D17" s="16"/>
      <c r="E17" s="25"/>
      <c r="F17" s="37">
        <v>103.7459781</v>
      </c>
      <c r="G17" s="27">
        <v>5.8631442365115989</v>
      </c>
      <c r="H17" s="22"/>
      <c r="I17" s="22"/>
    </row>
    <row r="18" spans="1:9" s="1" customFormat="1" ht="18" customHeight="1">
      <c r="A18" s="16"/>
      <c r="B18" s="28" t="s">
        <v>132</v>
      </c>
      <c r="C18" s="18"/>
      <c r="D18" s="18"/>
      <c r="E18" s="19"/>
      <c r="F18" s="36">
        <v>103.7459781</v>
      </c>
      <c r="G18" s="21">
        <v>5.8631442365115989</v>
      </c>
      <c r="H18" s="22"/>
      <c r="I18" s="22"/>
    </row>
    <row r="19" spans="1:9" s="1" customFormat="1" ht="18" customHeight="1">
      <c r="A19" s="16"/>
      <c r="B19" s="29" t="s">
        <v>140</v>
      </c>
      <c r="C19" s="30"/>
      <c r="D19" s="30"/>
      <c r="E19" s="31"/>
      <c r="F19" s="38">
        <v>1769.4597627999999</v>
      </c>
      <c r="G19" s="33">
        <v>100</v>
      </c>
      <c r="H19" s="22"/>
      <c r="I19" s="22"/>
    </row>
    <row r="2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Focused 25</vt:lpstr>
      <vt:lpstr>Focused 30</vt:lpstr>
      <vt:lpstr>Focused 35</vt:lpstr>
      <vt:lpstr>Long Term Fund</vt:lpstr>
      <vt:lpstr>USTBF</vt:lpstr>
      <vt:lpstr>M50</vt:lpstr>
      <vt:lpstr>MCAP100</vt:lpstr>
      <vt:lpstr>N100</vt:lpstr>
      <vt:lpstr>Gilt Scheme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Amit13 [ICG-OPS]</dc:creator>
  <cp:lastModifiedBy>wasimshaikh</cp:lastModifiedBy>
  <dcterms:created xsi:type="dcterms:W3CDTF">2015-05-02T10:39:53Z</dcterms:created>
  <dcterms:modified xsi:type="dcterms:W3CDTF">2015-05-07T04:33:44Z</dcterms:modified>
</cp:coreProperties>
</file>