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2" l="1"/>
  <c r="A18" i="2" s="1"/>
  <c r="A19" i="2" s="1"/>
  <c r="A20" i="2" s="1"/>
  <c r="A21" i="2" s="1"/>
  <c r="A22" i="2" s="1"/>
  <c r="A23" i="2" s="1"/>
  <c r="A24" i="2" s="1"/>
  <c r="A17" i="1"/>
  <c r="A18" i="1" s="1"/>
  <c r="A19" i="1" s="1"/>
  <c r="A20" i="1" s="1"/>
  <c r="A21" i="1" s="1"/>
  <c r="A22" i="1" s="1"/>
  <c r="A26" i="1" s="1"/>
  <c r="A27" i="1" s="1"/>
</calcChain>
</file>

<file path=xl/sharedStrings.xml><?xml version="1.0" encoding="utf-8"?>
<sst xmlns="http://schemas.openxmlformats.org/spreadsheetml/2006/main" count="560" uniqueCount="235">
  <si>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</si>
  <si>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</si>
  <si>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</t>
  </si>
  <si>
    <t xml:space="preserve"> ● CIN: U67120MH2008PLC188186  ● Email: amc@motilaloswal.com  ● Visit us at www.motilaloswalmf.com</t>
  </si>
  <si>
    <t>Motilal Oswal Ultra Short Term Fund</t>
  </si>
  <si>
    <t>(An open ended ultra-short term debt scheme investing in instruments such that the Macaulay duration of the portfolio is between 3 months and 6 months)</t>
  </si>
  <si>
    <t>Sr. No.</t>
  </si>
  <si>
    <t>Name of the Instrument</t>
  </si>
  <si>
    <t>ISIN Code</t>
  </si>
  <si>
    <t>Industry Classification* / Rating</t>
  </si>
  <si>
    <t>Quantity</t>
  </si>
  <si>
    <t>Market Value 
(Rs. in Lakhs)</t>
  </si>
  <si>
    <t xml:space="preserve">% to NAV </t>
  </si>
  <si>
    <t>Money Market Instruments</t>
  </si>
  <si>
    <t>(a)</t>
  </si>
  <si>
    <t>364 Days Tbill (MD 30/07/2026)</t>
  </si>
  <si>
    <t>IN002025Z187</t>
  </si>
  <si>
    <t>SOVEREIGN</t>
  </si>
  <si>
    <t>364 Days Tbill (MD 10/09/2026)</t>
  </si>
  <si>
    <t>IN002025Z245</t>
  </si>
  <si>
    <t>Sub Total</t>
  </si>
  <si>
    <t>(b)</t>
  </si>
  <si>
    <t>Certificate of Deposit</t>
  </si>
  <si>
    <t>CRISIL A1+</t>
  </si>
  <si>
    <t>FITCH A1+</t>
  </si>
  <si>
    <t>INE562A16PB5</t>
  </si>
  <si>
    <t>INE692A16JQ1</t>
  </si>
  <si>
    <t>ICRA A1+</t>
  </si>
  <si>
    <t>INE238AD6BD9</t>
  </si>
  <si>
    <t>INE040A16HN4</t>
  </si>
  <si>
    <t>(c)</t>
  </si>
  <si>
    <t>Commercial Paper</t>
  </si>
  <si>
    <t>INE976I14PZ4</t>
  </si>
  <si>
    <t>INE660A14YR0</t>
  </si>
  <si>
    <t>INE296A14D21</t>
  </si>
  <si>
    <t>Total</t>
  </si>
  <si>
    <t>(d)</t>
  </si>
  <si>
    <t>Net Receivables / (Payables)</t>
  </si>
  <si>
    <t>GRAND TOTAL</t>
  </si>
  <si>
    <t>*  Industry Classification is as recommended by AMFI</t>
  </si>
  <si>
    <t>#  Unlisted Security</t>
  </si>
  <si>
    <t>$ Less than 0.005%</t>
  </si>
  <si>
    <t>NOTES :</t>
  </si>
  <si>
    <t xml:space="preserve">1 Details of security in default beyond its maturity date </t>
  </si>
  <si>
    <t>Nil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</si>
  <si>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</si>
  <si>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</si>
  <si>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</si>
  <si>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</si>
  <si>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</si>
  <si>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</si>
  <si>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</si>
  <si>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</si>
  <si>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</si>
  <si>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</si>
  <si>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</si>
  <si>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</si>
  <si>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>6.   Average Portfolio Maturity</t>
  </si>
  <si>
    <t>(Rs. per unit)</t>
  </si>
  <si>
    <t>Option Name</t>
  </si>
  <si>
    <t>Individual &amp; HUF</t>
  </si>
  <si>
    <t>Others</t>
  </si>
  <si>
    <t>YO06-ZF</t>
  </si>
  <si>
    <t>Direct Fortnightly IDCW</t>
  </si>
  <si>
    <t>YO06-ZM</t>
  </si>
  <si>
    <t>Direct Monthly IDCW</t>
  </si>
  <si>
    <t>YO06-ZQ</t>
  </si>
  <si>
    <t>Direct Quarterly IDCW</t>
  </si>
  <si>
    <t>YO06-ZW</t>
  </si>
  <si>
    <t>Direct Weekly IDCW</t>
  </si>
  <si>
    <t>YO06-ZD</t>
  </si>
  <si>
    <t>Direct-IDCW Option-Daily</t>
  </si>
  <si>
    <t>YO06-RDD</t>
  </si>
  <si>
    <t>Regular Daily IDCW</t>
  </si>
  <si>
    <t>YO06-RFD</t>
  </si>
  <si>
    <t>Regular Fortnightly IDCW</t>
  </si>
  <si>
    <t>YO06-RM</t>
  </si>
  <si>
    <t>Regular Monthly IDCW</t>
  </si>
  <si>
    <t>YO06-RQD</t>
  </si>
  <si>
    <t>Regular Quarterly IDCW</t>
  </si>
  <si>
    <t>YO06-RW</t>
  </si>
  <si>
    <t>Regular Weekly IDCW</t>
  </si>
  <si>
    <t>SCHEME RISK-O-METER</t>
  </si>
  <si>
    <t>BENCHMARK RISK-O-METER</t>
  </si>
  <si>
    <t>YO15</t>
  </si>
  <si>
    <t>Motilal Oswal Liquid Fund</t>
  </si>
  <si>
    <t>(An open ended liquid fund)</t>
  </si>
  <si>
    <t>182 Days Tbill (MD 11/06/2026)</t>
  </si>
  <si>
    <t>IN002025Y370</t>
  </si>
  <si>
    <t>INE237AD6059</t>
  </si>
  <si>
    <t>INE040A16GW7</t>
  </si>
  <si>
    <t>INE556F16BI1</t>
  </si>
  <si>
    <t>CARE A1+</t>
  </si>
  <si>
    <t>INE171A16ND6</t>
  </si>
  <si>
    <t>INE514E16CL5</t>
  </si>
  <si>
    <t>1.   Total Non Performing Assets provided for and its percentage to NAV</t>
  </si>
  <si>
    <t>2.   Total value and percentage of  illiquid equity shares</t>
  </si>
  <si>
    <t xml:space="preserve">            Direct Plan - Growth Option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</si>
  <si>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</si>
  <si>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</si>
  <si>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</si>
  <si>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</si>
  <si>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</si>
  <si>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Regular Plan - Growth Option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</si>
  <si>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</si>
  <si>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</si>
  <si>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</si>
  <si>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</si>
  <si>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</si>
  <si>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Redemption Plan Below 3 years</t>
  </si>
  <si>
    <t xml:space="preserve">            Unclaimed Redemption Plan Above 3 years</t>
  </si>
  <si>
    <t>YO15-ZDD</t>
  </si>
  <si>
    <t>Direct -IDCW Option-Monthly</t>
  </si>
  <si>
    <t>YO15-ZF</t>
  </si>
  <si>
    <t>YO15-ZM</t>
  </si>
  <si>
    <t>Direct-IDCW Option-Fortnightly</t>
  </si>
  <si>
    <t>YO15-ZQ</t>
  </si>
  <si>
    <t>Direct-IDCW Option-Quarterly</t>
  </si>
  <si>
    <t>YO15-ZW</t>
  </si>
  <si>
    <t>Direct-IDCW Option-Weekly</t>
  </si>
  <si>
    <t>YO15-RDD</t>
  </si>
  <si>
    <t>Regular IDCW Option-Daily</t>
  </si>
  <si>
    <t>YO15-RF</t>
  </si>
  <si>
    <t>Regular IDCW Option-Fortnightly</t>
  </si>
  <si>
    <t>YO15-RM</t>
  </si>
  <si>
    <t>Regular IDCW Option-Weekly</t>
  </si>
  <si>
    <t>YO15-RQ</t>
  </si>
  <si>
    <t>Regular-IDCW Option-Monthly</t>
  </si>
  <si>
    <t>Regular-IDCW Option-Quarterly</t>
  </si>
  <si>
    <t>BENCHMARK NAME - CRISIL LIQUID FUND AI INDEX</t>
  </si>
  <si>
    <t>YO25</t>
  </si>
  <si>
    <t xml:space="preserve">Motilal Oswal Nifty 5 year Benchmark G-Sec ETF 
</t>
  </si>
  <si>
    <t>(An open ended scheme investing in Equity, International Equity Index Funds/Equity ETFs, Debt and Money Market Instruments and Gold Exchange Traded Funds)
(A Relatively High Interest Rate Risk and Relatively Low Credit Risk)</t>
  </si>
  <si>
    <t>Debt Instruments</t>
  </si>
  <si>
    <t>BENCHMARK NAME - NIFTY 5 YR BENCHMARK G-SEC INDEX</t>
  </si>
  <si>
    <t>YO28</t>
  </si>
  <si>
    <t xml:space="preserve">Motilal Oswal 5 Year G-Sec Fund of Fund </t>
  </si>
  <si>
    <t xml:space="preserve">
(An open ended fund of funds scheme investing in units of Motilal Oswal Nifty 5 YR Benchmark G-Sec ETF)</t>
  </si>
  <si>
    <t>Exchange Traded Funds</t>
  </si>
  <si>
    <t>Motilal Oswal Nifty 5 Year Benchmark G-sec ETF-Gr</t>
  </si>
  <si>
    <t>INF247L01AK4</t>
  </si>
  <si>
    <t>ISIN</t>
  </si>
  <si>
    <t>Market/Fair Value (Rs. in Lacs)</t>
  </si>
  <si>
    <t>% to Net Assets</t>
  </si>
  <si>
    <t>YTM</t>
  </si>
  <si>
    <t>Tri-Party REPO - Corporate Bonds for which settlement is guaranteed by clearing corporation</t>
  </si>
  <si>
    <t xml:space="preserve"> </t>
  </si>
  <si>
    <t>3.   NAV at the beginning of the fortnightly period (Rs. per unit)</t>
  </si>
  <si>
    <t>4.  NAV at the end of the fortnightly period (Rs. per unit)</t>
  </si>
  <si>
    <t>7.   Investment in foreign securities/ADRs/GDRs at the end of the fortnightly period</t>
  </si>
  <si>
    <t>8.   Aggregate Investments by other schemes as on April 15,2026</t>
  </si>
  <si>
    <t>NIL</t>
  </si>
  <si>
    <t>91 Days Tbill (MD 09/07/2026)</t>
  </si>
  <si>
    <t>IN002026X016</t>
  </si>
  <si>
    <t>Corporate Debt Market Development Fund</t>
  </si>
  <si>
    <t>INF0RQ622028</t>
  </si>
  <si>
    <t>Rating</t>
  </si>
  <si>
    <t>Treasury Bill</t>
  </si>
  <si>
    <t>**  Thinly Traded / Non Traded Security</t>
  </si>
  <si>
    <t xml:space="preserve">             Unclaimed Dividend Plan Above 3 years</t>
  </si>
  <si>
    <t xml:space="preserve">             Unclaimed Dividend Plan Below 3 years</t>
  </si>
  <si>
    <t>4.   NAV at the end of the fortnightly period (Rs. per unit)</t>
  </si>
  <si>
    <t>5.   Investment in foreign securities/ADRs/GDRs at the end of the fortnightly period</t>
  </si>
  <si>
    <t>(e)</t>
  </si>
  <si>
    <t>INE028A16KZ7</t>
  </si>
  <si>
    <t>INE261F16AQ3</t>
  </si>
  <si>
    <t>364 Days Tbill (MD 11/02/2027)</t>
  </si>
  <si>
    <t>IN002025Z450</t>
  </si>
  <si>
    <t>2.   NAV at the beginning of the fortnightly period (Rs. per unit)</t>
  </si>
  <si>
    <t>3.   NAV at the end of the fortnightly period (Rs. per unit)</t>
  </si>
  <si>
    <t>4.   Exposure to derivative instrument at the end of the fortnightly period</t>
  </si>
  <si>
    <t>DEBT INSTRUMENTS</t>
  </si>
  <si>
    <t>a</t>
  </si>
  <si>
    <t>-</t>
  </si>
  <si>
    <t>Securitized Debt Instruments</t>
  </si>
  <si>
    <t>Privately placed/Unlisted</t>
  </si>
  <si>
    <t>Listed / awaiting listing on Stock Exchanges</t>
  </si>
  <si>
    <t>Listed / awaiting listing on Stock Exchange</t>
  </si>
  <si>
    <t>Privately placed / Unlisted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</si>
  <si>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</si>
  <si>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</si>
  <si>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</si>
  <si>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</si>
  <si>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</si>
  <si>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</si>
  <si>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</si>
  <si>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</si>
  <si>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</si>
  <si>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</si>
  <si>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</si>
  <si>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8.   Exposure to derivative instrument at the end of the fortnightly period</t>
  </si>
  <si>
    <t>5.   Exposure to derivative instrument at the end of the fortnightly period</t>
  </si>
  <si>
    <t>INE296A14F94</t>
  </si>
  <si>
    <t>INE976I14RG0</t>
  </si>
  <si>
    <t>IN0020250141</t>
  </si>
  <si>
    <t>4.8 years</t>
  </si>
  <si>
    <t>7.   IDCW declared during the fortnightly period</t>
  </si>
  <si>
    <t xml:space="preserve"> FORTNIGHTLY PORTFOLIO STATEMENT AS ON MAY 15, 2026</t>
  </si>
  <si>
    <t>INE160A16UC6</t>
  </si>
  <si>
    <t>INE028A16MD0</t>
  </si>
  <si>
    <t>INE476A16I91</t>
  </si>
  <si>
    <t>INE674K14CJ3</t>
  </si>
  <si>
    <t>125 days</t>
  </si>
  <si>
    <t>34 days</t>
  </si>
  <si>
    <t>3 days</t>
  </si>
  <si>
    <t xml:space="preserve">Hedging Positions through Futures as on May 15, 2026 : </t>
  </si>
  <si>
    <t>Other than Hedging Positions through Futures as on May 15, 2026 :</t>
  </si>
  <si>
    <t xml:space="preserve">Hedging Positions through Options as on May 15, 2026 : </t>
  </si>
  <si>
    <t>Other Than Hedging Positions through Options as on May 15, 2026:</t>
  </si>
  <si>
    <t xml:space="preserve">Hedging Positions through Swaps as on May 15, 2026 : </t>
  </si>
  <si>
    <t>8.   Aggregate Investments by other schemes as on May 15,2026</t>
  </si>
  <si>
    <t>TRP_180526</t>
  </si>
  <si>
    <t>A</t>
  </si>
  <si>
    <t>B</t>
  </si>
  <si>
    <t>Tata Capital Limited (21/05/2026)</t>
  </si>
  <si>
    <t>Sundaram Finance Limited (31/07/2026) **</t>
  </si>
  <si>
    <t>Bajaj Finance Limited (06/11/2026) **</t>
  </si>
  <si>
    <t>Indian Bank (25/06/2026) ** #</t>
  </si>
  <si>
    <t>Union Bank of India (25/06/2026) #</t>
  </si>
  <si>
    <t>Axis Bank Limited (11/08/2026) ** #</t>
  </si>
  <si>
    <t>HDFC Bank Limited (11/09/2026)** #</t>
  </si>
  <si>
    <t>Bank of Baroda (11/01/2027) ** #</t>
  </si>
  <si>
    <t>Punjab National Bank (28/01/2027) ** #</t>
  </si>
  <si>
    <t>National Bank For Agriculture and Rural Development (18/03/2027) #</t>
  </si>
  <si>
    <t>Kotak Mahindra Bank Limited (18/05/2026) #</t>
  </si>
  <si>
    <t>HDFC Bank Limited (19/05/2026) ** #</t>
  </si>
  <si>
    <t>Small Industries Dev Bank of India (20/05/2026)** #</t>
  </si>
  <si>
    <t>The Federal Bank Limited (20/05/2026) ** #</t>
  </si>
  <si>
    <t>Export Import Bank of India (28/05/2026) ** #</t>
  </si>
  <si>
    <t>Bank of Baroda (12/08/2026) ** #</t>
  </si>
  <si>
    <t>Canara Bank (13/08/2026) ** #</t>
  </si>
  <si>
    <t>Bajaj Finance Limited (20/07/2026) **</t>
  </si>
  <si>
    <t>Tata Capital Limited (20/07/2026) **</t>
  </si>
  <si>
    <t>Aditya Birla Capital Limited (12/08/2026) **</t>
  </si>
  <si>
    <t>6.36% Government of India (16/02/2031)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</si>
</sst>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 * #,##0.00_ ;_ * \-#,##0.00_ ;_ * &quot;-&quot;??_ ;_ @_ "/>
    <numFmt numFmtId="164" formatCode="_(* #,##0.00_);_(* \(#,##0.00\);_(* &quot;-&quot;??_);_(@_)"/>
    <numFmt numFmtId="165" formatCode="#,##0;\(#,##0\)"/>
    <numFmt numFmtId="166" formatCode="#,##0.00;\(#,##0.00\)"/>
    <numFmt numFmtId="167" formatCode="0.0000"/>
    <numFmt numFmtId="168" formatCode="0.00000000"/>
    <numFmt numFmtId="169" formatCode="_(* #,##0.00000000_);_(* \(#,##0.00000000\);_(* &quot;-&quot;??_);_(@_)"/>
    <numFmt numFmtId="170" formatCode="_(* #,##0.0000_);_(* \(#,##0.0000\);_(* &quot;-&quot;??_);_(@_)"/>
    <numFmt numFmtId="171" formatCode="#,##0.00%;\(#,##0.00\)%"/>
    <numFmt numFmtId="172" formatCode="#,##0.00%"/>
    <numFmt numFmtId="173" formatCode="#,##0.000;\(#,##0.000\)"/>
    <numFmt numFmtId="17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4" fillId="0" borderId="0" xfId="0" applyFont="1"/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6" fontId="13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1" fillId="0" borderId="0" xfId="3" applyFont="1"/>
    <xf numFmtId="0" fontId="11" fillId="0" borderId="0" xfId="0" applyFont="1"/>
    <xf numFmtId="0" fontId="7" fillId="0" borderId="0" xfId="3" applyFont="1" applyProtection="1">
      <protection locked="0"/>
    </xf>
    <xf numFmtId="39" fontId="7" fillId="0" borderId="0" xfId="0" applyNumberFormat="1" applyFont="1" applyAlignment="1">
      <alignment horizontal="right"/>
    </xf>
    <xf numFmtId="164" fontId="7" fillId="0" borderId="0" xfId="4" applyFont="1" applyFill="1" applyBorder="1" applyAlignment="1" applyProtection="1">
      <alignment horizontal="right"/>
      <protection locked="0"/>
    </xf>
    <xf numFmtId="0" fontId="7" fillId="0" borderId="0" xfId="0" applyFont="1"/>
    <xf numFmtId="0" fontId="7" fillId="0" borderId="0" xfId="5" applyFont="1"/>
    <xf numFmtId="167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0" fillId="0" borderId="0" xfId="0" applyAlignment="1">
      <alignment horizontal="right"/>
    </xf>
    <xf numFmtId="0" fontId="11" fillId="0" borderId="0" xfId="0" applyFont="1" applyAlignment="1">
      <alignment horizontal="center" wrapText="1"/>
    </xf>
    <xf numFmtId="164" fontId="11" fillId="0" borderId="0" xfId="4" applyFont="1" applyFill="1" applyBorder="1" applyAlignment="1">
      <alignment horizontal="right"/>
    </xf>
    <xf numFmtId="0" fontId="3" fillId="0" borderId="0" xfId="0" applyFont="1" applyAlignment="1" applyProtection="1">
      <alignment wrapText="1"/>
      <protection locked="0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7" fillId="0" borderId="0" xfId="0" applyNumberFormat="1" applyFont="1" applyAlignment="1">
      <alignment horizontal="center"/>
    </xf>
    <xf numFmtId="164" fontId="7" fillId="0" borderId="0" xfId="4" applyFont="1" applyFill="1" applyBorder="1" applyAlignment="1">
      <alignment horizontal="right"/>
    </xf>
    <xf numFmtId="0" fontId="2" fillId="0" borderId="0" xfId="0" applyFont="1"/>
    <xf numFmtId="170" fontId="7" fillId="0" borderId="0" xfId="4" applyNumberFormat="1" applyFont="1" applyFill="1" applyBorder="1" applyAlignment="1" applyProtection="1">
      <alignment horizontal="right"/>
      <protection locked="0"/>
    </xf>
    <xf numFmtId="170" fontId="7" fillId="0" borderId="0" xfId="4" applyNumberFormat="1" applyFont="1" applyFill="1" applyBorder="1" applyAlignment="1"/>
    <xf numFmtId="0" fontId="3" fillId="0" borderId="0" xfId="0" applyFont="1"/>
    <xf numFmtId="4" fontId="13" fillId="0" borderId="0" xfId="0" applyNumberFormat="1" applyFont="1" applyAlignment="1">
      <alignment horizontal="right" vertical="top" wrapText="1"/>
    </xf>
    <xf numFmtId="0" fontId="7" fillId="0" borderId="0" xfId="4" applyNumberFormat="1" applyFont="1" applyFill="1" applyBorder="1" applyAlignment="1" applyProtection="1">
      <alignment horizontal="right"/>
      <protection locked="0"/>
    </xf>
    <xf numFmtId="10" fontId="13" fillId="0" borderId="0" xfId="0" applyNumberFormat="1" applyFont="1" applyAlignment="1">
      <alignment horizontal="right" vertical="top" wrapText="1"/>
    </xf>
    <xf numFmtId="0" fontId="7" fillId="0" borderId="0" xfId="0" applyFont="1" applyProtection="1">
      <protection locked="0"/>
    </xf>
    <xf numFmtId="164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18" fillId="0" borderId="7" xfId="0" applyFont="1" applyBorder="1" applyAlignment="1">
      <alignment horizontal="right" vertical="top" wrapText="1"/>
    </xf>
    <xf numFmtId="3" fontId="14" fillId="0" borderId="6" xfId="0" applyNumberFormat="1" applyFont="1" applyBorder="1" applyAlignment="1">
      <alignment horizontal="right" vertical="top" wrapText="1"/>
    </xf>
    <xf numFmtId="166" fontId="13" fillId="0" borderId="12" xfId="0" applyNumberFormat="1" applyFont="1" applyBorder="1" applyAlignment="1">
      <alignment horizontal="right" vertical="top" wrapText="1"/>
    </xf>
    <xf numFmtId="0" fontId="13" fillId="0" borderId="13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167" fontId="7" fillId="0" borderId="0" xfId="0" applyNumberFormat="1" applyFont="1"/>
    <xf numFmtId="0" fontId="7" fillId="0" borderId="0" xfId="0" applyFont="1" applyAlignment="1">
      <alignment horizontal="right"/>
    </xf>
    <xf numFmtId="43" fontId="7" fillId="0" borderId="0" xfId="1" applyFont="1" applyAlignment="1">
      <alignment horizontal="center"/>
    </xf>
    <xf numFmtId="0" fontId="14" fillId="0" borderId="19" xfId="0" applyFont="1" applyBorder="1" applyAlignment="1">
      <alignment horizontal="left" vertical="top" wrapText="1"/>
    </xf>
    <xf numFmtId="0" fontId="0" fillId="0" borderId="13" xfId="0" applyBorder="1" applyAlignment="1" applyProtection="1">
      <alignment wrapText="1"/>
      <protection locked="0"/>
    </xf>
    <xf numFmtId="0" fontId="18" fillId="0" borderId="13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11" fillId="0" borderId="0" xfId="3" applyFont="1" applyProtection="1">
      <protection locked="0"/>
    </xf>
    <xf numFmtId="164" fontId="11" fillId="0" borderId="0" xfId="4" applyFont="1" applyFill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164" fontId="11" fillId="0" borderId="0" xfId="0" applyNumberFormat="1" applyFont="1" applyAlignment="1" applyProtection="1">
      <alignment horizontal="right"/>
      <protection locked="0"/>
    </xf>
    <xf numFmtId="0" fontId="14" fillId="0" borderId="2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7" fillId="0" borderId="13" xfId="3" applyFont="1" applyBorder="1" applyProtection="1">
      <protection locked="0"/>
    </xf>
    <xf numFmtId="164" fontId="7" fillId="0" borderId="13" xfId="4" applyFont="1" applyFill="1" applyBorder="1" applyAlignment="1" applyProtection="1">
      <alignment horizontal="right"/>
      <protection locked="0"/>
    </xf>
    <xf numFmtId="0" fontId="14" fillId="0" borderId="7" xfId="0" applyFont="1" applyBorder="1" applyAlignment="1">
      <alignment horizontal="left" vertical="top" wrapText="1"/>
    </xf>
    <xf numFmtId="165" fontId="14" fillId="0" borderId="6" xfId="0" applyNumberFormat="1" applyFont="1" applyBorder="1" applyAlignment="1">
      <alignment horizontal="right" vertical="top" wrapText="1"/>
    </xf>
    <xf numFmtId="166" fontId="14" fillId="0" borderId="6" xfId="0" applyNumberFormat="1" applyFont="1" applyBorder="1" applyAlignment="1">
      <alignment horizontal="right" vertical="top" wrapText="1"/>
    </xf>
    <xf numFmtId="166" fontId="13" fillId="0" borderId="8" xfId="0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Alignment="1" applyProtection="1">
      <alignment wrapText="1"/>
      <protection locked="0"/>
    </xf>
    <xf numFmtId="168" fontId="7" fillId="0" borderId="0" xfId="0" applyNumberFormat="1" applyFont="1" applyAlignment="1">
      <alignment horizontal="right"/>
    </xf>
    <xf numFmtId="169" fontId="7" fillId="0" borderId="0" xfId="4" applyNumberFormat="1" applyFont="1" applyFill="1" applyBorder="1" applyAlignment="1">
      <alignment horizontal="right"/>
    </xf>
    <xf numFmtId="43" fontId="7" fillId="0" borderId="0" xfId="1" applyFont="1" applyFill="1" applyAlignment="1">
      <alignment horizontal="right"/>
    </xf>
    <xf numFmtId="10" fontId="14" fillId="0" borderId="6" xfId="0" applyNumberFormat="1" applyFont="1" applyBorder="1" applyAlignment="1">
      <alignment horizontal="right" vertical="top" wrapText="1"/>
    </xf>
    <xf numFmtId="10" fontId="13" fillId="0" borderId="8" xfId="0" applyNumberFormat="1" applyFont="1" applyBorder="1" applyAlignment="1">
      <alignment horizontal="right" vertical="top" wrapText="1"/>
    </xf>
    <xf numFmtId="10" fontId="13" fillId="0" borderId="12" xfId="0" applyNumberFormat="1" applyFont="1" applyBorder="1" applyAlignment="1">
      <alignment horizontal="right" vertical="top" wrapText="1"/>
    </xf>
    <xf numFmtId="10" fontId="13" fillId="0" borderId="13" xfId="0" applyNumberFormat="1" applyFont="1" applyBorder="1" applyAlignment="1">
      <alignment horizontal="right" vertical="top" wrapText="1"/>
    </xf>
    <xf numFmtId="0" fontId="18" fillId="0" borderId="26" xfId="0" applyFont="1" applyBorder="1" applyAlignment="1">
      <alignment horizontal="right" vertical="top" wrapText="1"/>
    </xf>
    <xf numFmtId="172" fontId="14" fillId="0" borderId="27" xfId="0" applyNumberFormat="1" applyFont="1" applyBorder="1" applyAlignment="1">
      <alignment horizontal="right" vertical="top" wrapText="1"/>
    </xf>
    <xf numFmtId="0" fontId="14" fillId="0" borderId="27" xfId="0" applyFont="1" applyBorder="1" applyAlignment="1">
      <alignment horizontal="right" vertical="top" wrapText="1"/>
    </xf>
    <xf numFmtId="0" fontId="13" fillId="0" borderId="26" xfId="0" applyFont="1" applyBorder="1" applyAlignment="1">
      <alignment horizontal="right" vertical="top" wrapText="1"/>
    </xf>
    <xf numFmtId="0" fontId="13" fillId="0" borderId="28" xfId="0" applyFont="1" applyBorder="1" applyAlignment="1">
      <alignment horizontal="right" vertical="top" wrapText="1"/>
    </xf>
    <xf numFmtId="0" fontId="18" fillId="0" borderId="29" xfId="0" applyFont="1" applyBorder="1" applyAlignment="1">
      <alignment horizontal="right" vertical="top" wrapText="1"/>
    </xf>
    <xf numFmtId="0" fontId="13" fillId="0" borderId="30" xfId="0" applyFont="1" applyBorder="1" applyAlignment="1">
      <alignment horizontal="right" vertical="top" wrapText="1"/>
    </xf>
    <xf numFmtId="166" fontId="13" fillId="0" borderId="19" xfId="0" applyNumberFormat="1" applyFont="1" applyBorder="1" applyAlignment="1">
      <alignment horizontal="right" vertical="top" wrapText="1"/>
    </xf>
    <xf numFmtId="9" fontId="13" fillId="0" borderId="19" xfId="0" applyNumberFormat="1" applyFont="1" applyBorder="1" applyAlignment="1">
      <alignment horizontal="right" vertical="top" wrapText="1"/>
    </xf>
    <xf numFmtId="0" fontId="13" fillId="0" borderId="31" xfId="0" applyFont="1" applyBorder="1" applyAlignment="1">
      <alignment horizontal="righ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32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0" fillId="0" borderId="36" xfId="0" applyBorder="1" applyAlignment="1" applyProtection="1">
      <alignment wrapText="1"/>
      <protection locked="0"/>
    </xf>
    <xf numFmtId="0" fontId="14" fillId="0" borderId="37" xfId="0" applyFont="1" applyBorder="1" applyAlignment="1">
      <alignment horizontal="left" vertical="top" wrapText="1"/>
    </xf>
    <xf numFmtId="0" fontId="13" fillId="0" borderId="37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13" fillId="0" borderId="41" xfId="0" applyFont="1" applyBorder="1" applyAlignment="1">
      <alignment horizontal="left" vertical="top" wrapText="1"/>
    </xf>
    <xf numFmtId="172" fontId="18" fillId="0" borderId="29" xfId="0" applyNumberFormat="1" applyFont="1" applyBorder="1" applyAlignment="1">
      <alignment horizontal="right" vertical="top" wrapText="1"/>
    </xf>
    <xf numFmtId="0" fontId="0" fillId="0" borderId="1" xfId="0" applyBorder="1" applyAlignment="1" applyProtection="1">
      <alignment wrapText="1"/>
      <protection locked="0"/>
    </xf>
    <xf numFmtId="0" fontId="0" fillId="0" borderId="42" xfId="0" applyBorder="1" applyAlignment="1" applyProtection="1">
      <alignment wrapText="1"/>
      <protection locked="0"/>
    </xf>
    <xf numFmtId="0" fontId="10" fillId="0" borderId="1" xfId="0" applyFont="1" applyBorder="1" applyAlignment="1">
      <alignment horizontal="center"/>
    </xf>
    <xf numFmtId="0" fontId="13" fillId="0" borderId="43" xfId="0" applyFont="1" applyBorder="1" applyAlignment="1">
      <alignment horizontal="right" vertical="top" wrapText="1"/>
    </xf>
    <xf numFmtId="0" fontId="14" fillId="0" borderId="44" xfId="0" applyFont="1" applyBorder="1" applyAlignment="1">
      <alignment horizontal="left" vertical="top" wrapText="1"/>
    </xf>
    <xf numFmtId="166" fontId="14" fillId="0" borderId="0" xfId="0" applyNumberFormat="1" applyFont="1" applyAlignment="1">
      <alignment horizontal="right" vertical="top" wrapText="1"/>
    </xf>
    <xf numFmtId="0" fontId="13" fillId="0" borderId="46" xfId="0" applyFont="1" applyBorder="1" applyAlignment="1">
      <alignment horizontal="left" vertical="top" wrapText="1"/>
    </xf>
    <xf numFmtId="0" fontId="14" fillId="0" borderId="47" xfId="0" applyFont="1" applyBorder="1" applyAlignment="1">
      <alignment horizontal="left" vertical="top" wrapText="1"/>
    </xf>
    <xf numFmtId="166" fontId="13" fillId="0" borderId="48" xfId="0" applyNumberFormat="1" applyFont="1" applyBorder="1" applyAlignment="1">
      <alignment horizontal="right" vertical="top" wrapText="1"/>
    </xf>
    <xf numFmtId="166" fontId="13" fillId="0" borderId="25" xfId="0" applyNumberFormat="1" applyFont="1" applyBorder="1" applyAlignment="1">
      <alignment horizontal="right" vertical="top" wrapText="1"/>
    </xf>
    <xf numFmtId="166" fontId="13" fillId="0" borderId="47" xfId="0" applyNumberFormat="1" applyFont="1" applyBorder="1" applyAlignment="1">
      <alignment horizontal="right" vertical="top" wrapText="1"/>
    </xf>
    <xf numFmtId="10" fontId="13" fillId="0" borderId="25" xfId="0" applyNumberFormat="1" applyFont="1" applyBorder="1" applyAlignment="1">
      <alignment horizontal="right" vertical="top" wrapText="1"/>
    </xf>
    <xf numFmtId="0" fontId="13" fillId="0" borderId="49" xfId="0" applyFont="1" applyBorder="1" applyAlignment="1">
      <alignment horizontal="left" vertical="top" wrapText="1"/>
    </xf>
    <xf numFmtId="0" fontId="14" fillId="0" borderId="49" xfId="0" applyFont="1" applyBorder="1" applyAlignment="1">
      <alignment horizontal="left" vertical="top" wrapText="1"/>
    </xf>
    <xf numFmtId="166" fontId="13" fillId="0" borderId="49" xfId="0" applyNumberFormat="1" applyFont="1" applyBorder="1" applyAlignment="1">
      <alignment horizontal="right" vertical="top" wrapText="1"/>
    </xf>
    <xf numFmtId="171" fontId="13" fillId="0" borderId="49" xfId="0" applyNumberFormat="1" applyFont="1" applyBorder="1" applyAlignment="1">
      <alignment horizontal="right" vertical="top" wrapText="1"/>
    </xf>
    <xf numFmtId="0" fontId="13" fillId="0" borderId="50" xfId="0" applyFont="1" applyBorder="1" applyAlignment="1">
      <alignment horizontal="right" vertical="top" wrapText="1"/>
    </xf>
    <xf numFmtId="0" fontId="14" fillId="0" borderId="46" xfId="0" applyFont="1" applyBorder="1" applyAlignment="1">
      <alignment horizontal="left" vertical="top" wrapText="1"/>
    </xf>
    <xf numFmtId="0" fontId="13" fillId="0" borderId="51" xfId="0" applyFont="1" applyBorder="1" applyAlignment="1">
      <alignment horizontal="left" vertical="top" wrapText="1"/>
    </xf>
    <xf numFmtId="0" fontId="14" fillId="0" borderId="52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8" fillId="0" borderId="27" xfId="0" applyFont="1" applyBorder="1" applyAlignment="1">
      <alignment horizontal="right" vertical="top" wrapText="1"/>
    </xf>
    <xf numFmtId="0" fontId="13" fillId="0" borderId="27" xfId="0" applyFont="1" applyBorder="1" applyAlignment="1">
      <alignment horizontal="right" vertical="top" wrapText="1"/>
    </xf>
    <xf numFmtId="0" fontId="13" fillId="0" borderId="53" xfId="0" applyFont="1" applyBorder="1" applyAlignment="1">
      <alignment horizontal="left" vertical="top" wrapText="1"/>
    </xf>
    <xf numFmtId="0" fontId="14" fillId="0" borderId="53" xfId="0" applyFont="1" applyBorder="1" applyAlignment="1">
      <alignment horizontal="left" vertical="top" wrapText="1"/>
    </xf>
    <xf numFmtId="166" fontId="13" fillId="0" borderId="53" xfId="0" applyNumberFormat="1" applyFont="1" applyBorder="1" applyAlignment="1">
      <alignment horizontal="right" vertical="top" wrapText="1"/>
    </xf>
    <xf numFmtId="9" fontId="13" fillId="0" borderId="53" xfId="0" applyNumberFormat="1" applyFont="1" applyBorder="1" applyAlignment="1">
      <alignment horizontal="right" vertical="top" wrapText="1"/>
    </xf>
    <xf numFmtId="0" fontId="13" fillId="0" borderId="59" xfId="0" applyFont="1" applyBorder="1" applyAlignment="1">
      <alignment horizontal="right" vertical="top" wrapText="1"/>
    </xf>
    <xf numFmtId="0" fontId="14" fillId="0" borderId="57" xfId="0" applyFont="1" applyBorder="1" applyAlignment="1">
      <alignment horizontal="left" vertical="top" wrapText="1"/>
    </xf>
    <xf numFmtId="0" fontId="14" fillId="0" borderId="60" xfId="0" applyFont="1" applyBorder="1" applyAlignment="1">
      <alignment horizontal="left" vertical="top" wrapText="1"/>
    </xf>
    <xf numFmtId="0" fontId="14" fillId="0" borderId="62" xfId="0" applyFont="1" applyBorder="1" applyAlignment="1">
      <alignment horizontal="left" vertical="top" wrapText="1"/>
    </xf>
    <xf numFmtId="166" fontId="14" fillId="0" borderId="57" xfId="0" applyNumberFormat="1" applyFont="1" applyBorder="1" applyAlignment="1">
      <alignment horizontal="right" vertical="top" wrapText="1"/>
    </xf>
    <xf numFmtId="166" fontId="13" fillId="0" borderId="57" xfId="0" applyNumberFormat="1" applyFont="1" applyBorder="1" applyAlignment="1">
      <alignment horizontal="right" vertical="top" wrapText="1"/>
    </xf>
    <xf numFmtId="166" fontId="13" fillId="0" borderId="60" xfId="0" applyNumberFormat="1" applyFont="1" applyBorder="1" applyAlignment="1">
      <alignment horizontal="right" vertical="top" wrapText="1"/>
    </xf>
    <xf numFmtId="10" fontId="14" fillId="0" borderId="57" xfId="0" applyNumberFormat="1" applyFont="1" applyBorder="1" applyAlignment="1">
      <alignment horizontal="right" vertical="top" wrapText="1"/>
    </xf>
    <xf numFmtId="10" fontId="13" fillId="0" borderId="57" xfId="0" applyNumberFormat="1" applyFont="1" applyBorder="1" applyAlignment="1">
      <alignment horizontal="right" vertical="top" wrapText="1"/>
    </xf>
    <xf numFmtId="9" fontId="13" fillId="0" borderId="60" xfId="0" applyNumberFormat="1" applyFont="1" applyBorder="1" applyAlignment="1">
      <alignment horizontal="right" vertical="top" wrapText="1"/>
    </xf>
    <xf numFmtId="0" fontId="18" fillId="0" borderId="45" xfId="0" applyFont="1" applyBorder="1" applyAlignment="1">
      <alignment horizontal="right" vertical="top" wrapText="1"/>
    </xf>
    <xf numFmtId="0" fontId="14" fillId="0" borderId="45" xfId="0" applyFont="1" applyBorder="1" applyAlignment="1">
      <alignment horizontal="right" vertical="top" wrapText="1"/>
    </xf>
    <xf numFmtId="174" fontId="14" fillId="0" borderId="45" xfId="6" applyNumberFormat="1" applyFont="1" applyBorder="1" applyAlignment="1">
      <alignment horizontal="right" vertical="top" wrapText="1"/>
    </xf>
    <xf numFmtId="0" fontId="13" fillId="0" borderId="45" xfId="0" applyFont="1" applyBorder="1" applyAlignment="1">
      <alignment horizontal="right" vertical="top" wrapText="1"/>
    </xf>
    <xf numFmtId="0" fontId="13" fillId="0" borderId="64" xfId="0" applyFont="1" applyBorder="1" applyAlignment="1">
      <alignment horizontal="right" vertical="top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166" fontId="13" fillId="0" borderId="24" xfId="0" applyNumberFormat="1" applyFont="1" applyBorder="1" applyAlignment="1">
      <alignment horizontal="right" vertical="top" wrapText="1"/>
    </xf>
    <xf numFmtId="10" fontId="13" fillId="0" borderId="24" xfId="0" applyNumberFormat="1" applyFont="1" applyBorder="1" applyAlignment="1">
      <alignment horizontal="right" vertical="top" wrapText="1"/>
    </xf>
    <xf numFmtId="0" fontId="13" fillId="0" borderId="24" xfId="0" applyFont="1" applyBorder="1" applyAlignment="1">
      <alignment horizontal="right" vertical="top" wrapText="1"/>
    </xf>
    <xf numFmtId="0" fontId="0" fillId="0" borderId="65" xfId="0" applyBorder="1" applyAlignment="1" applyProtection="1">
      <alignment wrapText="1"/>
      <protection locked="0"/>
    </xf>
    <xf numFmtId="0" fontId="13" fillId="0" borderId="55" xfId="0" applyFont="1" applyBorder="1" applyAlignment="1">
      <alignment horizontal="left" vertical="top" wrapText="1"/>
    </xf>
    <xf numFmtId="0" fontId="14" fillId="0" borderId="54" xfId="0" applyFont="1" applyBorder="1" applyAlignment="1">
      <alignment horizontal="left" vertical="top" wrapText="1"/>
    </xf>
    <xf numFmtId="166" fontId="13" fillId="0" borderId="54" xfId="0" applyNumberFormat="1" applyFont="1" applyBorder="1" applyAlignment="1">
      <alignment horizontal="right" vertical="top" wrapText="1"/>
    </xf>
    <xf numFmtId="10" fontId="13" fillId="0" borderId="54" xfId="0" applyNumberFormat="1" applyFont="1" applyBorder="1" applyAlignment="1">
      <alignment horizontal="right" vertical="top" wrapText="1"/>
    </xf>
    <xf numFmtId="0" fontId="13" fillId="0" borderId="33" xfId="0" applyFont="1" applyBorder="1" applyAlignment="1">
      <alignment horizontal="right" vertical="top" wrapText="1"/>
    </xf>
    <xf numFmtId="0" fontId="14" fillId="0" borderId="6" xfId="0" applyFont="1" applyBorder="1" applyAlignment="1">
      <alignment horizontal="right" vertical="top" wrapText="1"/>
    </xf>
    <xf numFmtId="0" fontId="14" fillId="0" borderId="56" xfId="0" applyFont="1" applyBorder="1" applyAlignment="1">
      <alignment horizontal="left" vertical="top" wrapText="1"/>
    </xf>
    <xf numFmtId="166" fontId="13" fillId="0" borderId="56" xfId="0" applyNumberFormat="1" applyFont="1" applyBorder="1" applyAlignment="1">
      <alignment horizontal="right" vertical="top" wrapText="1"/>
    </xf>
    <xf numFmtId="0" fontId="13" fillId="0" borderId="54" xfId="0" applyFont="1" applyBorder="1" applyAlignment="1">
      <alignment horizontal="left" vertical="top" wrapText="1"/>
    </xf>
    <xf numFmtId="0" fontId="14" fillId="0" borderId="55" xfId="0" applyFont="1" applyBorder="1" applyAlignment="1">
      <alignment horizontal="left" vertical="top" wrapText="1"/>
    </xf>
    <xf numFmtId="166" fontId="13" fillId="0" borderId="55" xfId="0" applyNumberFormat="1" applyFont="1" applyBorder="1" applyAlignment="1">
      <alignment horizontal="right" vertical="top" wrapText="1"/>
    </xf>
    <xf numFmtId="0" fontId="13" fillId="0" borderId="66" xfId="0" applyFont="1" applyBorder="1" applyAlignment="1">
      <alignment horizontal="right" vertical="top" wrapText="1"/>
    </xf>
    <xf numFmtId="172" fontId="18" fillId="0" borderId="43" xfId="0" applyNumberFormat="1" applyFont="1" applyBorder="1" applyAlignment="1">
      <alignment horizontal="right" vertical="top" wrapText="1"/>
    </xf>
    <xf numFmtId="0" fontId="14" fillId="0" borderId="43" xfId="0" applyFont="1" applyBorder="1" applyAlignment="1">
      <alignment horizontal="right" vertical="top" wrapText="1"/>
    </xf>
    <xf numFmtId="0" fontId="13" fillId="0" borderId="44" xfId="0" applyFont="1" applyBorder="1" applyAlignment="1">
      <alignment horizontal="left" vertical="top" wrapText="1"/>
    </xf>
    <xf numFmtId="3" fontId="14" fillId="0" borderId="44" xfId="0" applyNumberFormat="1" applyFont="1" applyBorder="1" applyAlignment="1">
      <alignment horizontal="right" vertical="top" wrapText="1"/>
    </xf>
    <xf numFmtId="173" fontId="14" fillId="0" borderId="44" xfId="0" applyNumberFormat="1" applyFont="1" applyBorder="1" applyAlignment="1">
      <alignment horizontal="right" vertical="top" wrapText="1"/>
    </xf>
    <xf numFmtId="165" fontId="14" fillId="0" borderId="44" xfId="0" applyNumberFormat="1" applyFont="1" applyBorder="1" applyAlignment="1">
      <alignment horizontal="right" vertical="top" wrapText="1"/>
    </xf>
    <xf numFmtId="171" fontId="14" fillId="0" borderId="44" xfId="0" applyNumberFormat="1" applyFont="1" applyBorder="1" applyAlignment="1">
      <alignment horizontal="right" vertical="top" wrapText="1"/>
    </xf>
    <xf numFmtId="10" fontId="14" fillId="0" borderId="44" xfId="0" applyNumberFormat="1" applyFont="1" applyBorder="1" applyAlignment="1">
      <alignment horizontal="right" vertical="top" wrapText="1"/>
    </xf>
    <xf numFmtId="10" fontId="13" fillId="0" borderId="32" xfId="0" applyNumberFormat="1" applyFont="1" applyBorder="1" applyAlignment="1">
      <alignment horizontal="right" vertical="top" wrapText="1"/>
    </xf>
    <xf numFmtId="0" fontId="12" fillId="0" borderId="67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1" xfId="2" applyFont="1" applyBorder="1" applyAlignment="1">
      <alignment horizontal="center" wrapText="1"/>
    </xf>
    <xf numFmtId="0" fontId="11" fillId="0" borderId="0" xfId="2" applyFont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7" fillId="0" borderId="13" xfId="3" applyFont="1" applyBorder="1" applyAlignment="1" applyProtection="1">
      <alignment horizontal="left"/>
      <protection locked="0"/>
    </xf>
    <xf numFmtId="0" fontId="11" fillId="0" borderId="16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11" fillId="0" borderId="17" xfId="2" applyFont="1" applyBorder="1" applyAlignment="1">
      <alignment horizontal="center"/>
    </xf>
    <xf numFmtId="0" fontId="11" fillId="0" borderId="18" xfId="2" applyFont="1" applyBorder="1" applyAlignment="1">
      <alignment horizontal="center"/>
    </xf>
    <xf numFmtId="0" fontId="7" fillId="0" borderId="24" xfId="3" applyFont="1" applyBorder="1" applyAlignment="1" applyProtection="1">
      <alignment horizontal="left"/>
      <protection locked="0"/>
    </xf>
    <xf numFmtId="0" fontId="7" fillId="0" borderId="25" xfId="3" applyFont="1" applyBorder="1" applyAlignment="1" applyProtection="1">
      <alignment horizontal="left"/>
      <protection locked="0"/>
    </xf>
    <xf numFmtId="0" fontId="9" fillId="0" borderId="24" xfId="2" applyFont="1" applyBorder="1" applyAlignment="1">
      <alignment horizontal="center" wrapText="1"/>
    </xf>
    <xf numFmtId="0" fontId="9" fillId="0" borderId="56" xfId="2" applyFont="1" applyBorder="1" applyAlignment="1">
      <alignment horizontal="center" wrapText="1"/>
    </xf>
    <xf numFmtId="0" fontId="9" fillId="0" borderId="25" xfId="2" applyFont="1" applyBorder="1" applyAlignment="1">
      <alignment horizontal="center" wrapText="1"/>
    </xf>
    <xf numFmtId="0" fontId="9" fillId="0" borderId="57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9" fillId="0" borderId="58" xfId="2" applyFont="1" applyBorder="1" applyAlignment="1">
      <alignment horizont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5" fillId="0" borderId="13" xfId="0" applyFont="1" applyBorder="1" applyAlignment="1">
      <alignment horizontal="center"/>
    </xf>
    <xf numFmtId="0" fontId="9" fillId="0" borderId="13" xfId="2" applyFont="1" applyBorder="1" applyAlignment="1">
      <alignment horizontal="center" wrapText="1"/>
    </xf>
    <xf numFmtId="0" fontId="9" fillId="0" borderId="49" xfId="2" applyFont="1" applyBorder="1" applyAlignment="1">
      <alignment horizontal="center" wrapText="1"/>
    </xf>
  </cellXfs>
  <cellStyles count="7">
    <cellStyle name="Comma" xfId="1" builtinId="3"/>
    <cellStyle name="Comma 2 2" xfId="4"/>
    <cellStyle name="Normal" xfId="0" builtinId="0"/>
    <cellStyle name="Normal 2" xfId="2"/>
    <cellStyle name="Normal 7" xfId="5"/>
    <cellStyle name="Normal_VALUATION November 01" xfId="3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2827020</xdr:colOff>
      <xdr:row>113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EA5E9-A4D0-4CA3-AA19-849257117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1712214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2795270</xdr:colOff>
      <xdr:row>113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4E4C-EEF0-4DF8-AFFE-3206A40E6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6820" y="17122140"/>
          <a:ext cx="2825750" cy="189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2827020</xdr:colOff>
      <xdr:row>122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69948-8A5F-4918-88CF-026177BC1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73758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1080770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D11DF-7F1F-42D2-BF1D-0F5A36783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140" y="18737580"/>
          <a:ext cx="2825750" cy="189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2827020</xdr:colOff>
      <xdr:row>61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165F-AEF5-4554-A274-06B3B5736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05256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1080770</xdr:colOff>
      <xdr:row>61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7322C-F74A-47B7-937F-FDD0A07C4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9052560"/>
          <a:ext cx="2825750" cy="189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2827020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4F030-68E4-4113-830F-CFA85F467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880872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1080770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F9C7D-E598-42D7-9CA6-F51495873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260" y="8808720"/>
          <a:ext cx="2825750" cy="18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7"/>
  <sheetViews>
    <sheetView tabSelected="1" zoomScale="70" zoomScaleNormal="70" workbookViewId="0"/>
  </sheetViews>
  <sheetFormatPr defaultColWidth="8.5703125" defaultRowHeight="15" x14ac:dyDescent="0.25"/>
  <cols>
    <col min="1" max="1" width="9.5703125" bestFit="1" customWidth="1"/>
    <col min="2" max="2" width="78.85546875" customWidth="1"/>
    <col min="3" max="3" width="31.85546875" bestFit="1" customWidth="1"/>
    <col min="4" max="4" width="27.140625" bestFit="1" customWidth="1"/>
    <col min="5" max="5" width="30.5703125" bestFit="1" customWidth="1"/>
    <col min="6" max="6" width="60.5703125" bestFit="1" customWidth="1"/>
    <col min="7" max="7" width="12.42578125" bestFit="1" customWidth="1"/>
  </cols>
  <sheetData>
    <row r="1" spans="1:8" ht="15.75" thickBot="1" x14ac:dyDescent="0.3">
      <c r="A1" s="1" t="s">
        <v>172</v>
      </c>
    </row>
    <row r="2" spans="1:8" ht="21" customHeight="1" x14ac:dyDescent="0.45">
      <c r="A2" s="174" t="s">
        <v>0</v>
      </c>
      <c r="B2" s="175"/>
      <c r="C2" s="175"/>
      <c r="D2" s="175"/>
      <c r="E2" s="175"/>
      <c r="F2" s="175"/>
      <c r="G2" s="175"/>
      <c r="H2" s="175"/>
    </row>
    <row r="3" spans="1:8" ht="21" customHeight="1" x14ac:dyDescent="0.3">
      <c r="A3" s="176" t="s">
        <v>1</v>
      </c>
      <c r="B3" s="177"/>
      <c r="C3" s="177"/>
      <c r="D3" s="177"/>
      <c r="E3" s="177"/>
      <c r="F3" s="177"/>
      <c r="G3" s="177"/>
      <c r="H3" s="177"/>
    </row>
    <row r="4" spans="1:8" ht="21" customHeight="1" x14ac:dyDescent="0.25">
      <c r="A4" s="178" t="s">
        <v>2</v>
      </c>
      <c r="B4" s="179"/>
      <c r="C4" s="179"/>
      <c r="D4" s="179"/>
      <c r="E4" s="179"/>
      <c r="F4" s="179"/>
      <c r="G4" s="179"/>
      <c r="H4" s="179"/>
    </row>
    <row r="5" spans="1:8" ht="21" customHeight="1" x14ac:dyDescent="0.25">
      <c r="A5" s="178" t="s">
        <v>3</v>
      </c>
      <c r="B5" s="179"/>
      <c r="C5" s="179"/>
      <c r="D5" s="179"/>
      <c r="E5" s="179"/>
      <c r="F5" s="179"/>
      <c r="G5" s="179"/>
      <c r="H5" s="179"/>
    </row>
    <row r="6" spans="1:8" ht="21" customHeight="1" x14ac:dyDescent="0.35">
      <c r="A6" s="180" t="s">
        <v>197</v>
      </c>
      <c r="B6" s="181"/>
      <c r="C6" s="181"/>
      <c r="D6" s="181"/>
      <c r="E6" s="181"/>
      <c r="F6" s="181"/>
      <c r="G6" s="181"/>
      <c r="H6" s="181"/>
    </row>
    <row r="7" spans="1:8" ht="15.75" customHeight="1" x14ac:dyDescent="0.25">
      <c r="A7" s="170" t="s">
        <v>4</v>
      </c>
      <c r="B7" s="171"/>
      <c r="C7" s="171"/>
      <c r="D7" s="171"/>
      <c r="E7" s="171"/>
      <c r="F7" s="171"/>
      <c r="G7" s="171"/>
      <c r="H7" s="171"/>
    </row>
    <row r="8" spans="1:8" ht="15.75" customHeight="1" thickBot="1" x14ac:dyDescent="0.3">
      <c r="A8" s="172" t="s">
        <v>5</v>
      </c>
      <c r="B8" s="173"/>
      <c r="C8" s="173"/>
      <c r="D8" s="173"/>
      <c r="E8" s="173"/>
      <c r="F8" s="173"/>
      <c r="G8" s="173"/>
      <c r="H8" s="173"/>
    </row>
    <row r="9" spans="1:8" ht="28.35" customHeight="1" thickBot="1" x14ac:dyDescent="0.3">
      <c r="A9" s="2" t="s">
        <v>6</v>
      </c>
      <c r="B9" s="83" t="s">
        <v>7</v>
      </c>
      <c r="C9" s="84" t="s">
        <v>141</v>
      </c>
      <c r="D9" s="3" t="s">
        <v>156</v>
      </c>
      <c r="E9" s="3" t="s">
        <v>10</v>
      </c>
      <c r="F9" s="3" t="s">
        <v>142</v>
      </c>
      <c r="G9" s="3" t="s">
        <v>143</v>
      </c>
      <c r="H9" s="4" t="s">
        <v>144</v>
      </c>
    </row>
    <row r="10" spans="1:8" ht="13.35" customHeight="1" x14ac:dyDescent="0.25">
      <c r="A10" s="85" t="s">
        <v>212</v>
      </c>
      <c r="B10" s="94" t="s">
        <v>171</v>
      </c>
      <c r="C10" s="5" t="s">
        <v>173</v>
      </c>
      <c r="D10" s="5" t="s">
        <v>173</v>
      </c>
      <c r="E10" s="153" t="s">
        <v>173</v>
      </c>
      <c r="F10" s="153" t="s">
        <v>173</v>
      </c>
      <c r="G10" s="153" t="s">
        <v>173</v>
      </c>
      <c r="H10" s="95" t="s">
        <v>173</v>
      </c>
    </row>
    <row r="11" spans="1:8" ht="13.35" customHeight="1" x14ac:dyDescent="0.25">
      <c r="A11" s="85" t="s">
        <v>14</v>
      </c>
      <c r="B11" s="87" t="s">
        <v>176</v>
      </c>
      <c r="C11" s="5" t="s">
        <v>173</v>
      </c>
      <c r="D11" s="5" t="s">
        <v>173</v>
      </c>
      <c r="E11" s="153" t="s">
        <v>173</v>
      </c>
      <c r="F11" s="153" t="s">
        <v>173</v>
      </c>
      <c r="G11" s="153" t="s">
        <v>173</v>
      </c>
      <c r="H11" s="95" t="s">
        <v>173</v>
      </c>
    </row>
    <row r="12" spans="1:8" ht="13.35" customHeight="1" x14ac:dyDescent="0.25">
      <c r="A12" s="85" t="s">
        <v>21</v>
      </c>
      <c r="B12" s="87" t="s">
        <v>175</v>
      </c>
      <c r="C12" s="5" t="s">
        <v>173</v>
      </c>
      <c r="D12" s="5" t="s">
        <v>173</v>
      </c>
      <c r="E12" s="153" t="s">
        <v>173</v>
      </c>
      <c r="F12" s="153" t="s">
        <v>173</v>
      </c>
      <c r="G12" s="153" t="s">
        <v>173</v>
      </c>
      <c r="H12" s="95" t="s">
        <v>173</v>
      </c>
    </row>
    <row r="13" spans="1:8" ht="13.35" customHeight="1" x14ac:dyDescent="0.25">
      <c r="A13" s="85" t="s">
        <v>30</v>
      </c>
      <c r="B13" s="87" t="s">
        <v>174</v>
      </c>
      <c r="C13" s="5" t="s">
        <v>173</v>
      </c>
      <c r="D13" s="5" t="s">
        <v>173</v>
      </c>
      <c r="E13" s="153" t="s">
        <v>173</v>
      </c>
      <c r="F13" s="153" t="s">
        <v>173</v>
      </c>
      <c r="G13" s="153" t="s">
        <v>173</v>
      </c>
      <c r="H13" s="95" t="s">
        <v>173</v>
      </c>
    </row>
    <row r="14" spans="1:8" ht="13.35" customHeight="1" x14ac:dyDescent="0.25">
      <c r="A14" s="85" t="s">
        <v>213</v>
      </c>
      <c r="B14" s="88" t="s">
        <v>13</v>
      </c>
      <c r="C14" s="5"/>
      <c r="D14" s="5"/>
      <c r="E14" s="5"/>
      <c r="F14" s="10"/>
      <c r="G14" s="38"/>
      <c r="H14" s="76"/>
    </row>
    <row r="15" spans="1:8" ht="13.35" customHeight="1" x14ac:dyDescent="0.25">
      <c r="A15" s="85" t="s">
        <v>14</v>
      </c>
      <c r="B15" s="88" t="s">
        <v>22</v>
      </c>
      <c r="C15" s="5"/>
      <c r="D15" s="5"/>
      <c r="E15" s="5"/>
      <c r="F15" s="10"/>
      <c r="G15" s="38"/>
      <c r="H15" s="76"/>
    </row>
    <row r="16" spans="1:8" ht="13.35" customHeight="1" x14ac:dyDescent="0.25">
      <c r="A16" s="92">
        <v>1</v>
      </c>
      <c r="B16" s="87" t="s">
        <v>217</v>
      </c>
      <c r="C16" s="58" t="s">
        <v>25</v>
      </c>
      <c r="D16" s="5" t="s">
        <v>23</v>
      </c>
      <c r="E16" s="59">
        <v>2500000</v>
      </c>
      <c r="F16" s="60">
        <v>2488.86</v>
      </c>
      <c r="G16" s="67">
        <v>6.6100000000000006E-2</v>
      </c>
      <c r="H16" s="72">
        <v>6.0498499999999997E-2</v>
      </c>
    </row>
    <row r="17" spans="1:8" ht="13.35" customHeight="1" x14ac:dyDescent="0.25">
      <c r="A17" s="92">
        <f>A16+1</f>
        <v>2</v>
      </c>
      <c r="B17" s="87" t="s">
        <v>218</v>
      </c>
      <c r="C17" s="58" t="s">
        <v>26</v>
      </c>
      <c r="D17" s="5" t="s">
        <v>27</v>
      </c>
      <c r="E17" s="59">
        <v>2500000</v>
      </c>
      <c r="F17" s="60">
        <v>2483.33</v>
      </c>
      <c r="G17" s="67">
        <v>6.6000000000000003E-2</v>
      </c>
      <c r="H17" s="72">
        <v>6.1248999999999998E-2</v>
      </c>
    </row>
    <row r="18" spans="1:8" ht="13.35" customHeight="1" x14ac:dyDescent="0.25">
      <c r="A18" s="92">
        <f>A17+1</f>
        <v>3</v>
      </c>
      <c r="B18" s="87" t="s">
        <v>219</v>
      </c>
      <c r="C18" s="58" t="s">
        <v>28</v>
      </c>
      <c r="D18" s="5" t="s">
        <v>23</v>
      </c>
      <c r="E18" s="59">
        <v>2500000</v>
      </c>
      <c r="F18" s="60">
        <v>2458.96</v>
      </c>
      <c r="G18" s="67">
        <v>6.5299999999999997E-2</v>
      </c>
      <c r="H18" s="72">
        <v>7.0026000000000005E-2</v>
      </c>
    </row>
    <row r="19" spans="1:8" ht="13.35" customHeight="1" x14ac:dyDescent="0.25">
      <c r="A19" s="92">
        <f>A18+1</f>
        <v>4</v>
      </c>
      <c r="B19" s="87" t="s">
        <v>220</v>
      </c>
      <c r="C19" s="58" t="s">
        <v>29</v>
      </c>
      <c r="D19" s="5" t="s">
        <v>23</v>
      </c>
      <c r="E19" s="59">
        <v>2500000</v>
      </c>
      <c r="F19" s="60">
        <v>2443.52</v>
      </c>
      <c r="G19" s="67">
        <v>6.4899999999999999E-2</v>
      </c>
      <c r="H19" s="72">
        <v>7.1500999999999995E-2</v>
      </c>
    </row>
    <row r="20" spans="1:8" ht="13.35" customHeight="1" x14ac:dyDescent="0.25">
      <c r="A20" s="92">
        <f t="shared" ref="A20:A22" si="0">A19+1</f>
        <v>5</v>
      </c>
      <c r="B20" s="87" t="s">
        <v>221</v>
      </c>
      <c r="C20" s="58" t="s">
        <v>164</v>
      </c>
      <c r="D20" s="5" t="s">
        <v>24</v>
      </c>
      <c r="E20" s="59">
        <v>2500000</v>
      </c>
      <c r="F20" s="60">
        <v>2383.98</v>
      </c>
      <c r="G20" s="67">
        <v>6.3299999999999995E-2</v>
      </c>
      <c r="H20" s="72">
        <v>7.4012999999999995E-2</v>
      </c>
    </row>
    <row r="21" spans="1:8" ht="13.35" customHeight="1" x14ac:dyDescent="0.25">
      <c r="A21" s="92">
        <f t="shared" si="0"/>
        <v>6</v>
      </c>
      <c r="B21" s="87" t="s">
        <v>222</v>
      </c>
      <c r="C21" s="58" t="s">
        <v>198</v>
      </c>
      <c r="D21" s="5" t="s">
        <v>23</v>
      </c>
      <c r="E21" s="59">
        <v>2500000</v>
      </c>
      <c r="F21" s="60">
        <v>2376.19</v>
      </c>
      <c r="G21" s="67">
        <v>6.3100000000000003E-2</v>
      </c>
      <c r="H21" s="72">
        <v>7.3999999999999996E-2</v>
      </c>
    </row>
    <row r="22" spans="1:8" ht="13.35" customHeight="1" x14ac:dyDescent="0.25">
      <c r="A22" s="92">
        <f t="shared" si="0"/>
        <v>7</v>
      </c>
      <c r="B22" s="87" t="s">
        <v>223</v>
      </c>
      <c r="C22" s="58" t="s">
        <v>165</v>
      </c>
      <c r="D22" s="5" t="s">
        <v>23</v>
      </c>
      <c r="E22" s="59">
        <v>2500000</v>
      </c>
      <c r="F22" s="60">
        <v>2352.11</v>
      </c>
      <c r="G22" s="67">
        <v>6.25E-2</v>
      </c>
      <c r="H22" s="72">
        <v>7.4999999999999997E-2</v>
      </c>
    </row>
    <row r="23" spans="1:8" ht="13.35" customHeight="1" x14ac:dyDescent="0.25">
      <c r="A23" s="92"/>
      <c r="B23" s="102" t="s">
        <v>20</v>
      </c>
      <c r="C23" s="103"/>
      <c r="D23" s="103"/>
      <c r="E23" s="81"/>
      <c r="F23" s="61">
        <v>16986.95</v>
      </c>
      <c r="G23" s="68">
        <v>0.45119999999999999</v>
      </c>
      <c r="H23" s="73"/>
    </row>
    <row r="24" spans="1:8" ht="13.35" customHeight="1" x14ac:dyDescent="0.25">
      <c r="A24" s="85" t="s">
        <v>21</v>
      </c>
      <c r="B24" s="88" t="s">
        <v>31</v>
      </c>
      <c r="C24" s="5"/>
      <c r="D24" s="5"/>
      <c r="E24" s="5"/>
      <c r="F24" s="10"/>
      <c r="G24" s="38"/>
      <c r="H24" s="76"/>
    </row>
    <row r="25" spans="1:8" ht="13.35" customHeight="1" x14ac:dyDescent="0.25">
      <c r="A25" s="92">
        <v>1</v>
      </c>
      <c r="B25" s="87" t="s">
        <v>214</v>
      </c>
      <c r="C25" s="58" t="s">
        <v>32</v>
      </c>
      <c r="D25" s="5" t="s">
        <v>23</v>
      </c>
      <c r="E25" s="59">
        <v>2500000</v>
      </c>
      <c r="F25" s="60">
        <v>2497.61</v>
      </c>
      <c r="G25" s="67">
        <v>6.6299999999999998E-2</v>
      </c>
      <c r="H25" s="72">
        <v>6.9977999999999999E-2</v>
      </c>
    </row>
    <row r="26" spans="1:8" ht="13.35" customHeight="1" x14ac:dyDescent="0.25">
      <c r="A26" s="92">
        <f t="shared" ref="A26:A27" si="1">A25+1</f>
        <v>2</v>
      </c>
      <c r="B26" s="87" t="s">
        <v>215</v>
      </c>
      <c r="C26" s="58" t="s">
        <v>33</v>
      </c>
      <c r="D26" s="5" t="s">
        <v>23</v>
      </c>
      <c r="E26" s="59">
        <v>2500000</v>
      </c>
      <c r="F26" s="60">
        <v>2460.9299999999998</v>
      </c>
      <c r="G26" s="67">
        <v>6.54E-2</v>
      </c>
      <c r="H26" s="72">
        <v>7.6249999999999998E-2</v>
      </c>
    </row>
    <row r="27" spans="1:8" ht="13.35" customHeight="1" x14ac:dyDescent="0.25">
      <c r="A27" s="92">
        <f t="shared" si="1"/>
        <v>3</v>
      </c>
      <c r="B27" s="87" t="s">
        <v>216</v>
      </c>
      <c r="C27" s="58" t="s">
        <v>34</v>
      </c>
      <c r="D27" s="5" t="s">
        <v>23</v>
      </c>
      <c r="E27" s="59">
        <v>2500000</v>
      </c>
      <c r="F27" s="60">
        <v>2411.37</v>
      </c>
      <c r="G27" s="67">
        <v>6.4000000000000001E-2</v>
      </c>
      <c r="H27" s="72">
        <v>7.7100000000000002E-2</v>
      </c>
    </row>
    <row r="28" spans="1:8" ht="13.35" customHeight="1" x14ac:dyDescent="0.25">
      <c r="A28" s="92"/>
      <c r="B28" s="102" t="s">
        <v>20</v>
      </c>
      <c r="C28" s="103"/>
      <c r="D28" s="103"/>
      <c r="E28" s="81"/>
      <c r="F28" s="61">
        <v>7369.91</v>
      </c>
      <c r="G28" s="68">
        <v>0.19570000000000001</v>
      </c>
      <c r="H28" s="73"/>
    </row>
    <row r="29" spans="1:8" ht="13.35" customHeight="1" x14ac:dyDescent="0.25">
      <c r="A29" s="85" t="s">
        <v>30</v>
      </c>
      <c r="B29" s="88" t="s">
        <v>157</v>
      </c>
      <c r="C29" s="5"/>
      <c r="D29" s="5"/>
      <c r="E29" s="5"/>
      <c r="F29" s="10"/>
      <c r="G29" s="38"/>
      <c r="H29" s="76"/>
    </row>
    <row r="30" spans="1:8" ht="13.35" customHeight="1" x14ac:dyDescent="0.25">
      <c r="A30" s="93">
        <v>1</v>
      </c>
      <c r="B30" s="87" t="s">
        <v>15</v>
      </c>
      <c r="C30" s="58" t="s">
        <v>16</v>
      </c>
      <c r="D30" s="5" t="s">
        <v>17</v>
      </c>
      <c r="E30" s="59">
        <v>7500000</v>
      </c>
      <c r="F30" s="60">
        <v>7417.7</v>
      </c>
      <c r="G30" s="67">
        <v>0.19700000000000001</v>
      </c>
      <c r="H30" s="72">
        <v>5.3999999999999999E-2</v>
      </c>
    </row>
    <row r="31" spans="1:8" ht="13.35" customHeight="1" x14ac:dyDescent="0.25">
      <c r="A31" s="92">
        <v>2</v>
      </c>
      <c r="B31" s="87" t="s">
        <v>18</v>
      </c>
      <c r="C31" s="58" t="s">
        <v>19</v>
      </c>
      <c r="D31" s="5" t="s">
        <v>17</v>
      </c>
      <c r="E31" s="59">
        <v>2500000</v>
      </c>
      <c r="F31" s="60">
        <v>2457</v>
      </c>
      <c r="G31" s="67">
        <v>6.5299999999999997E-2</v>
      </c>
      <c r="H31" s="72">
        <v>5.4600000000000003E-2</v>
      </c>
    </row>
    <row r="32" spans="1:8" ht="13.35" customHeight="1" x14ac:dyDescent="0.25">
      <c r="A32" s="92">
        <v>3</v>
      </c>
      <c r="B32" s="87" t="s">
        <v>166</v>
      </c>
      <c r="C32" s="58" t="s">
        <v>167</v>
      </c>
      <c r="D32" s="5" t="s">
        <v>17</v>
      </c>
      <c r="E32" s="59">
        <v>2500000</v>
      </c>
      <c r="F32" s="60">
        <v>2399.9299999999998</v>
      </c>
      <c r="G32" s="67">
        <v>6.3700000000000007E-2</v>
      </c>
      <c r="H32" s="72">
        <v>5.6161999999999997E-2</v>
      </c>
    </row>
    <row r="33" spans="1:8" ht="13.35" customHeight="1" x14ac:dyDescent="0.25">
      <c r="A33" s="85"/>
      <c r="B33" s="102" t="s">
        <v>20</v>
      </c>
      <c r="C33" s="103"/>
      <c r="D33" s="103"/>
      <c r="E33" s="81"/>
      <c r="F33" s="61">
        <v>12274.63</v>
      </c>
      <c r="G33" s="68">
        <v>0.32600000000000001</v>
      </c>
      <c r="H33" s="73"/>
    </row>
    <row r="34" spans="1:8" ht="13.35" customHeight="1" x14ac:dyDescent="0.25">
      <c r="A34" s="92"/>
      <c r="B34" s="89" t="s">
        <v>35</v>
      </c>
      <c r="C34" s="54"/>
      <c r="D34" s="55"/>
      <c r="E34" s="54"/>
      <c r="F34" s="40"/>
      <c r="G34" s="40"/>
      <c r="H34" s="77"/>
    </row>
    <row r="35" spans="1:8" ht="13.35" customHeight="1" x14ac:dyDescent="0.25">
      <c r="A35" s="92"/>
      <c r="B35" s="88" t="s">
        <v>61</v>
      </c>
      <c r="C35" s="5"/>
      <c r="D35" s="5"/>
      <c r="E35" s="5"/>
      <c r="F35" s="10"/>
      <c r="G35" s="38"/>
      <c r="H35" s="76"/>
    </row>
    <row r="36" spans="1:8" ht="13.35" customHeight="1" x14ac:dyDescent="0.25">
      <c r="A36" s="85" t="s">
        <v>36</v>
      </c>
      <c r="B36" s="88" t="s">
        <v>154</v>
      </c>
      <c r="C36" s="5"/>
      <c r="D36" s="5"/>
      <c r="E36" s="5"/>
      <c r="F36" s="10"/>
      <c r="G36" s="38"/>
      <c r="H36" s="76"/>
    </row>
    <row r="37" spans="1:8" ht="13.35" customHeight="1" x14ac:dyDescent="0.25">
      <c r="A37" s="92">
        <v>1</v>
      </c>
      <c r="B37" s="87" t="s">
        <v>154</v>
      </c>
      <c r="C37" s="5" t="s">
        <v>155</v>
      </c>
      <c r="D37" s="5"/>
      <c r="E37" s="59">
        <v>1358.2629999999999</v>
      </c>
      <c r="F37" s="60">
        <v>159.9</v>
      </c>
      <c r="G37" s="67">
        <v>4.1999999999999997E-3</v>
      </c>
      <c r="H37" s="95"/>
    </row>
    <row r="38" spans="1:8" ht="13.35" customHeight="1" x14ac:dyDescent="0.25">
      <c r="A38" s="85"/>
      <c r="B38" s="102" t="s">
        <v>20</v>
      </c>
      <c r="C38" s="103"/>
      <c r="D38" s="103"/>
      <c r="E38" s="81"/>
      <c r="F38" s="61">
        <v>159.9</v>
      </c>
      <c r="G38" s="68">
        <v>4.1999999999999997E-3</v>
      </c>
      <c r="H38" s="77"/>
    </row>
    <row r="39" spans="1:8" ht="13.35" customHeight="1" x14ac:dyDescent="0.25">
      <c r="A39" s="92"/>
      <c r="B39" s="89" t="s">
        <v>35</v>
      </c>
      <c r="C39" s="54"/>
      <c r="D39" s="55"/>
      <c r="E39" s="54"/>
      <c r="F39" s="61">
        <v>159.9</v>
      </c>
      <c r="G39" s="68">
        <v>4.1999999999999997E-3</v>
      </c>
      <c r="H39" s="77"/>
    </row>
    <row r="40" spans="1:8" ht="13.35" customHeight="1" x14ac:dyDescent="0.25">
      <c r="A40" s="85" t="s">
        <v>163</v>
      </c>
      <c r="B40" s="88" t="s">
        <v>145</v>
      </c>
      <c r="C40" s="5"/>
      <c r="D40" s="5"/>
      <c r="E40" s="5"/>
      <c r="F40" s="10"/>
      <c r="G40" s="38"/>
      <c r="H40" s="76"/>
    </row>
    <row r="41" spans="1:8" ht="13.35" customHeight="1" x14ac:dyDescent="0.25">
      <c r="A41" s="92">
        <v>1</v>
      </c>
      <c r="B41" s="87" t="s">
        <v>211</v>
      </c>
      <c r="C41" s="5"/>
      <c r="D41" s="5" t="s">
        <v>146</v>
      </c>
      <c r="E41" s="39"/>
      <c r="F41" s="60">
        <v>1101.69</v>
      </c>
      <c r="G41" s="67">
        <v>2.93E-2</v>
      </c>
      <c r="H41" s="72">
        <v>5.0892902061566832E-2</v>
      </c>
    </row>
    <row r="42" spans="1:8" ht="13.35" customHeight="1" x14ac:dyDescent="0.25">
      <c r="A42" s="96"/>
      <c r="B42" s="102" t="s">
        <v>20</v>
      </c>
      <c r="C42" s="103"/>
      <c r="D42" s="103"/>
      <c r="E42" s="103"/>
      <c r="F42" s="105">
        <v>1101.69</v>
      </c>
      <c r="G42" s="68">
        <v>2.93E-2</v>
      </c>
      <c r="H42" s="77"/>
    </row>
    <row r="43" spans="1:8" ht="13.35" customHeight="1" x14ac:dyDescent="0.25">
      <c r="A43" s="96"/>
      <c r="B43" s="89" t="s">
        <v>35</v>
      </c>
      <c r="C43" s="54"/>
      <c r="D43" s="55"/>
      <c r="E43" s="54"/>
      <c r="F43" s="104">
        <v>37893.08</v>
      </c>
      <c r="G43" s="69">
        <v>1.0064</v>
      </c>
      <c r="H43" s="77"/>
    </row>
    <row r="44" spans="1:8" ht="13.35" customHeight="1" x14ac:dyDescent="0.25">
      <c r="A44" s="96"/>
      <c r="B44" s="90" t="s">
        <v>37</v>
      </c>
      <c r="C44" s="5"/>
      <c r="D44" s="6"/>
      <c r="E44" s="5"/>
      <c r="F44" s="61">
        <v>-241.37</v>
      </c>
      <c r="G44" s="68">
        <v>-6.4000000000000003E-3</v>
      </c>
      <c r="H44" s="77"/>
    </row>
    <row r="45" spans="1:8" ht="13.35" customHeight="1" thickBot="1" x14ac:dyDescent="0.3">
      <c r="A45" s="97"/>
      <c r="B45" s="91" t="s">
        <v>38</v>
      </c>
      <c r="C45" s="46"/>
      <c r="D45" s="46"/>
      <c r="E45" s="46"/>
      <c r="F45" s="78">
        <v>37651.71</v>
      </c>
      <c r="G45" s="79">
        <v>1</v>
      </c>
      <c r="H45" s="80"/>
    </row>
    <row r="46" spans="1:8" ht="13.35" customHeight="1" x14ac:dyDescent="0.25">
      <c r="A46" s="10"/>
      <c r="B46" s="8"/>
      <c r="C46" s="10"/>
      <c r="D46" s="10"/>
      <c r="E46" s="10"/>
      <c r="F46" s="10"/>
      <c r="G46" s="10"/>
      <c r="H46" s="10"/>
    </row>
    <row r="47" spans="1:8" x14ac:dyDescent="0.25">
      <c r="A47" s="10"/>
      <c r="B47" s="7" t="s">
        <v>146</v>
      </c>
      <c r="C47" s="10"/>
      <c r="D47" s="10"/>
      <c r="E47" s="10"/>
      <c r="F47" s="63"/>
      <c r="G47" s="10"/>
      <c r="H47" s="10"/>
    </row>
    <row r="48" spans="1:8" x14ac:dyDescent="0.25">
      <c r="A48" s="10"/>
      <c r="B48" s="7" t="s">
        <v>158</v>
      </c>
      <c r="C48" s="10"/>
      <c r="D48" s="10"/>
      <c r="E48" s="10"/>
      <c r="F48" s="10"/>
      <c r="G48" s="10"/>
      <c r="H48" s="10"/>
    </row>
    <row r="49" spans="1:8" x14ac:dyDescent="0.25">
      <c r="A49" s="10"/>
      <c r="B49" s="7" t="s">
        <v>40</v>
      </c>
      <c r="C49" s="10"/>
      <c r="D49" s="10"/>
      <c r="E49" s="10"/>
      <c r="F49" s="10"/>
      <c r="G49" s="10"/>
      <c r="H49" s="10"/>
    </row>
    <row r="50" spans="1:8" x14ac:dyDescent="0.25">
      <c r="A50" s="10"/>
    </row>
    <row r="51" spans="1:8" x14ac:dyDescent="0.25">
      <c r="A51" s="10"/>
      <c r="B51" s="11" t="s">
        <v>42</v>
      </c>
      <c r="C51" s="11"/>
      <c r="D51" s="12"/>
    </row>
    <row r="52" spans="1:8" x14ac:dyDescent="0.25">
      <c r="A52" s="10"/>
      <c r="B52" s="13" t="s">
        <v>43</v>
      </c>
      <c r="C52" s="11"/>
      <c r="D52" s="14" t="s">
        <v>44</v>
      </c>
    </row>
    <row r="53" spans="1:8" x14ac:dyDescent="0.25">
      <c r="A53" s="10"/>
      <c r="B53" s="13" t="s">
        <v>168</v>
      </c>
      <c r="C53" s="13"/>
      <c r="D53" s="12"/>
    </row>
    <row r="54" spans="1:8" x14ac:dyDescent="0.25">
      <c r="A54" s="10"/>
      <c r="B54" s="17" t="s">
        <v>48</v>
      </c>
      <c r="C54" s="16"/>
      <c r="D54" s="18">
        <v>11.821199999999999</v>
      </c>
    </row>
    <row r="55" spans="1:8" x14ac:dyDescent="0.25">
      <c r="A55" s="10"/>
      <c r="B55" s="17" t="s">
        <v>45</v>
      </c>
      <c r="C55" s="16"/>
      <c r="D55" s="18">
        <v>18.3062</v>
      </c>
    </row>
    <row r="56" spans="1:8" x14ac:dyDescent="0.25">
      <c r="A56" s="10"/>
      <c r="B56" s="17" t="s">
        <v>49</v>
      </c>
      <c r="C56" s="16"/>
      <c r="D56" s="18">
        <v>11.8253</v>
      </c>
    </row>
    <row r="57" spans="1:8" x14ac:dyDescent="0.25">
      <c r="A57" s="10"/>
      <c r="B57" s="17" t="s">
        <v>50</v>
      </c>
      <c r="C57" s="16"/>
      <c r="D57" s="18">
        <v>12.0426</v>
      </c>
    </row>
    <row r="58" spans="1:8" x14ac:dyDescent="0.25">
      <c r="A58" s="10"/>
      <c r="B58" s="17" t="s">
        <v>47</v>
      </c>
      <c r="C58" s="16"/>
      <c r="D58" s="18">
        <v>11.7372</v>
      </c>
    </row>
    <row r="59" spans="1:8" x14ac:dyDescent="0.25">
      <c r="A59" s="10"/>
      <c r="B59" s="17" t="s">
        <v>46</v>
      </c>
      <c r="C59" s="16"/>
      <c r="D59" s="18">
        <v>11.7325</v>
      </c>
    </row>
    <row r="60" spans="1:8" x14ac:dyDescent="0.25">
      <c r="A60" s="10"/>
      <c r="B60" s="17" t="s">
        <v>52</v>
      </c>
      <c r="C60" s="16"/>
      <c r="D60" s="18">
        <v>11.4491</v>
      </c>
    </row>
    <row r="61" spans="1:8" x14ac:dyDescent="0.25">
      <c r="A61" s="10"/>
      <c r="B61" s="17" t="s">
        <v>54</v>
      </c>
      <c r="C61" s="16"/>
      <c r="D61" s="18">
        <v>11.520099999999999</v>
      </c>
    </row>
    <row r="62" spans="1:8" x14ac:dyDescent="0.25">
      <c r="A62" s="10"/>
      <c r="B62" s="17" t="s">
        <v>51</v>
      </c>
      <c r="C62" s="16"/>
      <c r="D62" s="18">
        <v>17.173500000000001</v>
      </c>
    </row>
    <row r="63" spans="1:8" x14ac:dyDescent="0.25">
      <c r="A63" s="10"/>
      <c r="B63" s="17" t="s">
        <v>55</v>
      </c>
      <c r="C63" s="16"/>
      <c r="D63" s="18">
        <v>11.542</v>
      </c>
    </row>
    <row r="64" spans="1:8" x14ac:dyDescent="0.25">
      <c r="A64" s="10"/>
      <c r="B64" s="17" t="s">
        <v>56</v>
      </c>
      <c r="C64" s="16"/>
      <c r="D64" s="18">
        <v>11.7102</v>
      </c>
    </row>
    <row r="65" spans="1:5" x14ac:dyDescent="0.25">
      <c r="A65" s="10"/>
      <c r="B65" s="17" t="s">
        <v>53</v>
      </c>
      <c r="C65" s="16"/>
      <c r="D65" s="18">
        <v>11.4703</v>
      </c>
    </row>
    <row r="66" spans="1:5" x14ac:dyDescent="0.25">
      <c r="A66" s="10"/>
      <c r="B66" s="13" t="s">
        <v>169</v>
      </c>
      <c r="C66" s="13"/>
      <c r="D66" s="12"/>
    </row>
    <row r="67" spans="1:5" x14ac:dyDescent="0.25">
      <c r="A67" s="10"/>
      <c r="B67" s="17" t="s">
        <v>48</v>
      </c>
      <c r="C67" s="16"/>
      <c r="D67" s="18">
        <v>11.794</v>
      </c>
    </row>
    <row r="68" spans="1:5" x14ac:dyDescent="0.25">
      <c r="A68" s="10"/>
      <c r="B68" s="17" t="s">
        <v>45</v>
      </c>
      <c r="C68" s="16"/>
      <c r="D68" s="18">
        <v>18.3371</v>
      </c>
    </row>
    <row r="69" spans="1:5" x14ac:dyDescent="0.25">
      <c r="A69" s="10"/>
      <c r="B69" s="17" t="s">
        <v>49</v>
      </c>
      <c r="C69" s="16"/>
      <c r="D69" s="18">
        <v>11.8452</v>
      </c>
    </row>
    <row r="70" spans="1:5" x14ac:dyDescent="0.25">
      <c r="A70" s="10"/>
      <c r="B70" s="17" t="s">
        <v>50</v>
      </c>
      <c r="C70" s="16"/>
      <c r="D70" s="18">
        <v>12.062900000000001</v>
      </c>
    </row>
    <row r="71" spans="1:5" x14ac:dyDescent="0.25">
      <c r="A71" s="10"/>
      <c r="B71" s="17" t="s">
        <v>47</v>
      </c>
      <c r="C71" s="16"/>
      <c r="D71" s="18">
        <v>11.7226</v>
      </c>
    </row>
    <row r="72" spans="1:5" x14ac:dyDescent="0.25">
      <c r="A72" s="10"/>
      <c r="B72" s="17" t="s">
        <v>46</v>
      </c>
      <c r="C72" s="16"/>
      <c r="D72" s="18">
        <v>11.7326</v>
      </c>
    </row>
    <row r="73" spans="1:5" x14ac:dyDescent="0.25">
      <c r="A73" s="10"/>
      <c r="B73" s="17" t="s">
        <v>52</v>
      </c>
      <c r="C73" s="16"/>
      <c r="D73" s="18">
        <v>11.4488</v>
      </c>
    </row>
    <row r="74" spans="1:5" x14ac:dyDescent="0.25">
      <c r="A74" s="10"/>
      <c r="B74" s="17" t="s">
        <v>54</v>
      </c>
      <c r="C74" s="16"/>
      <c r="D74" s="18">
        <v>11.4969</v>
      </c>
    </row>
    <row r="75" spans="1:5" x14ac:dyDescent="0.25">
      <c r="A75" s="10"/>
      <c r="B75" s="17" t="s">
        <v>51</v>
      </c>
      <c r="C75" s="16"/>
      <c r="D75" s="18">
        <v>17.195699999999999</v>
      </c>
    </row>
    <row r="76" spans="1:5" x14ac:dyDescent="0.25">
      <c r="A76" s="10"/>
      <c r="B76" s="17" t="s">
        <v>55</v>
      </c>
      <c r="C76" s="16"/>
      <c r="D76" s="18">
        <v>11.556900000000001</v>
      </c>
    </row>
    <row r="77" spans="1:5" x14ac:dyDescent="0.25">
      <c r="A77" s="10"/>
      <c r="B77" s="17" t="s">
        <v>56</v>
      </c>
      <c r="C77" s="16"/>
      <c r="D77" s="18">
        <v>11.7254</v>
      </c>
    </row>
    <row r="78" spans="1:5" x14ac:dyDescent="0.25">
      <c r="A78" s="10"/>
      <c r="B78" s="17" t="s">
        <v>53</v>
      </c>
      <c r="C78" s="16"/>
      <c r="D78" s="18">
        <v>11.4597</v>
      </c>
    </row>
    <row r="79" spans="1:5" x14ac:dyDescent="0.25">
      <c r="A79" s="10"/>
      <c r="B79" s="17"/>
      <c r="C79" s="16"/>
      <c r="D79" s="18"/>
    </row>
    <row r="80" spans="1:5" s="28" customFormat="1" x14ac:dyDescent="0.25">
      <c r="A80" s="49"/>
      <c r="B80" s="56" t="s">
        <v>170</v>
      </c>
      <c r="C80" s="56"/>
      <c r="D80" s="57"/>
      <c r="E80" s="57" t="s">
        <v>44</v>
      </c>
    </row>
    <row r="81" spans="1:5" s="28" customFormat="1" x14ac:dyDescent="0.25">
      <c r="A81" s="49"/>
      <c r="B81" s="193" t="s">
        <v>205</v>
      </c>
      <c r="C81" s="193"/>
      <c r="D81" s="57"/>
      <c r="E81" s="57" t="s">
        <v>44</v>
      </c>
    </row>
    <row r="82" spans="1:5" s="28" customFormat="1" x14ac:dyDescent="0.25">
      <c r="A82" s="49"/>
      <c r="B82" s="193" t="s">
        <v>206</v>
      </c>
      <c r="C82" s="193"/>
      <c r="D82" s="57"/>
      <c r="E82" s="57" t="s">
        <v>44</v>
      </c>
    </row>
    <row r="83" spans="1:5" s="28" customFormat="1" x14ac:dyDescent="0.25">
      <c r="A83" s="49"/>
      <c r="B83" s="193" t="s">
        <v>207</v>
      </c>
      <c r="C83" s="193"/>
      <c r="D83" s="57"/>
      <c r="E83" s="57" t="s">
        <v>44</v>
      </c>
    </row>
    <row r="84" spans="1:5" s="28" customFormat="1" x14ac:dyDescent="0.25">
      <c r="A84" s="49"/>
      <c r="B84" s="193" t="s">
        <v>208</v>
      </c>
      <c r="C84" s="193"/>
      <c r="D84" s="57"/>
      <c r="E84" s="57" t="s">
        <v>44</v>
      </c>
    </row>
    <row r="85" spans="1:5" s="28" customFormat="1" x14ac:dyDescent="0.25">
      <c r="A85" s="49"/>
      <c r="B85" s="193" t="s">
        <v>209</v>
      </c>
      <c r="C85" s="193"/>
      <c r="D85" s="57"/>
      <c r="E85" s="57" t="s">
        <v>44</v>
      </c>
    </row>
    <row r="86" spans="1:5" s="28" customFormat="1" x14ac:dyDescent="0.25">
      <c r="A86" s="49"/>
      <c r="B86" s="50"/>
      <c r="C86" s="50"/>
      <c r="D86" s="51"/>
    </row>
    <row r="87" spans="1:5" x14ac:dyDescent="0.25">
      <c r="A87" s="23"/>
      <c r="B87" s="13" t="s">
        <v>162</v>
      </c>
      <c r="C87" s="13"/>
      <c r="D87" s="15" t="s">
        <v>44</v>
      </c>
    </row>
    <row r="88" spans="1:5" x14ac:dyDescent="0.25">
      <c r="A88" s="25" t="s">
        <v>62</v>
      </c>
      <c r="B88" s="19" t="s">
        <v>57</v>
      </c>
      <c r="C88" s="19"/>
      <c r="D88" s="20" t="s">
        <v>202</v>
      </c>
    </row>
    <row r="89" spans="1:5" x14ac:dyDescent="0.25">
      <c r="A89" s="25" t="s">
        <v>64</v>
      </c>
      <c r="B89" s="11" t="s">
        <v>196</v>
      </c>
      <c r="C89" s="21"/>
      <c r="D89" s="22" t="s">
        <v>58</v>
      </c>
    </row>
    <row r="90" spans="1:5" x14ac:dyDescent="0.25">
      <c r="A90" s="25" t="s">
        <v>66</v>
      </c>
      <c r="B90" s="24" t="s">
        <v>59</v>
      </c>
      <c r="C90" s="21" t="s">
        <v>60</v>
      </c>
      <c r="D90" s="21" t="s">
        <v>61</v>
      </c>
    </row>
    <row r="91" spans="1:5" x14ac:dyDescent="0.25">
      <c r="A91" s="25" t="s">
        <v>68</v>
      </c>
      <c r="B91" s="19" t="s">
        <v>63</v>
      </c>
      <c r="C91" s="64">
        <v>4.7136440000000002E-2</v>
      </c>
      <c r="D91" s="65">
        <v>4.7136440000000002E-2</v>
      </c>
    </row>
    <row r="92" spans="1:5" x14ac:dyDescent="0.25">
      <c r="A92" s="25" t="s">
        <v>70</v>
      </c>
      <c r="B92" s="19" t="s">
        <v>65</v>
      </c>
      <c r="C92" s="66">
        <v>0</v>
      </c>
      <c r="D92" s="66">
        <v>0</v>
      </c>
    </row>
    <row r="93" spans="1:5" x14ac:dyDescent="0.25">
      <c r="A93" s="25" t="s">
        <v>72</v>
      </c>
      <c r="B93" s="19" t="s">
        <v>67</v>
      </c>
      <c r="C93" s="66">
        <v>0</v>
      </c>
      <c r="D93" s="66">
        <v>0</v>
      </c>
    </row>
    <row r="94" spans="1:5" x14ac:dyDescent="0.25">
      <c r="A94" s="25" t="s">
        <v>74</v>
      </c>
      <c r="B94" s="19" t="s">
        <v>69</v>
      </c>
      <c r="C94" s="64">
        <v>3.4311170000000002E-2</v>
      </c>
      <c r="D94" s="65">
        <v>3.4311170000000002E-2</v>
      </c>
    </row>
    <row r="95" spans="1:5" x14ac:dyDescent="0.25">
      <c r="A95" s="25" t="s">
        <v>76</v>
      </c>
      <c r="B95" s="19" t="s">
        <v>71</v>
      </c>
      <c r="C95" s="64">
        <v>1.9636830000000001E-2</v>
      </c>
      <c r="D95" s="65">
        <v>1.9636830000000001E-2</v>
      </c>
    </row>
    <row r="96" spans="1:5" x14ac:dyDescent="0.25">
      <c r="A96" s="25" t="s">
        <v>78</v>
      </c>
      <c r="B96" s="19" t="s">
        <v>73</v>
      </c>
      <c r="C96" s="64">
        <v>1.505225E-2</v>
      </c>
      <c r="D96" s="65">
        <v>1.505225E-2</v>
      </c>
    </row>
    <row r="97" spans="1:6" x14ac:dyDescent="0.25">
      <c r="A97" s="25" t="s">
        <v>80</v>
      </c>
      <c r="B97" s="19" t="s">
        <v>75</v>
      </c>
      <c r="C97" s="64">
        <v>3.8184290000000003E-2</v>
      </c>
      <c r="D97" s="65">
        <v>3.8184290000000003E-2</v>
      </c>
    </row>
    <row r="98" spans="1:6" x14ac:dyDescent="0.25">
      <c r="B98" s="19" t="s">
        <v>77</v>
      </c>
      <c r="C98" s="66">
        <v>0</v>
      </c>
      <c r="D98" s="66">
        <v>0</v>
      </c>
    </row>
    <row r="99" spans="1:6" x14ac:dyDescent="0.25">
      <c r="B99" s="19" t="s">
        <v>79</v>
      </c>
      <c r="C99" s="66">
        <v>0</v>
      </c>
      <c r="D99" s="66">
        <v>0</v>
      </c>
    </row>
    <row r="100" spans="1:6" x14ac:dyDescent="0.25">
      <c r="B100" s="19" t="s">
        <v>81</v>
      </c>
      <c r="C100" s="64">
        <v>2.5388569999999999E-2</v>
      </c>
      <c r="D100" s="65">
        <v>2.5388569999999999E-2</v>
      </c>
    </row>
    <row r="101" spans="1:6" x14ac:dyDescent="0.25">
      <c r="F101" s="28" t="s">
        <v>179</v>
      </c>
    </row>
    <row r="102" spans="1:6" x14ac:dyDescent="0.25">
      <c r="B102" s="28" t="s">
        <v>82</v>
      </c>
      <c r="F102" s="28" t="s">
        <v>83</v>
      </c>
    </row>
    <row r="116" spans="2:5" ht="15.75" thickBot="1" x14ac:dyDescent="0.3"/>
    <row r="117" spans="2:5" x14ac:dyDescent="0.25">
      <c r="B117" s="182" t="s">
        <v>146</v>
      </c>
      <c r="C117" s="182" t="s">
        <v>180</v>
      </c>
      <c r="D117" s="182" t="s">
        <v>181</v>
      </c>
      <c r="E117" s="182" t="s">
        <v>182</v>
      </c>
    </row>
    <row r="118" spans="2:5" ht="15.75" thickBot="1" x14ac:dyDescent="0.3">
      <c r="B118" s="183"/>
      <c r="C118" s="184"/>
      <c r="D118" s="184"/>
      <c r="E118" s="184"/>
    </row>
    <row r="119" spans="2:5" x14ac:dyDescent="0.25">
      <c r="B119" s="185" t="s">
        <v>183</v>
      </c>
      <c r="C119" s="187"/>
      <c r="D119" s="187" t="s">
        <v>184</v>
      </c>
      <c r="E119" s="182"/>
    </row>
    <row r="120" spans="2:5" x14ac:dyDescent="0.25">
      <c r="B120" s="186"/>
      <c r="C120" s="188"/>
      <c r="D120" s="188"/>
      <c r="E120" s="186"/>
    </row>
    <row r="121" spans="2:5" ht="15.75" thickBot="1" x14ac:dyDescent="0.3">
      <c r="B121" s="184"/>
      <c r="C121" s="189"/>
      <c r="D121" s="189"/>
      <c r="E121" s="184"/>
    </row>
    <row r="122" spans="2:5" x14ac:dyDescent="0.25">
      <c r="B122" s="182" t="s">
        <v>185</v>
      </c>
      <c r="C122" s="182"/>
      <c r="D122" s="182"/>
      <c r="E122" s="182"/>
    </row>
    <row r="123" spans="2:5" x14ac:dyDescent="0.25">
      <c r="B123" s="186"/>
      <c r="C123" s="186"/>
      <c r="D123" s="186"/>
      <c r="E123" s="186"/>
    </row>
    <row r="124" spans="2:5" ht="15.75" thickBot="1" x14ac:dyDescent="0.3">
      <c r="B124" s="184"/>
      <c r="C124" s="184"/>
      <c r="D124" s="184"/>
      <c r="E124" s="184"/>
    </row>
    <row r="125" spans="2:5" x14ac:dyDescent="0.25">
      <c r="B125" s="182" t="s">
        <v>186</v>
      </c>
      <c r="C125" s="190"/>
      <c r="D125" s="182"/>
      <c r="E125" s="182"/>
    </row>
    <row r="126" spans="2:5" x14ac:dyDescent="0.25">
      <c r="B126" s="186"/>
      <c r="C126" s="191"/>
      <c r="D126" s="186"/>
      <c r="E126" s="186"/>
    </row>
    <row r="127" spans="2:5" ht="15.75" thickBot="1" x14ac:dyDescent="0.3">
      <c r="B127" s="184"/>
      <c r="C127" s="192"/>
      <c r="D127" s="184"/>
      <c r="E127" s="184"/>
    </row>
  </sheetData>
  <mergeCells count="28">
    <mergeCell ref="B81:C81"/>
    <mergeCell ref="B82:C82"/>
    <mergeCell ref="B83:C83"/>
    <mergeCell ref="B84:C84"/>
    <mergeCell ref="B85:C85"/>
    <mergeCell ref="B122:B124"/>
    <mergeCell ref="C122:C124"/>
    <mergeCell ref="D122:D124"/>
    <mergeCell ref="E122:E124"/>
    <mergeCell ref="B125:B127"/>
    <mergeCell ref="C125:C127"/>
    <mergeCell ref="D125:D127"/>
    <mergeCell ref="E125:E127"/>
    <mergeCell ref="B117:B118"/>
    <mergeCell ref="C117:C118"/>
    <mergeCell ref="D117:D118"/>
    <mergeCell ref="E117:E118"/>
    <mergeCell ref="B119:B121"/>
    <mergeCell ref="C119:C121"/>
    <mergeCell ref="D119:D121"/>
    <mergeCell ref="E119:E121"/>
    <mergeCell ref="A7:H7"/>
    <mergeCell ref="A8:H8"/>
    <mergeCell ref="A2:H2"/>
    <mergeCell ref="A3:H3"/>
    <mergeCell ref="A4:H4"/>
    <mergeCell ref="A5:H5"/>
    <mergeCell ref="A6:H6"/>
  </mergeCells>
  <pageMargins left="0.7" right="0.7" top="0.75" bottom="0.75" header="0.3" footer="0.3"/>
  <pageSetup orientation="portrait" r:id="rId1"/>
  <headerFooter>
    <oddFooter xml:space="preserve">&amp;C_x000D_&amp;1#&amp;"Aptos"&amp;10&amp;K000000  For internal use only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36"/>
  <sheetViews>
    <sheetView topLeftCell="A6" zoomScale="70" zoomScaleNormal="70" workbookViewId="0">
      <selection activeCell="Q29" sqref="Q29"/>
    </sheetView>
  </sheetViews>
  <sheetFormatPr defaultColWidth="8.5703125" defaultRowHeight="15" x14ac:dyDescent="0.25"/>
  <cols>
    <col min="1" max="1" width="9.42578125" bestFit="1" customWidth="1"/>
    <col min="2" max="2" width="48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.75" thickBot="1" x14ac:dyDescent="0.3">
      <c r="A1" s="1" t="s">
        <v>84</v>
      </c>
    </row>
    <row r="2" spans="1:8" ht="23.25" customHeight="1" x14ac:dyDescent="0.45">
      <c r="A2" s="174" t="s">
        <v>0</v>
      </c>
      <c r="B2" s="175"/>
      <c r="C2" s="175"/>
      <c r="D2" s="175"/>
      <c r="E2" s="175"/>
      <c r="F2" s="175"/>
      <c r="G2" s="175"/>
      <c r="H2" s="175"/>
    </row>
    <row r="3" spans="1:8" ht="23.25" customHeight="1" x14ac:dyDescent="0.3">
      <c r="A3" s="176" t="s">
        <v>1</v>
      </c>
      <c r="B3" s="177"/>
      <c r="C3" s="177"/>
      <c r="D3" s="177"/>
      <c r="E3" s="177"/>
      <c r="F3" s="177"/>
      <c r="G3" s="177"/>
      <c r="H3" s="177"/>
    </row>
    <row r="4" spans="1:8" ht="23.25" customHeight="1" x14ac:dyDescent="0.25">
      <c r="A4" s="178" t="s">
        <v>2</v>
      </c>
      <c r="B4" s="179"/>
      <c r="C4" s="179"/>
      <c r="D4" s="179"/>
      <c r="E4" s="179"/>
      <c r="F4" s="179"/>
      <c r="G4" s="179"/>
      <c r="H4" s="179"/>
    </row>
    <row r="5" spans="1:8" ht="23.25" customHeight="1" x14ac:dyDescent="0.25">
      <c r="A5" s="178" t="s">
        <v>3</v>
      </c>
      <c r="B5" s="179"/>
      <c r="C5" s="179"/>
      <c r="D5" s="179"/>
      <c r="E5" s="179"/>
      <c r="F5" s="179"/>
      <c r="G5" s="179"/>
      <c r="H5" s="179"/>
    </row>
    <row r="6" spans="1:8" ht="23.25" customHeight="1" x14ac:dyDescent="0.35">
      <c r="A6" s="180" t="s">
        <v>197</v>
      </c>
      <c r="B6" s="181"/>
      <c r="C6" s="181"/>
      <c r="D6" s="181"/>
      <c r="E6" s="181"/>
      <c r="F6" s="181"/>
      <c r="G6" s="181"/>
      <c r="H6" s="181"/>
    </row>
    <row r="7" spans="1:8" ht="16.5" customHeight="1" x14ac:dyDescent="0.25">
      <c r="A7" s="194" t="s">
        <v>85</v>
      </c>
      <c r="B7" s="195"/>
      <c r="C7" s="195"/>
      <c r="D7" s="195"/>
      <c r="E7" s="195"/>
      <c r="F7" s="195"/>
      <c r="G7" s="195"/>
      <c r="H7" s="195"/>
    </row>
    <row r="8" spans="1:8" ht="16.5" customHeight="1" thickBot="1" x14ac:dyDescent="0.3">
      <c r="A8" s="196" t="s">
        <v>86</v>
      </c>
      <c r="B8" s="197"/>
      <c r="C8" s="197"/>
      <c r="D8" s="197"/>
      <c r="E8" s="197"/>
      <c r="F8" s="197"/>
      <c r="G8" s="197"/>
      <c r="H8" s="197"/>
    </row>
    <row r="9" spans="1:8" ht="28.35" customHeight="1" thickBot="1" x14ac:dyDescent="0.3">
      <c r="A9" s="2" t="s">
        <v>6</v>
      </c>
      <c r="B9" s="83" t="s">
        <v>7</v>
      </c>
      <c r="C9" s="84" t="s">
        <v>141</v>
      </c>
      <c r="D9" s="3" t="s">
        <v>156</v>
      </c>
      <c r="E9" s="3" t="s">
        <v>10</v>
      </c>
      <c r="F9" s="3" t="s">
        <v>142</v>
      </c>
      <c r="G9" s="3" t="s">
        <v>143</v>
      </c>
      <c r="H9" s="4" t="s">
        <v>144</v>
      </c>
    </row>
    <row r="10" spans="1:8" ht="13.35" customHeight="1" x14ac:dyDescent="0.25">
      <c r="A10" s="85" t="s">
        <v>212</v>
      </c>
      <c r="B10" s="94" t="s">
        <v>171</v>
      </c>
      <c r="C10" s="5" t="s">
        <v>173</v>
      </c>
      <c r="D10" s="5" t="s">
        <v>173</v>
      </c>
      <c r="E10" s="153" t="s">
        <v>173</v>
      </c>
      <c r="F10" s="153" t="s">
        <v>173</v>
      </c>
      <c r="G10" s="153" t="s">
        <v>173</v>
      </c>
      <c r="H10" s="95" t="s">
        <v>173</v>
      </c>
    </row>
    <row r="11" spans="1:8" ht="13.35" customHeight="1" x14ac:dyDescent="0.25">
      <c r="A11" s="85" t="s">
        <v>14</v>
      </c>
      <c r="B11" s="87" t="s">
        <v>176</v>
      </c>
      <c r="C11" s="5" t="s">
        <v>173</v>
      </c>
      <c r="D11" s="5" t="s">
        <v>173</v>
      </c>
      <c r="E11" s="153" t="s">
        <v>173</v>
      </c>
      <c r="F11" s="153" t="s">
        <v>173</v>
      </c>
      <c r="G11" s="153" t="s">
        <v>173</v>
      </c>
      <c r="H11" s="95" t="s">
        <v>173</v>
      </c>
    </row>
    <row r="12" spans="1:8" ht="13.35" customHeight="1" x14ac:dyDescent="0.25">
      <c r="A12" s="85" t="s">
        <v>21</v>
      </c>
      <c r="B12" s="87" t="s">
        <v>175</v>
      </c>
      <c r="C12" s="5" t="s">
        <v>173</v>
      </c>
      <c r="D12" s="5" t="s">
        <v>173</v>
      </c>
      <c r="E12" s="153" t="s">
        <v>173</v>
      </c>
      <c r="F12" s="153" t="s">
        <v>173</v>
      </c>
      <c r="G12" s="153" t="s">
        <v>173</v>
      </c>
      <c r="H12" s="95" t="s">
        <v>173</v>
      </c>
    </row>
    <row r="13" spans="1:8" ht="13.35" customHeight="1" x14ac:dyDescent="0.25">
      <c r="A13" s="85" t="s">
        <v>30</v>
      </c>
      <c r="B13" s="87" t="s">
        <v>174</v>
      </c>
      <c r="C13" s="5" t="s">
        <v>173</v>
      </c>
      <c r="D13" s="5" t="s">
        <v>173</v>
      </c>
      <c r="E13" s="153" t="s">
        <v>173</v>
      </c>
      <c r="F13" s="153" t="s">
        <v>173</v>
      </c>
      <c r="G13" s="153" t="s">
        <v>173</v>
      </c>
      <c r="H13" s="95" t="s">
        <v>173</v>
      </c>
    </row>
    <row r="14" spans="1:8" ht="13.35" customHeight="1" x14ac:dyDescent="0.25">
      <c r="A14" s="85" t="s">
        <v>213</v>
      </c>
      <c r="B14" s="88" t="s">
        <v>13</v>
      </c>
      <c r="C14" s="5"/>
      <c r="D14" s="5"/>
      <c r="E14" s="5"/>
      <c r="F14" s="5"/>
      <c r="G14" s="5"/>
      <c r="H14" s="95"/>
    </row>
    <row r="15" spans="1:8" ht="13.35" customHeight="1" x14ac:dyDescent="0.25">
      <c r="A15" s="85" t="s">
        <v>14</v>
      </c>
      <c r="B15" s="88" t="s">
        <v>22</v>
      </c>
      <c r="C15" s="5"/>
      <c r="D15" s="5"/>
      <c r="E15" s="5"/>
      <c r="F15" s="5"/>
      <c r="G15" s="5"/>
      <c r="H15" s="95"/>
    </row>
    <row r="16" spans="1:8" ht="13.35" customHeight="1" x14ac:dyDescent="0.25">
      <c r="A16" s="98">
        <v>1</v>
      </c>
      <c r="B16" s="87" t="s">
        <v>224</v>
      </c>
      <c r="C16" s="5" t="s">
        <v>89</v>
      </c>
      <c r="D16" s="5" t="s">
        <v>23</v>
      </c>
      <c r="E16" s="59">
        <v>5000000</v>
      </c>
      <c r="F16" s="60">
        <v>4998.59</v>
      </c>
      <c r="G16" s="67">
        <v>5.5100000000000003E-2</v>
      </c>
      <c r="H16" s="72">
        <v>5.1583999999999998E-2</v>
      </c>
    </row>
    <row r="17" spans="1:11" ht="13.35" customHeight="1" x14ac:dyDescent="0.25">
      <c r="A17" s="98">
        <f>A16+1</f>
        <v>2</v>
      </c>
      <c r="B17" s="87" t="s">
        <v>225</v>
      </c>
      <c r="C17" s="5" t="s">
        <v>90</v>
      </c>
      <c r="D17" s="5" t="s">
        <v>23</v>
      </c>
      <c r="E17" s="59">
        <v>5000000</v>
      </c>
      <c r="F17" s="60">
        <v>4997.53</v>
      </c>
      <c r="G17" s="67">
        <v>5.5100000000000003E-2</v>
      </c>
      <c r="H17" s="72">
        <v>6.0132999999999999E-2</v>
      </c>
    </row>
    <row r="18" spans="1:11" ht="13.35" customHeight="1" x14ac:dyDescent="0.25">
      <c r="A18" s="98">
        <f>A17+1</f>
        <v>3</v>
      </c>
      <c r="B18" s="87" t="s">
        <v>226</v>
      </c>
      <c r="C18" s="5" t="s">
        <v>91</v>
      </c>
      <c r="D18" s="5" t="s">
        <v>92</v>
      </c>
      <c r="E18" s="59">
        <v>5000000</v>
      </c>
      <c r="F18" s="60">
        <v>4996.68</v>
      </c>
      <c r="G18" s="67">
        <v>5.5E-2</v>
      </c>
      <c r="H18" s="72">
        <v>6.0630000000000003E-2</v>
      </c>
    </row>
    <row r="19" spans="1:11" ht="13.35" customHeight="1" x14ac:dyDescent="0.25">
      <c r="A19" s="98">
        <f t="shared" ref="A19:A24" si="0">A18+1</f>
        <v>4</v>
      </c>
      <c r="B19" s="87" t="s">
        <v>227</v>
      </c>
      <c r="C19" s="5" t="s">
        <v>93</v>
      </c>
      <c r="D19" s="5" t="s">
        <v>23</v>
      </c>
      <c r="E19" s="59">
        <v>5000000</v>
      </c>
      <c r="F19" s="60">
        <v>4996.6499999999996</v>
      </c>
      <c r="G19" s="67">
        <v>5.5E-2</v>
      </c>
      <c r="H19" s="72">
        <v>6.1316000000000002E-2</v>
      </c>
    </row>
    <row r="20" spans="1:11" ht="13.35" customHeight="1" x14ac:dyDescent="0.25">
      <c r="A20" s="98">
        <f t="shared" si="0"/>
        <v>5</v>
      </c>
      <c r="B20" s="87" t="s">
        <v>228</v>
      </c>
      <c r="C20" s="5" t="s">
        <v>94</v>
      </c>
      <c r="D20" s="5" t="s">
        <v>23</v>
      </c>
      <c r="E20" s="59">
        <v>5000000</v>
      </c>
      <c r="F20" s="60">
        <v>4990.37</v>
      </c>
      <c r="G20" s="67">
        <v>5.5E-2</v>
      </c>
      <c r="H20" s="72">
        <v>5.8741000000000002E-2</v>
      </c>
    </row>
    <row r="21" spans="1:11" ht="13.35" customHeight="1" x14ac:dyDescent="0.25">
      <c r="A21" s="98">
        <f t="shared" si="0"/>
        <v>6</v>
      </c>
      <c r="B21" s="87" t="s">
        <v>229</v>
      </c>
      <c r="C21" s="5" t="s">
        <v>199</v>
      </c>
      <c r="D21" s="5" t="s">
        <v>92</v>
      </c>
      <c r="E21" s="59">
        <v>5000000</v>
      </c>
      <c r="F21" s="60">
        <v>4917.43</v>
      </c>
      <c r="G21" s="67">
        <v>5.4199999999999998E-2</v>
      </c>
      <c r="H21" s="72">
        <v>6.9650000000000004E-2</v>
      </c>
    </row>
    <row r="22" spans="1:11" ht="13.35" customHeight="1" x14ac:dyDescent="0.25">
      <c r="A22" s="98">
        <f t="shared" si="0"/>
        <v>7</v>
      </c>
      <c r="B22" s="87" t="s">
        <v>230</v>
      </c>
      <c r="C22" s="5" t="s">
        <v>200</v>
      </c>
      <c r="D22" s="5" t="s">
        <v>23</v>
      </c>
      <c r="E22" s="59">
        <v>5000000</v>
      </c>
      <c r="F22" s="60">
        <v>4916.51</v>
      </c>
      <c r="G22" s="67">
        <v>5.4199999999999998E-2</v>
      </c>
      <c r="H22" s="72">
        <v>6.9650000000000004E-2</v>
      </c>
    </row>
    <row r="23" spans="1:11" ht="13.35" customHeight="1" x14ac:dyDescent="0.25">
      <c r="A23" s="98">
        <f t="shared" si="0"/>
        <v>8</v>
      </c>
      <c r="B23" s="87" t="s">
        <v>218</v>
      </c>
      <c r="C23" s="5" t="s">
        <v>26</v>
      </c>
      <c r="D23" s="5" t="s">
        <v>27</v>
      </c>
      <c r="E23" s="59">
        <v>2500000</v>
      </c>
      <c r="F23" s="60">
        <v>2483.33</v>
      </c>
      <c r="G23" s="67">
        <v>2.7400000000000001E-2</v>
      </c>
      <c r="H23" s="72">
        <v>6.1248999999999998E-2</v>
      </c>
    </row>
    <row r="24" spans="1:11" s="28" customFormat="1" ht="13.35" customHeight="1" x14ac:dyDescent="0.25">
      <c r="A24" s="98">
        <f t="shared" si="0"/>
        <v>9</v>
      </c>
      <c r="B24" s="102" t="s">
        <v>20</v>
      </c>
      <c r="C24" s="103"/>
      <c r="D24" s="103"/>
      <c r="E24" s="81"/>
      <c r="F24" s="61">
        <v>37297.089999999997</v>
      </c>
      <c r="G24" s="68">
        <v>0.41099999999999998</v>
      </c>
      <c r="H24" s="73"/>
      <c r="J24"/>
      <c r="K24"/>
    </row>
    <row r="25" spans="1:11" ht="13.35" customHeight="1" x14ac:dyDescent="0.25">
      <c r="A25" s="85" t="s">
        <v>21</v>
      </c>
      <c r="B25" s="88" t="s">
        <v>31</v>
      </c>
      <c r="C25" s="58"/>
      <c r="D25" s="5"/>
      <c r="E25" s="59"/>
      <c r="F25" s="60"/>
      <c r="G25" s="67"/>
      <c r="H25" s="72"/>
    </row>
    <row r="26" spans="1:11" ht="13.35" customHeight="1" x14ac:dyDescent="0.25">
      <c r="A26" s="98">
        <v>1</v>
      </c>
      <c r="B26" s="87" t="s">
        <v>231</v>
      </c>
      <c r="C26" s="58" t="s">
        <v>192</v>
      </c>
      <c r="D26" s="5" t="s">
        <v>23</v>
      </c>
      <c r="E26" s="59">
        <v>5000000</v>
      </c>
      <c r="F26" s="60">
        <v>4932.91</v>
      </c>
      <c r="G26" s="67">
        <v>5.4300000000000001E-2</v>
      </c>
      <c r="H26" s="72">
        <v>7.6378000000000001E-2</v>
      </c>
    </row>
    <row r="27" spans="1:11" ht="13.35" customHeight="1" x14ac:dyDescent="0.25">
      <c r="A27" s="98">
        <v>2</v>
      </c>
      <c r="B27" s="87" t="s">
        <v>232</v>
      </c>
      <c r="C27" s="58" t="s">
        <v>193</v>
      </c>
      <c r="D27" s="5" t="s">
        <v>23</v>
      </c>
      <c r="E27" s="59">
        <v>5000000</v>
      </c>
      <c r="F27" s="60">
        <v>4932.67</v>
      </c>
      <c r="G27" s="67">
        <v>5.4300000000000001E-2</v>
      </c>
      <c r="H27" s="72">
        <v>7.6648999999999995E-2</v>
      </c>
    </row>
    <row r="28" spans="1:11" ht="13.35" customHeight="1" x14ac:dyDescent="0.25">
      <c r="A28" s="98">
        <v>3</v>
      </c>
      <c r="B28" s="87" t="s">
        <v>233</v>
      </c>
      <c r="C28" s="58" t="s">
        <v>201</v>
      </c>
      <c r="D28" s="5" t="s">
        <v>27</v>
      </c>
      <c r="E28" s="59">
        <v>5000000</v>
      </c>
      <c r="F28" s="60">
        <v>4909.16</v>
      </c>
      <c r="G28" s="67">
        <v>5.4100000000000002E-2</v>
      </c>
      <c r="H28" s="72">
        <v>7.6749999999999999E-2</v>
      </c>
    </row>
    <row r="29" spans="1:11" ht="13.35" customHeight="1" x14ac:dyDescent="0.25">
      <c r="A29" s="85"/>
      <c r="B29" s="102" t="s">
        <v>20</v>
      </c>
      <c r="C29" s="103"/>
      <c r="D29" s="103"/>
      <c r="E29" s="103"/>
      <c r="F29" s="106">
        <v>14774.74</v>
      </c>
      <c r="G29" s="107">
        <v>0.16270000000000001</v>
      </c>
      <c r="H29" s="73"/>
    </row>
    <row r="30" spans="1:11" ht="13.35" customHeight="1" x14ac:dyDescent="0.25">
      <c r="A30" s="85" t="s">
        <v>30</v>
      </c>
      <c r="B30" s="41" t="s">
        <v>157</v>
      </c>
      <c r="C30" s="42"/>
      <c r="D30" s="42"/>
      <c r="E30" s="42"/>
      <c r="F30" s="47"/>
      <c r="G30" s="48"/>
      <c r="H30" s="71"/>
    </row>
    <row r="31" spans="1:11" ht="13.35" customHeight="1" x14ac:dyDescent="0.25">
      <c r="A31" s="98">
        <v>1</v>
      </c>
      <c r="B31" s="87" t="s">
        <v>87</v>
      </c>
      <c r="C31" s="58" t="s">
        <v>88</v>
      </c>
      <c r="D31" s="5" t="s">
        <v>17</v>
      </c>
      <c r="E31" s="59">
        <v>10000000</v>
      </c>
      <c r="F31" s="60">
        <v>9963.67</v>
      </c>
      <c r="G31" s="67">
        <v>0.10979999999999999</v>
      </c>
      <c r="H31" s="72">
        <v>5.1194999999999997E-2</v>
      </c>
    </row>
    <row r="32" spans="1:11" ht="13.35" customHeight="1" x14ac:dyDescent="0.25">
      <c r="A32" s="98">
        <v>2</v>
      </c>
      <c r="B32" s="87" t="s">
        <v>152</v>
      </c>
      <c r="C32" s="58" t="s">
        <v>153</v>
      </c>
      <c r="D32" s="5" t="s">
        <v>17</v>
      </c>
      <c r="E32" s="59">
        <v>10000000</v>
      </c>
      <c r="F32" s="60">
        <v>9921.16</v>
      </c>
      <c r="G32" s="67">
        <v>0.10929999999999999</v>
      </c>
      <c r="H32" s="72">
        <v>5.3717000000000001E-2</v>
      </c>
    </row>
    <row r="33" spans="1:8" ht="13.35" customHeight="1" x14ac:dyDescent="0.25">
      <c r="A33" s="85"/>
      <c r="B33" s="102" t="s">
        <v>20</v>
      </c>
      <c r="C33" s="103"/>
      <c r="D33" s="103"/>
      <c r="E33" s="81"/>
      <c r="F33" s="61">
        <v>19884.830000000002</v>
      </c>
      <c r="G33" s="68">
        <v>0.21909999999999999</v>
      </c>
      <c r="H33" s="73"/>
    </row>
    <row r="34" spans="1:8" ht="13.35" customHeight="1" x14ac:dyDescent="0.25">
      <c r="A34" s="85"/>
      <c r="B34" s="108" t="s">
        <v>35</v>
      </c>
      <c r="C34" s="109"/>
      <c r="D34" s="109"/>
      <c r="E34" s="109"/>
      <c r="F34" s="110"/>
      <c r="G34" s="111"/>
      <c r="H34" s="112"/>
    </row>
    <row r="35" spans="1:8" ht="13.35" customHeight="1" x14ac:dyDescent="0.25">
      <c r="A35" s="85"/>
      <c r="B35" s="88" t="s">
        <v>61</v>
      </c>
      <c r="C35" s="5"/>
      <c r="D35" s="5"/>
      <c r="E35" s="59"/>
      <c r="F35" s="60"/>
      <c r="G35" s="67"/>
      <c r="H35" s="72"/>
    </row>
    <row r="36" spans="1:8" ht="13.35" customHeight="1" x14ac:dyDescent="0.25">
      <c r="A36" s="85" t="s">
        <v>36</v>
      </c>
      <c r="B36" s="88" t="s">
        <v>154</v>
      </c>
      <c r="C36" s="5"/>
      <c r="D36" s="5"/>
      <c r="E36" s="59"/>
      <c r="F36" s="60"/>
      <c r="G36" s="67"/>
      <c r="H36" s="72"/>
    </row>
    <row r="37" spans="1:8" ht="13.35" customHeight="1" x14ac:dyDescent="0.25">
      <c r="A37" s="98">
        <v>1</v>
      </c>
      <c r="B37" s="87" t="s">
        <v>154</v>
      </c>
      <c r="C37" s="58" t="s">
        <v>155</v>
      </c>
      <c r="D37" s="5"/>
      <c r="E37" s="59">
        <v>2819.0940000000001</v>
      </c>
      <c r="F37" s="60">
        <v>331.87</v>
      </c>
      <c r="G37" s="67">
        <v>3.7000000000000002E-3</v>
      </c>
      <c r="H37" s="72"/>
    </row>
    <row r="38" spans="1:8" ht="13.35" customHeight="1" x14ac:dyDescent="0.25">
      <c r="A38" s="85"/>
      <c r="B38" s="41" t="s">
        <v>20</v>
      </c>
      <c r="C38" s="113"/>
      <c r="D38" s="103"/>
      <c r="E38" s="81"/>
      <c r="F38" s="61">
        <v>331.87</v>
      </c>
      <c r="G38" s="68">
        <v>3.7000000000000002E-3</v>
      </c>
      <c r="H38" s="73"/>
    </row>
    <row r="39" spans="1:8" ht="13.35" customHeight="1" x14ac:dyDescent="0.25">
      <c r="A39" s="85"/>
      <c r="B39" s="114" t="s">
        <v>35</v>
      </c>
      <c r="C39" s="113"/>
      <c r="D39" s="115"/>
      <c r="E39" s="81"/>
      <c r="F39" s="61">
        <v>331.87</v>
      </c>
      <c r="G39" s="68">
        <v>3.7000000000000002E-3</v>
      </c>
      <c r="H39" s="75"/>
    </row>
    <row r="40" spans="1:8" ht="13.35" customHeight="1" x14ac:dyDescent="0.25">
      <c r="A40" s="85" t="s">
        <v>163</v>
      </c>
      <c r="B40" s="88" t="s">
        <v>145</v>
      </c>
      <c r="C40" s="5"/>
      <c r="D40" s="5"/>
      <c r="E40" s="5"/>
      <c r="F40" s="10"/>
      <c r="G40" s="38"/>
      <c r="H40" s="76"/>
    </row>
    <row r="41" spans="1:8" ht="13.35" customHeight="1" x14ac:dyDescent="0.25">
      <c r="A41" s="98">
        <v>1</v>
      </c>
      <c r="B41" s="87" t="s">
        <v>211</v>
      </c>
      <c r="C41" s="5"/>
      <c r="D41" s="5" t="s">
        <v>146</v>
      </c>
      <c r="E41" s="39"/>
      <c r="F41" s="60">
        <v>18261.91</v>
      </c>
      <c r="G41" s="67">
        <v>0.20119999999999999</v>
      </c>
      <c r="H41" s="72">
        <v>5.0826030241384365E-2</v>
      </c>
    </row>
    <row r="42" spans="1:8" ht="13.35" customHeight="1" x14ac:dyDescent="0.25">
      <c r="A42" s="85"/>
      <c r="B42" s="102" t="s">
        <v>20</v>
      </c>
      <c r="C42" s="103"/>
      <c r="D42" s="103"/>
      <c r="E42" s="81"/>
      <c r="F42" s="61">
        <v>18261.91</v>
      </c>
      <c r="G42" s="68">
        <v>0.20119999999999999</v>
      </c>
      <c r="H42" s="73"/>
    </row>
    <row r="43" spans="1:8" ht="13.35" customHeight="1" x14ac:dyDescent="0.25">
      <c r="A43" s="85"/>
      <c r="B43" s="89" t="s">
        <v>35</v>
      </c>
      <c r="C43" s="54"/>
      <c r="D43" s="55"/>
      <c r="E43" s="54"/>
      <c r="F43" s="40">
        <v>90550.44</v>
      </c>
      <c r="G43" s="69">
        <v>0.99770000000000003</v>
      </c>
      <c r="H43" s="77"/>
    </row>
    <row r="44" spans="1:8" ht="13.35" customHeight="1" x14ac:dyDescent="0.25">
      <c r="A44" s="85"/>
      <c r="B44" s="90" t="s">
        <v>37</v>
      </c>
      <c r="C44" s="5"/>
      <c r="D44" s="6"/>
      <c r="E44" s="5"/>
      <c r="F44" s="61">
        <v>230.46</v>
      </c>
      <c r="G44" s="68">
        <v>2.3E-3</v>
      </c>
      <c r="H44" s="77"/>
    </row>
    <row r="45" spans="1:8" ht="13.35" customHeight="1" thickBot="1" x14ac:dyDescent="0.3">
      <c r="A45" s="86"/>
      <c r="B45" s="91" t="s">
        <v>38</v>
      </c>
      <c r="C45" s="46"/>
      <c r="D45" s="46"/>
      <c r="E45" s="46"/>
      <c r="F45" s="78">
        <v>90780.9</v>
      </c>
      <c r="G45" s="79">
        <v>1</v>
      </c>
      <c r="H45" s="80"/>
    </row>
    <row r="46" spans="1:8" ht="13.35" customHeight="1" x14ac:dyDescent="0.25">
      <c r="A46" s="10"/>
      <c r="B46" s="8"/>
      <c r="C46" s="8"/>
      <c r="D46" s="8"/>
      <c r="E46" s="8"/>
      <c r="F46" s="10"/>
      <c r="G46" s="10"/>
    </row>
    <row r="47" spans="1:8" ht="13.35" customHeight="1" x14ac:dyDescent="0.25">
      <c r="A47" s="10"/>
      <c r="B47" s="8"/>
      <c r="C47" s="8"/>
      <c r="D47" s="8"/>
      <c r="E47" s="8"/>
      <c r="F47" s="10"/>
      <c r="G47" s="10"/>
    </row>
    <row r="48" spans="1:8" ht="13.35" customHeight="1" x14ac:dyDescent="0.25">
      <c r="A48" s="10"/>
      <c r="B48" s="7" t="s">
        <v>158</v>
      </c>
      <c r="C48" s="8"/>
      <c r="D48" s="8"/>
      <c r="E48" s="8"/>
      <c r="F48" s="10"/>
      <c r="G48" s="10"/>
    </row>
    <row r="49" spans="1:7" ht="13.35" customHeight="1" x14ac:dyDescent="0.25">
      <c r="A49" s="10"/>
      <c r="B49" s="7" t="s">
        <v>40</v>
      </c>
      <c r="C49" s="8"/>
      <c r="D49" s="8"/>
      <c r="E49" s="8"/>
      <c r="F49" s="10"/>
      <c r="G49" s="10"/>
    </row>
    <row r="50" spans="1:7" ht="13.35" customHeight="1" x14ac:dyDescent="0.25">
      <c r="A50" s="10"/>
      <c r="B50" s="8"/>
      <c r="C50" s="8"/>
      <c r="D50" s="8"/>
      <c r="E50" s="8"/>
      <c r="F50" s="10"/>
      <c r="G50" s="10"/>
    </row>
    <row r="51" spans="1:7" x14ac:dyDescent="0.25">
      <c r="B51" s="11" t="s">
        <v>42</v>
      </c>
      <c r="C51" s="11"/>
      <c r="D51" s="12"/>
      <c r="E51" s="12"/>
    </row>
    <row r="52" spans="1:7" x14ac:dyDescent="0.25">
      <c r="B52" s="13" t="s">
        <v>95</v>
      </c>
      <c r="C52" s="13"/>
      <c r="D52" s="12"/>
      <c r="E52" s="15" t="s">
        <v>44</v>
      </c>
    </row>
    <row r="53" spans="1:7" x14ac:dyDescent="0.25">
      <c r="B53" s="13" t="s">
        <v>96</v>
      </c>
      <c r="C53" s="13"/>
      <c r="D53" s="12"/>
      <c r="E53" s="15" t="s">
        <v>44</v>
      </c>
    </row>
    <row r="54" spans="1:7" x14ac:dyDescent="0.25">
      <c r="B54" s="13" t="s">
        <v>147</v>
      </c>
      <c r="C54" s="13"/>
      <c r="D54" s="12"/>
      <c r="E54" s="29"/>
    </row>
    <row r="55" spans="1:7" x14ac:dyDescent="0.25">
      <c r="B55" s="13" t="s">
        <v>97</v>
      </c>
      <c r="C55" s="13"/>
      <c r="D55" s="43">
        <v>14.6197</v>
      </c>
      <c r="E55" s="18"/>
    </row>
    <row r="56" spans="1:7" x14ac:dyDescent="0.25">
      <c r="B56" s="13" t="s">
        <v>98</v>
      </c>
      <c r="C56" s="13"/>
      <c r="D56" s="43">
        <v>10.0077</v>
      </c>
      <c r="E56" s="18"/>
    </row>
    <row r="57" spans="1:7" x14ac:dyDescent="0.25">
      <c r="B57" s="13" t="s">
        <v>99</v>
      </c>
      <c r="C57" s="13"/>
      <c r="D57" s="43">
        <v>10.014900000000001</v>
      </c>
      <c r="E57" s="18"/>
    </row>
    <row r="58" spans="1:7" x14ac:dyDescent="0.25">
      <c r="B58" s="13" t="s">
        <v>100</v>
      </c>
      <c r="C58" s="13"/>
      <c r="D58" s="43">
        <v>10.182700000000001</v>
      </c>
      <c r="E58" s="18"/>
    </row>
    <row r="59" spans="1:7" x14ac:dyDescent="0.25">
      <c r="B59" s="13" t="s">
        <v>101</v>
      </c>
      <c r="C59" s="13"/>
      <c r="D59" s="43">
        <v>10.014900000000001</v>
      </c>
      <c r="E59" s="18"/>
      <c r="F59" s="30"/>
    </row>
    <row r="60" spans="1:7" x14ac:dyDescent="0.25">
      <c r="B60" s="13" t="s">
        <v>102</v>
      </c>
      <c r="C60" s="13"/>
      <c r="D60" s="43">
        <v>10.0372</v>
      </c>
      <c r="E60" s="18"/>
      <c r="F60" s="30"/>
    </row>
    <row r="61" spans="1:7" x14ac:dyDescent="0.25">
      <c r="B61" s="13" t="s">
        <v>103</v>
      </c>
      <c r="C61" s="13"/>
      <c r="D61" s="43">
        <v>14.453900000000001</v>
      </c>
      <c r="E61" s="18"/>
    </row>
    <row r="62" spans="1:7" x14ac:dyDescent="0.25">
      <c r="B62" s="13" t="s">
        <v>104</v>
      </c>
      <c r="C62" s="13"/>
      <c r="D62" s="43">
        <v>10.0055</v>
      </c>
      <c r="E62" s="18"/>
    </row>
    <row r="63" spans="1:7" x14ac:dyDescent="0.25">
      <c r="B63" s="13" t="s">
        <v>105</v>
      </c>
      <c r="C63" s="13"/>
      <c r="D63" s="43">
        <v>10.0146</v>
      </c>
      <c r="E63" s="18"/>
    </row>
    <row r="64" spans="1:7" x14ac:dyDescent="0.25">
      <c r="B64" s="13" t="s">
        <v>107</v>
      </c>
      <c r="C64" s="13"/>
      <c r="D64" s="43">
        <v>10.0199</v>
      </c>
      <c r="E64" s="18"/>
    </row>
    <row r="65" spans="2:6" x14ac:dyDescent="0.25">
      <c r="B65" s="13" t="s">
        <v>108</v>
      </c>
      <c r="C65" s="13"/>
      <c r="D65" s="43">
        <v>10.036899999999999</v>
      </c>
      <c r="E65" s="18"/>
    </row>
    <row r="66" spans="2:6" x14ac:dyDescent="0.25">
      <c r="B66" s="13" t="s">
        <v>106</v>
      </c>
      <c r="C66" s="13"/>
      <c r="D66" s="43">
        <v>10.176500000000001</v>
      </c>
      <c r="E66" s="18"/>
    </row>
    <row r="67" spans="2:6" x14ac:dyDescent="0.25">
      <c r="B67" s="13" t="s">
        <v>159</v>
      </c>
      <c r="C67" s="13"/>
      <c r="D67" s="43">
        <v>10</v>
      </c>
      <c r="E67" s="18"/>
    </row>
    <row r="68" spans="2:6" x14ac:dyDescent="0.25">
      <c r="B68" s="13" t="s">
        <v>160</v>
      </c>
      <c r="C68" s="13"/>
      <c r="D68" s="43">
        <v>14.238899999999999</v>
      </c>
      <c r="E68" s="18"/>
    </row>
    <row r="69" spans="2:6" x14ac:dyDescent="0.25">
      <c r="B69" s="13" t="s">
        <v>110</v>
      </c>
      <c r="C69" s="13"/>
      <c r="D69" s="43">
        <v>10</v>
      </c>
      <c r="E69" s="18"/>
    </row>
    <row r="70" spans="2:6" x14ac:dyDescent="0.25">
      <c r="B70" s="13" t="s">
        <v>109</v>
      </c>
      <c r="C70" s="13"/>
      <c r="D70" s="43">
        <v>13.955500000000001</v>
      </c>
      <c r="E70" s="18"/>
    </row>
    <row r="71" spans="2:6" x14ac:dyDescent="0.25">
      <c r="B71" s="13" t="s">
        <v>161</v>
      </c>
      <c r="C71" s="13"/>
      <c r="D71" s="12"/>
      <c r="E71" s="30"/>
    </row>
    <row r="72" spans="2:6" x14ac:dyDescent="0.25">
      <c r="B72" s="13" t="s">
        <v>97</v>
      </c>
      <c r="C72" s="13"/>
      <c r="D72" s="43">
        <v>14.648999999999999</v>
      </c>
      <c r="E72" s="18"/>
    </row>
    <row r="73" spans="2:6" x14ac:dyDescent="0.25">
      <c r="B73" s="13" t="s">
        <v>98</v>
      </c>
      <c r="C73" s="13"/>
      <c r="D73" s="43">
        <v>10.0077</v>
      </c>
      <c r="E73" s="18"/>
    </row>
    <row r="74" spans="2:6" x14ac:dyDescent="0.25">
      <c r="B74" s="13" t="s">
        <v>99</v>
      </c>
      <c r="C74" s="13"/>
      <c r="D74" s="43">
        <v>10.0123</v>
      </c>
      <c r="E74" s="18"/>
    </row>
    <row r="75" spans="2:6" x14ac:dyDescent="0.25">
      <c r="B75" s="13" t="s">
        <v>100</v>
      </c>
      <c r="C75" s="13"/>
      <c r="D75" s="43">
        <v>10.203099999999999</v>
      </c>
      <c r="E75" s="18"/>
    </row>
    <row r="76" spans="2:6" x14ac:dyDescent="0.25">
      <c r="B76" s="13" t="s">
        <v>101</v>
      </c>
      <c r="C76" s="13"/>
      <c r="D76" s="43">
        <v>10.005800000000001</v>
      </c>
      <c r="E76" s="18"/>
    </row>
    <row r="77" spans="2:6" x14ac:dyDescent="0.25">
      <c r="B77" s="13" t="s">
        <v>102</v>
      </c>
      <c r="C77" s="13"/>
      <c r="D77" s="43">
        <v>10.0573</v>
      </c>
      <c r="E77" s="18"/>
      <c r="F77" s="18"/>
    </row>
    <row r="78" spans="2:6" x14ac:dyDescent="0.25">
      <c r="B78" s="13" t="s">
        <v>103</v>
      </c>
      <c r="C78" s="13"/>
      <c r="D78" s="43">
        <v>14.4816</v>
      </c>
      <c r="E78" s="18"/>
    </row>
    <row r="79" spans="2:6" x14ac:dyDescent="0.25">
      <c r="B79" s="13" t="s">
        <v>104</v>
      </c>
      <c r="C79" s="13"/>
      <c r="D79" s="43">
        <v>10.0055</v>
      </c>
      <c r="E79" s="18"/>
    </row>
    <row r="80" spans="2:6" x14ac:dyDescent="0.25">
      <c r="B80" s="13" t="s">
        <v>105</v>
      </c>
      <c r="C80" s="13"/>
      <c r="D80" s="43">
        <v>10.011799999999999</v>
      </c>
      <c r="E80" s="18"/>
    </row>
    <row r="81" spans="1:5" x14ac:dyDescent="0.25">
      <c r="B81" s="13" t="s">
        <v>107</v>
      </c>
      <c r="C81" s="13"/>
      <c r="D81" s="43">
        <v>10.013</v>
      </c>
      <c r="E81" s="18"/>
    </row>
    <row r="82" spans="1:5" x14ac:dyDescent="0.25">
      <c r="B82" s="13" t="s">
        <v>108</v>
      </c>
      <c r="C82" s="13"/>
      <c r="D82" s="43">
        <v>10.056100000000001</v>
      </c>
      <c r="E82" s="18"/>
    </row>
    <row r="83" spans="1:5" x14ac:dyDescent="0.25">
      <c r="B83" s="13" t="s">
        <v>106</v>
      </c>
      <c r="C83" s="13"/>
      <c r="D83" s="43">
        <v>10.196</v>
      </c>
      <c r="E83" s="18"/>
    </row>
    <row r="84" spans="1:5" x14ac:dyDescent="0.25">
      <c r="B84" s="13" t="s">
        <v>159</v>
      </c>
      <c r="C84" s="13"/>
      <c r="D84" s="43">
        <v>10</v>
      </c>
      <c r="E84" s="18"/>
    </row>
    <row r="85" spans="1:5" x14ac:dyDescent="0.25">
      <c r="B85" s="13" t="s">
        <v>160</v>
      </c>
      <c r="C85" s="13"/>
      <c r="D85" s="43">
        <v>14.2675</v>
      </c>
      <c r="E85" s="18"/>
    </row>
    <row r="86" spans="1:5" x14ac:dyDescent="0.25">
      <c r="B86" s="13" t="s">
        <v>110</v>
      </c>
      <c r="C86" s="13"/>
      <c r="D86" s="43">
        <v>10</v>
      </c>
      <c r="E86" s="18"/>
    </row>
    <row r="87" spans="1:5" x14ac:dyDescent="0.25">
      <c r="B87" s="13" t="s">
        <v>109</v>
      </c>
      <c r="C87" s="13"/>
      <c r="D87" s="43">
        <v>13.983499999999999</v>
      </c>
      <c r="E87" s="18"/>
    </row>
    <row r="88" spans="1:5" x14ac:dyDescent="0.25">
      <c r="B88" s="13" t="s">
        <v>162</v>
      </c>
      <c r="C88" s="13"/>
      <c r="D88" s="12"/>
      <c r="E88" s="15" t="s">
        <v>44</v>
      </c>
    </row>
    <row r="89" spans="1:5" x14ac:dyDescent="0.25">
      <c r="B89" s="19" t="s">
        <v>57</v>
      </c>
      <c r="C89" s="13"/>
      <c r="D89" s="44" t="s">
        <v>203</v>
      </c>
      <c r="E89" s="20"/>
    </row>
    <row r="90" spans="1:5" x14ac:dyDescent="0.25">
      <c r="B90" s="11" t="s">
        <v>196</v>
      </c>
      <c r="C90" s="19"/>
      <c r="D90" s="22" t="s">
        <v>58</v>
      </c>
    </row>
    <row r="91" spans="1:5" x14ac:dyDescent="0.25">
      <c r="B91" s="24" t="s">
        <v>59</v>
      </c>
      <c r="C91" s="21" t="s">
        <v>60</v>
      </c>
      <c r="D91" s="21" t="s">
        <v>61</v>
      </c>
      <c r="E91" s="22"/>
    </row>
    <row r="92" spans="1:5" x14ac:dyDescent="0.25">
      <c r="B92" s="19" t="s">
        <v>71</v>
      </c>
      <c r="C92" s="64">
        <v>2.0024460000000001E-2</v>
      </c>
      <c r="D92" s="64">
        <v>2.0024460000000001E-2</v>
      </c>
      <c r="E92" s="26"/>
    </row>
    <row r="93" spans="1:5" x14ac:dyDescent="0.25">
      <c r="A93" s="31" t="s">
        <v>111</v>
      </c>
      <c r="B93" s="19" t="s">
        <v>115</v>
      </c>
      <c r="C93" s="64">
        <v>2.2620210000000002E-2</v>
      </c>
      <c r="D93" s="64">
        <v>2.2620210000000002E-2</v>
      </c>
      <c r="E93" s="26"/>
    </row>
    <row r="94" spans="1:5" x14ac:dyDescent="0.25">
      <c r="A94" s="31" t="s">
        <v>113</v>
      </c>
      <c r="B94" s="19" t="s">
        <v>112</v>
      </c>
      <c r="C94" s="45">
        <v>0</v>
      </c>
      <c r="D94" s="45">
        <v>0</v>
      </c>
      <c r="E94" s="26"/>
    </row>
    <row r="95" spans="1:5" x14ac:dyDescent="0.25">
      <c r="A95" s="31" t="s">
        <v>114</v>
      </c>
      <c r="B95" s="19" t="s">
        <v>117</v>
      </c>
      <c r="C95" s="45">
        <v>0</v>
      </c>
      <c r="D95" s="45">
        <v>0</v>
      </c>
      <c r="E95" s="26"/>
    </row>
    <row r="96" spans="1:5" x14ac:dyDescent="0.25">
      <c r="A96" s="31" t="s">
        <v>116</v>
      </c>
      <c r="B96" s="19" t="s">
        <v>119</v>
      </c>
      <c r="C96" s="64">
        <v>2.9155250000000001E-2</v>
      </c>
      <c r="D96" s="64">
        <v>2.9155250000000001E-2</v>
      </c>
      <c r="E96" s="26"/>
    </row>
    <row r="97" spans="1:6" x14ac:dyDescent="0.25">
      <c r="A97" s="31" t="s">
        <v>118</v>
      </c>
      <c r="B97" s="19" t="s">
        <v>121</v>
      </c>
      <c r="C97" s="64">
        <v>1.9147879999999999E-2</v>
      </c>
      <c r="D97" s="64">
        <v>1.9147879999999999E-2</v>
      </c>
      <c r="E97" s="26"/>
    </row>
    <row r="98" spans="1:6" x14ac:dyDescent="0.25">
      <c r="A98" s="31" t="s">
        <v>120</v>
      </c>
      <c r="B98" s="19" t="s">
        <v>123</v>
      </c>
      <c r="C98" s="64">
        <v>2.1962820000000001E-2</v>
      </c>
      <c r="D98" s="64">
        <v>2.1962820000000001E-2</v>
      </c>
      <c r="E98" s="26"/>
    </row>
    <row r="99" spans="1:6" x14ac:dyDescent="0.25">
      <c r="A99" s="31" t="s">
        <v>122</v>
      </c>
      <c r="B99" s="19" t="s">
        <v>125</v>
      </c>
      <c r="C99" s="64">
        <v>2.6034639999999998E-2</v>
      </c>
      <c r="D99" s="64">
        <v>2.6034639999999998E-2</v>
      </c>
      <c r="E99" s="26"/>
    </row>
    <row r="100" spans="1:6" x14ac:dyDescent="0.25">
      <c r="A100" s="31" t="s">
        <v>124</v>
      </c>
      <c r="B100" s="19" t="s">
        <v>127</v>
      </c>
      <c r="C100" s="45">
        <v>0</v>
      </c>
      <c r="D100" s="45">
        <v>0</v>
      </c>
      <c r="E100" s="26"/>
    </row>
    <row r="101" spans="1:6" x14ac:dyDescent="0.25">
      <c r="A101" s="31" t="s">
        <v>126</v>
      </c>
      <c r="B101" s="19" t="s">
        <v>128</v>
      </c>
      <c r="C101" s="45">
        <v>0</v>
      </c>
      <c r="D101" s="45">
        <v>0</v>
      </c>
      <c r="E101" s="26"/>
    </row>
    <row r="102" spans="1:6" x14ac:dyDescent="0.25">
      <c r="A102" s="31"/>
      <c r="B102" s="19"/>
      <c r="C102" s="45"/>
      <c r="D102" s="45"/>
      <c r="E102" s="26"/>
    </row>
    <row r="103" spans="1:6" x14ac:dyDescent="0.25">
      <c r="A103" s="31"/>
      <c r="B103" s="56" t="s">
        <v>190</v>
      </c>
      <c r="C103" s="56"/>
      <c r="D103" s="57"/>
      <c r="E103" s="57" t="s">
        <v>44</v>
      </c>
    </row>
    <row r="104" spans="1:6" x14ac:dyDescent="0.25">
      <c r="A104" s="31"/>
      <c r="B104" s="198" t="s">
        <v>205</v>
      </c>
      <c r="C104" s="199"/>
      <c r="D104" s="57"/>
      <c r="E104" s="57" t="s">
        <v>44</v>
      </c>
    </row>
    <row r="105" spans="1:6" x14ac:dyDescent="0.25">
      <c r="A105" s="31"/>
      <c r="B105" s="198" t="s">
        <v>206</v>
      </c>
      <c r="C105" s="199"/>
      <c r="D105" s="57"/>
      <c r="E105" s="57" t="s">
        <v>44</v>
      </c>
    </row>
    <row r="106" spans="1:6" x14ac:dyDescent="0.25">
      <c r="A106" s="31"/>
      <c r="B106" s="198" t="s">
        <v>207</v>
      </c>
      <c r="C106" s="199"/>
      <c r="D106" s="57"/>
      <c r="E106" s="57" t="s">
        <v>44</v>
      </c>
    </row>
    <row r="107" spans="1:6" x14ac:dyDescent="0.25">
      <c r="A107" s="31"/>
      <c r="B107" s="198" t="s">
        <v>208</v>
      </c>
      <c r="C107" s="199"/>
      <c r="D107" s="57"/>
      <c r="E107" s="57" t="s">
        <v>44</v>
      </c>
    </row>
    <row r="108" spans="1:6" x14ac:dyDescent="0.25">
      <c r="B108" s="198" t="s">
        <v>209</v>
      </c>
      <c r="C108" s="199"/>
      <c r="D108" s="57"/>
      <c r="E108" s="57" t="s">
        <v>44</v>
      </c>
      <c r="F108" s="28"/>
    </row>
    <row r="109" spans="1:6" x14ac:dyDescent="0.25">
      <c r="B109" s="28"/>
      <c r="F109" s="28"/>
    </row>
    <row r="110" spans="1:6" x14ac:dyDescent="0.25">
      <c r="F110" s="28" t="s">
        <v>129</v>
      </c>
    </row>
    <row r="111" spans="1:6" x14ac:dyDescent="0.25">
      <c r="B111" s="28" t="s">
        <v>82</v>
      </c>
      <c r="F111" s="28" t="s">
        <v>83</v>
      </c>
    </row>
    <row r="125" spans="2:5" ht="15.75" thickBot="1" x14ac:dyDescent="0.3"/>
    <row r="126" spans="2:5" x14ac:dyDescent="0.25">
      <c r="B126" s="182" t="s">
        <v>187</v>
      </c>
      <c r="C126" s="182" t="s">
        <v>180</v>
      </c>
      <c r="D126" s="182" t="s">
        <v>181</v>
      </c>
      <c r="E126" s="182" t="s">
        <v>182</v>
      </c>
    </row>
    <row r="127" spans="2:5" ht="15.75" thickBot="1" x14ac:dyDescent="0.3">
      <c r="B127" s="183"/>
      <c r="C127" s="184"/>
      <c r="D127" s="184"/>
      <c r="E127" s="184"/>
    </row>
    <row r="128" spans="2:5" x14ac:dyDescent="0.25">
      <c r="B128" s="185" t="s">
        <v>183</v>
      </c>
      <c r="C128" s="187" t="s">
        <v>188</v>
      </c>
      <c r="D128" s="187"/>
      <c r="E128" s="182"/>
    </row>
    <row r="129" spans="2:5" x14ac:dyDescent="0.25">
      <c r="B129" s="186"/>
      <c r="C129" s="188"/>
      <c r="D129" s="188"/>
      <c r="E129" s="186"/>
    </row>
    <row r="130" spans="2:5" ht="15.75" thickBot="1" x14ac:dyDescent="0.3">
      <c r="B130" s="184"/>
      <c r="C130" s="189"/>
      <c r="D130" s="189"/>
      <c r="E130" s="184"/>
    </row>
    <row r="131" spans="2:5" x14ac:dyDescent="0.25">
      <c r="B131" s="182" t="s">
        <v>185</v>
      </c>
      <c r="C131" s="182"/>
      <c r="D131" s="182"/>
      <c r="E131" s="182"/>
    </row>
    <row r="132" spans="2:5" x14ac:dyDescent="0.25">
      <c r="B132" s="186"/>
      <c r="C132" s="186"/>
      <c r="D132" s="186"/>
      <c r="E132" s="186"/>
    </row>
    <row r="133" spans="2:5" ht="15.75" thickBot="1" x14ac:dyDescent="0.3">
      <c r="B133" s="184"/>
      <c r="C133" s="184"/>
      <c r="D133" s="184"/>
      <c r="E133" s="184"/>
    </row>
    <row r="134" spans="2:5" x14ac:dyDescent="0.25">
      <c r="B134" s="182" t="s">
        <v>186</v>
      </c>
      <c r="C134" s="190"/>
      <c r="D134" s="182"/>
      <c r="E134" s="182"/>
    </row>
    <row r="135" spans="2:5" x14ac:dyDescent="0.25">
      <c r="B135" s="186"/>
      <c r="C135" s="191"/>
      <c r="D135" s="186"/>
      <c r="E135" s="186"/>
    </row>
    <row r="136" spans="2:5" ht="15.75" thickBot="1" x14ac:dyDescent="0.3">
      <c r="B136" s="184"/>
      <c r="C136" s="192"/>
      <c r="D136" s="184"/>
      <c r="E136" s="184"/>
    </row>
  </sheetData>
  <mergeCells count="28">
    <mergeCell ref="B104:C104"/>
    <mergeCell ref="B105:C105"/>
    <mergeCell ref="B106:C106"/>
    <mergeCell ref="B107:C107"/>
    <mergeCell ref="B108:C108"/>
    <mergeCell ref="B131:B133"/>
    <mergeCell ref="C131:C133"/>
    <mergeCell ref="D131:D133"/>
    <mergeCell ref="E131:E133"/>
    <mergeCell ref="B134:B136"/>
    <mergeCell ref="C134:C136"/>
    <mergeCell ref="D134:D136"/>
    <mergeCell ref="E134:E136"/>
    <mergeCell ref="B126:B127"/>
    <mergeCell ref="C126:C127"/>
    <mergeCell ref="D126:D127"/>
    <mergeCell ref="E126:E127"/>
    <mergeCell ref="B128:B130"/>
    <mergeCell ref="C128:C130"/>
    <mergeCell ref="D128:D130"/>
    <mergeCell ref="E128:E130"/>
    <mergeCell ref="A7:H7"/>
    <mergeCell ref="A8:H8"/>
    <mergeCell ref="A2:H2"/>
    <mergeCell ref="A3:H3"/>
    <mergeCell ref="A4:H4"/>
    <mergeCell ref="A5:H5"/>
    <mergeCell ref="A6:H6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75"/>
  <sheetViews>
    <sheetView topLeftCell="A5" zoomScale="70" zoomScaleNormal="70" workbookViewId="0">
      <selection activeCell="B12" sqref="B12"/>
    </sheetView>
  </sheetViews>
  <sheetFormatPr defaultColWidth="8.5703125" defaultRowHeight="15" x14ac:dyDescent="0.25"/>
  <cols>
    <col min="1" max="1" width="5.5703125" customWidth="1"/>
    <col min="2" max="2" width="50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.75" thickBot="1" x14ac:dyDescent="0.3">
      <c r="A1" s="1" t="s">
        <v>130</v>
      </c>
    </row>
    <row r="2" spans="1:8" ht="23.25" customHeight="1" x14ac:dyDescent="0.45">
      <c r="A2" s="174" t="s">
        <v>0</v>
      </c>
      <c r="B2" s="175"/>
      <c r="C2" s="175"/>
      <c r="D2" s="175"/>
      <c r="E2" s="175"/>
      <c r="F2" s="175"/>
      <c r="G2" s="175"/>
      <c r="H2" s="175"/>
    </row>
    <row r="3" spans="1:8" ht="23.25" customHeight="1" x14ac:dyDescent="0.3">
      <c r="A3" s="176" t="s">
        <v>1</v>
      </c>
      <c r="B3" s="177"/>
      <c r="C3" s="177"/>
      <c r="D3" s="177"/>
      <c r="E3" s="177"/>
      <c r="F3" s="177"/>
      <c r="G3" s="177"/>
      <c r="H3" s="177"/>
    </row>
    <row r="4" spans="1:8" ht="23.25" customHeight="1" x14ac:dyDescent="0.25">
      <c r="A4" s="178" t="s">
        <v>2</v>
      </c>
      <c r="B4" s="179"/>
      <c r="C4" s="179"/>
      <c r="D4" s="179"/>
      <c r="E4" s="179"/>
      <c r="F4" s="179"/>
      <c r="G4" s="179"/>
      <c r="H4" s="179"/>
    </row>
    <row r="5" spans="1:8" ht="23.25" customHeight="1" x14ac:dyDescent="0.25">
      <c r="A5" s="178" t="s">
        <v>3</v>
      </c>
      <c r="B5" s="179"/>
      <c r="C5" s="179"/>
      <c r="D5" s="179"/>
      <c r="E5" s="179"/>
      <c r="F5" s="179"/>
      <c r="G5" s="179"/>
      <c r="H5" s="179"/>
    </row>
    <row r="6" spans="1:8" ht="23.25" customHeight="1" x14ac:dyDescent="0.35">
      <c r="A6" s="180" t="s">
        <v>197</v>
      </c>
      <c r="B6" s="181"/>
      <c r="C6" s="181"/>
      <c r="D6" s="181"/>
      <c r="E6" s="181"/>
      <c r="F6" s="181"/>
      <c r="G6" s="181"/>
      <c r="H6" s="181"/>
    </row>
    <row r="7" spans="1:8" ht="30" customHeight="1" x14ac:dyDescent="0.3">
      <c r="A7" s="200" t="s">
        <v>131</v>
      </c>
      <c r="B7" s="201"/>
      <c r="C7" s="201"/>
      <c r="D7" s="201"/>
      <c r="E7" s="201"/>
      <c r="F7" s="201"/>
      <c r="G7" s="201"/>
      <c r="H7" s="202"/>
    </row>
    <row r="8" spans="1:8" ht="33.6" customHeight="1" thickBot="1" x14ac:dyDescent="0.35">
      <c r="A8" s="203" t="s">
        <v>132</v>
      </c>
      <c r="B8" s="204"/>
      <c r="C8" s="204"/>
      <c r="D8" s="204"/>
      <c r="E8" s="204"/>
      <c r="F8" s="204"/>
      <c r="G8" s="204"/>
      <c r="H8" s="205"/>
    </row>
    <row r="9" spans="1:8" ht="28.35" customHeight="1" thickBot="1" x14ac:dyDescent="0.3">
      <c r="A9" s="2" t="s">
        <v>6</v>
      </c>
      <c r="B9" s="138" t="s">
        <v>7</v>
      </c>
      <c r="C9" s="139" t="s">
        <v>8</v>
      </c>
      <c r="D9" s="140" t="s">
        <v>9</v>
      </c>
      <c r="E9" s="139" t="s">
        <v>10</v>
      </c>
      <c r="F9" s="139" t="s">
        <v>11</v>
      </c>
      <c r="G9" s="139" t="s">
        <v>12</v>
      </c>
      <c r="H9" s="141" t="s">
        <v>144</v>
      </c>
    </row>
    <row r="10" spans="1:8" ht="13.35" customHeight="1" x14ac:dyDescent="0.25">
      <c r="A10" s="85" t="s">
        <v>212</v>
      </c>
      <c r="B10" s="7" t="s">
        <v>133</v>
      </c>
      <c r="C10" s="124"/>
      <c r="D10" s="100"/>
      <c r="E10" s="124"/>
      <c r="F10" s="124"/>
      <c r="G10" s="124"/>
      <c r="H10" s="133"/>
    </row>
    <row r="11" spans="1:8" ht="13.35" customHeight="1" x14ac:dyDescent="0.25">
      <c r="A11" s="85" t="s">
        <v>14</v>
      </c>
      <c r="B11" s="7" t="s">
        <v>177</v>
      </c>
      <c r="C11" s="124"/>
      <c r="D11" s="100"/>
      <c r="E11" s="124"/>
      <c r="F11" s="127"/>
      <c r="G11" s="130"/>
      <c r="H11" s="134"/>
    </row>
    <row r="12" spans="1:8" ht="13.35" customHeight="1" x14ac:dyDescent="0.25">
      <c r="A12" s="92"/>
      <c r="B12" s="8" t="s">
        <v>234</v>
      </c>
      <c r="C12" s="124" t="s">
        <v>194</v>
      </c>
      <c r="D12" s="100" t="s">
        <v>17</v>
      </c>
      <c r="E12" s="124">
        <v>16895600</v>
      </c>
      <c r="F12" s="127">
        <v>16557.3</v>
      </c>
      <c r="G12" s="130">
        <v>0.98360000000000003</v>
      </c>
      <c r="H12" s="135">
        <v>6.9752999999999996E-2</v>
      </c>
    </row>
    <row r="13" spans="1:8" ht="13.35" customHeight="1" x14ac:dyDescent="0.25">
      <c r="A13" s="92"/>
      <c r="B13" s="142" t="s">
        <v>20</v>
      </c>
      <c r="C13" s="143"/>
      <c r="D13" s="42"/>
      <c r="E13" s="143"/>
      <c r="F13" s="144">
        <v>16557.3</v>
      </c>
      <c r="G13" s="145">
        <v>0.98360000000000003</v>
      </c>
      <c r="H13" s="74"/>
    </row>
    <row r="14" spans="1:8" ht="13.35" customHeight="1" x14ac:dyDescent="0.25">
      <c r="A14" s="116" t="s">
        <v>30</v>
      </c>
      <c r="B14" s="7" t="s">
        <v>178</v>
      </c>
      <c r="C14" s="124"/>
      <c r="D14" s="100"/>
      <c r="E14" s="124"/>
      <c r="F14" s="128" t="s">
        <v>151</v>
      </c>
      <c r="G14" s="131" t="s">
        <v>151</v>
      </c>
      <c r="H14" s="136"/>
    </row>
    <row r="15" spans="1:8" ht="13.35" customHeight="1" x14ac:dyDescent="0.25">
      <c r="A15" s="116" t="s">
        <v>21</v>
      </c>
      <c r="B15" s="7" t="s">
        <v>174</v>
      </c>
      <c r="C15" s="124"/>
      <c r="D15" s="100"/>
      <c r="E15" s="124"/>
      <c r="F15" s="128"/>
      <c r="G15" s="131"/>
      <c r="H15" s="136"/>
    </row>
    <row r="16" spans="1:8" ht="13.35" customHeight="1" x14ac:dyDescent="0.25">
      <c r="A16" s="92"/>
      <c r="B16" s="142" t="s">
        <v>20</v>
      </c>
      <c r="C16" s="143"/>
      <c r="D16" s="42"/>
      <c r="E16" s="143"/>
      <c r="F16" s="146" t="s">
        <v>151</v>
      </c>
      <c r="G16" s="146" t="s">
        <v>151</v>
      </c>
      <c r="H16" s="74"/>
    </row>
    <row r="17" spans="1:8" ht="13.35" customHeight="1" x14ac:dyDescent="0.25">
      <c r="A17" s="92"/>
      <c r="B17" s="142" t="s">
        <v>35</v>
      </c>
      <c r="C17" s="143"/>
      <c r="D17" s="42"/>
      <c r="E17" s="143"/>
      <c r="F17" s="144">
        <v>16557.3</v>
      </c>
      <c r="G17" s="145">
        <v>0.98360000000000003</v>
      </c>
      <c r="H17" s="74"/>
    </row>
    <row r="18" spans="1:8" ht="13.35" customHeight="1" x14ac:dyDescent="0.25">
      <c r="A18" s="147"/>
      <c r="B18" s="148" t="s">
        <v>37</v>
      </c>
      <c r="C18" s="149"/>
      <c r="D18" s="82"/>
      <c r="E18" s="149"/>
      <c r="F18" s="150">
        <v>275.77</v>
      </c>
      <c r="G18" s="151">
        <v>1.6400000000000001E-2</v>
      </c>
      <c r="H18" s="152"/>
    </row>
    <row r="19" spans="1:8" ht="13.35" customHeight="1" thickBot="1" x14ac:dyDescent="0.3">
      <c r="A19" s="97"/>
      <c r="B19" s="119" t="s">
        <v>38</v>
      </c>
      <c r="C19" s="125"/>
      <c r="D19" s="126"/>
      <c r="E19" s="125"/>
      <c r="F19" s="129">
        <v>16833.07</v>
      </c>
      <c r="G19" s="132">
        <v>1</v>
      </c>
      <c r="H19" s="137"/>
    </row>
    <row r="20" spans="1:8" ht="13.35" customHeight="1" x14ac:dyDescent="0.25">
      <c r="A20" s="10"/>
      <c r="B20" s="7"/>
      <c r="C20" s="8"/>
      <c r="D20" s="8"/>
      <c r="E20" s="8"/>
      <c r="F20" s="9"/>
      <c r="G20" s="32"/>
    </row>
    <row r="21" spans="1:8" ht="13.35" customHeight="1" x14ac:dyDescent="0.25">
      <c r="A21" s="10"/>
      <c r="B21" s="7"/>
      <c r="C21" s="8"/>
      <c r="D21" s="8"/>
      <c r="E21" s="8"/>
      <c r="F21" s="9"/>
      <c r="G21" s="32"/>
    </row>
    <row r="22" spans="1:8" x14ac:dyDescent="0.25">
      <c r="B22" s="206" t="s">
        <v>39</v>
      </c>
      <c r="C22" s="206"/>
      <c r="D22" s="206"/>
      <c r="E22" s="206"/>
    </row>
    <row r="23" spans="1:8" x14ac:dyDescent="0.25">
      <c r="B23" s="206" t="s">
        <v>40</v>
      </c>
      <c r="C23" s="206"/>
      <c r="D23" s="206"/>
      <c r="E23" s="206"/>
    </row>
    <row r="24" spans="1:8" x14ac:dyDescent="0.25">
      <c r="B24" s="207" t="s">
        <v>41</v>
      </c>
      <c r="C24" s="207"/>
      <c r="D24" s="207"/>
      <c r="E24" s="207"/>
    </row>
    <row r="26" spans="1:8" x14ac:dyDescent="0.25">
      <c r="B26" s="11" t="s">
        <v>42</v>
      </c>
      <c r="C26" s="11"/>
      <c r="D26" s="12"/>
      <c r="E26" s="12"/>
    </row>
    <row r="27" spans="1:8" x14ac:dyDescent="0.25">
      <c r="B27" s="13" t="s">
        <v>95</v>
      </c>
      <c r="C27" s="13"/>
      <c r="D27" s="12"/>
      <c r="E27" s="15" t="s">
        <v>44</v>
      </c>
    </row>
    <row r="28" spans="1:8" x14ac:dyDescent="0.25">
      <c r="B28" s="13" t="s">
        <v>96</v>
      </c>
      <c r="C28" s="13"/>
      <c r="D28" s="12"/>
      <c r="E28" s="15" t="s">
        <v>44</v>
      </c>
    </row>
    <row r="29" spans="1:8" x14ac:dyDescent="0.25">
      <c r="B29" s="13" t="s">
        <v>147</v>
      </c>
      <c r="C29" s="13"/>
      <c r="D29" s="12"/>
      <c r="E29" s="33"/>
    </row>
    <row r="30" spans="1:8" x14ac:dyDescent="0.25">
      <c r="B30" s="13" t="s">
        <v>103</v>
      </c>
      <c r="C30" s="13"/>
      <c r="D30" s="12"/>
      <c r="E30" s="18">
        <v>63.432299999999998</v>
      </c>
    </row>
    <row r="31" spans="1:8" x14ac:dyDescent="0.25">
      <c r="B31" s="13" t="s">
        <v>148</v>
      </c>
      <c r="C31" s="13"/>
      <c r="D31" s="12"/>
      <c r="E31" s="18"/>
    </row>
    <row r="32" spans="1:8" x14ac:dyDescent="0.25">
      <c r="B32" s="13" t="s">
        <v>103</v>
      </c>
      <c r="C32" s="13"/>
      <c r="D32" s="12"/>
      <c r="E32" s="18">
        <v>63.353299999999997</v>
      </c>
    </row>
    <row r="33" spans="2:6" x14ac:dyDescent="0.25">
      <c r="B33" s="13"/>
      <c r="C33" s="13"/>
      <c r="D33" s="12"/>
      <c r="E33" s="18"/>
    </row>
    <row r="34" spans="2:6" x14ac:dyDescent="0.25">
      <c r="B34" s="56" t="s">
        <v>191</v>
      </c>
      <c r="C34" s="56"/>
      <c r="D34" s="57"/>
      <c r="E34" s="57" t="s">
        <v>44</v>
      </c>
    </row>
    <row r="35" spans="2:6" x14ac:dyDescent="0.25">
      <c r="B35" s="198" t="s">
        <v>205</v>
      </c>
      <c r="C35" s="199"/>
      <c r="D35" s="57"/>
      <c r="E35" s="57" t="s">
        <v>44</v>
      </c>
    </row>
    <row r="36" spans="2:6" x14ac:dyDescent="0.25">
      <c r="B36" s="198" t="s">
        <v>206</v>
      </c>
      <c r="C36" s="199"/>
      <c r="D36" s="57"/>
      <c r="E36" s="57" t="s">
        <v>44</v>
      </c>
    </row>
    <row r="37" spans="2:6" x14ac:dyDescent="0.25">
      <c r="B37" s="198" t="s">
        <v>207</v>
      </c>
      <c r="C37" s="199"/>
      <c r="D37" s="57"/>
      <c r="E37" s="57" t="s">
        <v>44</v>
      </c>
    </row>
    <row r="38" spans="2:6" x14ac:dyDescent="0.25">
      <c r="B38" s="198" t="s">
        <v>208</v>
      </c>
      <c r="C38" s="199"/>
      <c r="D38" s="57"/>
      <c r="E38" s="57" t="s">
        <v>44</v>
      </c>
    </row>
    <row r="39" spans="2:6" x14ac:dyDescent="0.25">
      <c r="B39" s="198" t="s">
        <v>209</v>
      </c>
      <c r="C39" s="199"/>
      <c r="D39" s="57"/>
      <c r="E39" s="57" t="s">
        <v>44</v>
      </c>
    </row>
    <row r="40" spans="2:6" x14ac:dyDescent="0.25">
      <c r="B40" s="13"/>
      <c r="C40" s="13"/>
      <c r="D40" s="12"/>
      <c r="E40" s="15"/>
    </row>
    <row r="41" spans="2:6" x14ac:dyDescent="0.25">
      <c r="B41" s="19" t="s">
        <v>57</v>
      </c>
      <c r="C41" s="13"/>
      <c r="D41" s="12"/>
      <c r="E41" s="20" t="s">
        <v>195</v>
      </c>
    </row>
    <row r="42" spans="2:6" x14ac:dyDescent="0.25">
      <c r="B42" s="13" t="s">
        <v>149</v>
      </c>
      <c r="C42" s="13"/>
      <c r="D42" s="12"/>
      <c r="E42" s="15" t="s">
        <v>44</v>
      </c>
    </row>
    <row r="43" spans="2:6" x14ac:dyDescent="0.25">
      <c r="B43" s="19" t="s">
        <v>150</v>
      </c>
      <c r="C43" s="19"/>
      <c r="D43" s="12"/>
      <c r="E43" s="27" t="s">
        <v>44</v>
      </c>
    </row>
    <row r="44" spans="2:6" x14ac:dyDescent="0.25">
      <c r="B44" s="19"/>
      <c r="C44" s="19"/>
      <c r="D44" s="12"/>
      <c r="E44" s="27"/>
    </row>
    <row r="45" spans="2:6" x14ac:dyDescent="0.25">
      <c r="B45" s="19"/>
      <c r="C45" s="19"/>
      <c r="D45" s="12"/>
      <c r="E45" s="27"/>
    </row>
    <row r="46" spans="2:6" x14ac:dyDescent="0.25">
      <c r="B46" s="208"/>
      <c r="C46" s="208"/>
      <c r="D46" s="208"/>
      <c r="E46" s="27"/>
    </row>
    <row r="47" spans="2:6" x14ac:dyDescent="0.25">
      <c r="F47" s="28"/>
    </row>
    <row r="48" spans="2:6" x14ac:dyDescent="0.25">
      <c r="B48" s="28"/>
      <c r="F48" s="28"/>
    </row>
    <row r="49" spans="2:6" x14ac:dyDescent="0.25">
      <c r="F49" s="28" t="s">
        <v>134</v>
      </c>
    </row>
    <row r="50" spans="2:6" x14ac:dyDescent="0.25">
      <c r="B50" s="28" t="s">
        <v>82</v>
      </c>
      <c r="F50" s="28" t="s">
        <v>83</v>
      </c>
    </row>
    <row r="64" spans="2:6" ht="15.75" thickBot="1" x14ac:dyDescent="0.3"/>
    <row r="65" spans="2:5" x14ac:dyDescent="0.25">
      <c r="B65" s="182" t="s">
        <v>187</v>
      </c>
      <c r="C65" s="182" t="s">
        <v>180</v>
      </c>
      <c r="D65" s="182" t="s">
        <v>181</v>
      </c>
      <c r="E65" s="182" t="s">
        <v>182</v>
      </c>
    </row>
    <row r="66" spans="2:5" ht="15.75" thickBot="1" x14ac:dyDescent="0.3">
      <c r="B66" s="183"/>
      <c r="C66" s="184"/>
      <c r="D66" s="184"/>
      <c r="E66" s="184"/>
    </row>
    <row r="67" spans="2:5" x14ac:dyDescent="0.25">
      <c r="B67" s="185" t="s">
        <v>183</v>
      </c>
      <c r="C67" s="187"/>
      <c r="D67" s="187"/>
      <c r="E67" s="182"/>
    </row>
    <row r="68" spans="2:5" x14ac:dyDescent="0.25">
      <c r="B68" s="186"/>
      <c r="C68" s="188"/>
      <c r="D68" s="188"/>
      <c r="E68" s="186"/>
    </row>
    <row r="69" spans="2:5" ht="15.75" thickBot="1" x14ac:dyDescent="0.3">
      <c r="B69" s="184"/>
      <c r="C69" s="189"/>
      <c r="D69" s="189"/>
      <c r="E69" s="184"/>
    </row>
    <row r="70" spans="2:5" x14ac:dyDescent="0.25">
      <c r="B70" s="182" t="s">
        <v>185</v>
      </c>
      <c r="C70" s="182"/>
      <c r="D70" s="182"/>
      <c r="E70" s="182"/>
    </row>
    <row r="71" spans="2:5" x14ac:dyDescent="0.25">
      <c r="B71" s="186"/>
      <c r="C71" s="186"/>
      <c r="D71" s="186"/>
      <c r="E71" s="186"/>
    </row>
    <row r="72" spans="2:5" ht="15.75" thickBot="1" x14ac:dyDescent="0.3">
      <c r="B72" s="184"/>
      <c r="C72" s="184"/>
      <c r="D72" s="184"/>
      <c r="E72" s="184"/>
    </row>
    <row r="73" spans="2:5" x14ac:dyDescent="0.25">
      <c r="B73" s="182" t="s">
        <v>186</v>
      </c>
      <c r="C73" s="187" t="s">
        <v>189</v>
      </c>
      <c r="D73" s="182"/>
      <c r="E73" s="182"/>
    </row>
    <row r="74" spans="2:5" x14ac:dyDescent="0.25">
      <c r="B74" s="186"/>
      <c r="C74" s="188"/>
      <c r="D74" s="186"/>
      <c r="E74" s="186"/>
    </row>
    <row r="75" spans="2:5" ht="15.75" thickBot="1" x14ac:dyDescent="0.3">
      <c r="B75" s="184"/>
      <c r="C75" s="189"/>
      <c r="D75" s="184"/>
      <c r="E75" s="184"/>
    </row>
  </sheetData>
  <mergeCells count="32">
    <mergeCell ref="B73:B75"/>
    <mergeCell ref="C73:C75"/>
    <mergeCell ref="D73:D75"/>
    <mergeCell ref="E73:E75"/>
    <mergeCell ref="B67:B69"/>
    <mergeCell ref="C67:C69"/>
    <mergeCell ref="D67:D69"/>
    <mergeCell ref="E67:E69"/>
    <mergeCell ref="B70:B72"/>
    <mergeCell ref="C70:C72"/>
    <mergeCell ref="D70:D72"/>
    <mergeCell ref="E70:E72"/>
    <mergeCell ref="A7:H7"/>
    <mergeCell ref="A8:H8"/>
    <mergeCell ref="B22:E22"/>
    <mergeCell ref="B23:E23"/>
    <mergeCell ref="B65:B66"/>
    <mergeCell ref="C65:C66"/>
    <mergeCell ref="D65:D66"/>
    <mergeCell ref="E65:E66"/>
    <mergeCell ref="B24:E24"/>
    <mergeCell ref="B46:D46"/>
    <mergeCell ref="B35:C35"/>
    <mergeCell ref="B36:C36"/>
    <mergeCell ref="B37:C37"/>
    <mergeCell ref="B38:C38"/>
    <mergeCell ref="B39:C39"/>
    <mergeCell ref="A2:H2"/>
    <mergeCell ref="A3:H3"/>
    <mergeCell ref="A4:H4"/>
    <mergeCell ref="A5:H5"/>
    <mergeCell ref="A6:H6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80"/>
  <sheetViews>
    <sheetView zoomScale="70" zoomScaleNormal="70" workbookViewId="0">
      <selection activeCell="B15" sqref="B15"/>
    </sheetView>
  </sheetViews>
  <sheetFormatPr defaultColWidth="8.5703125" defaultRowHeight="15" x14ac:dyDescent="0.25"/>
  <cols>
    <col min="1" max="1" width="5.42578125" customWidth="1"/>
    <col min="2" max="2" width="49.570312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x14ac:dyDescent="0.25">
      <c r="A1" s="1" t="s">
        <v>135</v>
      </c>
    </row>
    <row r="2" spans="1:8" ht="21.75" customHeight="1" x14ac:dyDescent="0.45">
      <c r="A2" s="209" t="s">
        <v>0</v>
      </c>
      <c r="B2" s="209"/>
      <c r="C2" s="209"/>
      <c r="D2" s="209"/>
      <c r="E2" s="209"/>
      <c r="F2" s="209"/>
      <c r="G2" s="209"/>
      <c r="H2" s="209"/>
    </row>
    <row r="3" spans="1:8" ht="21.75" customHeight="1" x14ac:dyDescent="0.3">
      <c r="A3" s="177" t="s">
        <v>1</v>
      </c>
      <c r="B3" s="177"/>
      <c r="C3" s="177"/>
      <c r="D3" s="177"/>
      <c r="E3" s="177"/>
      <c r="F3" s="177"/>
      <c r="G3" s="177"/>
      <c r="H3" s="177"/>
    </row>
    <row r="4" spans="1:8" ht="21.75" customHeight="1" x14ac:dyDescent="0.25">
      <c r="A4" s="179" t="s">
        <v>2</v>
      </c>
      <c r="B4" s="179"/>
      <c r="C4" s="179"/>
      <c r="D4" s="179"/>
      <c r="E4" s="179"/>
      <c r="F4" s="179"/>
      <c r="G4" s="179"/>
      <c r="H4" s="179"/>
    </row>
    <row r="5" spans="1:8" ht="21.75" customHeight="1" x14ac:dyDescent="0.25">
      <c r="A5" s="179" t="s">
        <v>3</v>
      </c>
      <c r="B5" s="179"/>
      <c r="C5" s="179"/>
      <c r="D5" s="179"/>
      <c r="E5" s="179"/>
      <c r="F5" s="179"/>
      <c r="G5" s="179"/>
      <c r="H5" s="179"/>
    </row>
    <row r="6" spans="1:8" ht="21.75" customHeight="1" x14ac:dyDescent="0.35">
      <c r="A6" s="180" t="s">
        <v>197</v>
      </c>
      <c r="B6" s="181"/>
      <c r="C6" s="181"/>
      <c r="D6" s="181"/>
      <c r="E6" s="181"/>
      <c r="F6" s="181"/>
      <c r="G6" s="181"/>
      <c r="H6" s="181"/>
    </row>
    <row r="7" spans="1:8" ht="29.85" customHeight="1" x14ac:dyDescent="0.3">
      <c r="A7" s="210" t="s">
        <v>136</v>
      </c>
      <c r="B7" s="210"/>
      <c r="C7" s="210"/>
      <c r="D7" s="210"/>
      <c r="E7" s="210"/>
      <c r="F7" s="210"/>
      <c r="G7" s="210"/>
      <c r="H7" s="210"/>
    </row>
    <row r="8" spans="1:8" ht="19.350000000000001" customHeight="1" thickBot="1" x14ac:dyDescent="0.35">
      <c r="A8" s="211" t="s">
        <v>137</v>
      </c>
      <c r="B8" s="211"/>
      <c r="C8" s="211"/>
      <c r="D8" s="211"/>
      <c r="E8" s="211"/>
      <c r="F8" s="211"/>
      <c r="G8" s="211"/>
      <c r="H8" s="211"/>
    </row>
    <row r="9" spans="1:8" ht="28.35" customHeight="1" thickBot="1" x14ac:dyDescent="0.3">
      <c r="A9" s="169" t="s">
        <v>6</v>
      </c>
      <c r="B9" s="140" t="s">
        <v>7</v>
      </c>
      <c r="C9" s="140" t="s">
        <v>8</v>
      </c>
      <c r="D9" s="140" t="s">
        <v>9</v>
      </c>
      <c r="E9" s="140" t="s">
        <v>10</v>
      </c>
      <c r="F9" s="140" t="s">
        <v>11</v>
      </c>
      <c r="G9" s="140" t="s">
        <v>12</v>
      </c>
      <c r="H9" s="141" t="s">
        <v>144</v>
      </c>
    </row>
    <row r="10" spans="1:8" ht="13.35" customHeight="1" x14ac:dyDescent="0.25">
      <c r="A10" s="85" t="s">
        <v>14</v>
      </c>
      <c r="B10" s="7" t="s">
        <v>171</v>
      </c>
      <c r="C10" s="162"/>
      <c r="D10" s="7"/>
      <c r="E10" s="100"/>
      <c r="F10" s="8"/>
      <c r="G10" s="100"/>
      <c r="H10" s="117"/>
    </row>
    <row r="11" spans="1:8" ht="13.35" customHeight="1" x14ac:dyDescent="0.25">
      <c r="A11" s="92"/>
      <c r="B11" s="8" t="s">
        <v>176</v>
      </c>
      <c r="C11" s="100"/>
      <c r="D11" s="8"/>
      <c r="E11" s="163"/>
      <c r="F11" s="101"/>
      <c r="G11" s="166"/>
      <c r="H11" s="117"/>
    </row>
    <row r="12" spans="1:8" ht="13.35" customHeight="1" x14ac:dyDescent="0.25">
      <c r="A12" s="92"/>
      <c r="B12" s="8" t="s">
        <v>175</v>
      </c>
      <c r="C12" s="100"/>
      <c r="D12" s="8"/>
      <c r="E12" s="163"/>
      <c r="F12" s="101"/>
      <c r="G12" s="166"/>
      <c r="H12" s="117"/>
    </row>
    <row r="13" spans="1:8" ht="13.35" customHeight="1" x14ac:dyDescent="0.25">
      <c r="A13" s="92"/>
      <c r="B13" s="8" t="s">
        <v>174</v>
      </c>
      <c r="C13" s="100"/>
      <c r="D13" s="8"/>
      <c r="E13" s="163"/>
      <c r="F13" s="101"/>
      <c r="G13" s="166"/>
      <c r="H13" s="117"/>
    </row>
    <row r="14" spans="1:8" ht="13.35" customHeight="1" x14ac:dyDescent="0.25">
      <c r="A14" s="85" t="s">
        <v>21</v>
      </c>
      <c r="B14" s="7" t="s">
        <v>138</v>
      </c>
      <c r="C14" s="162"/>
      <c r="D14" s="7"/>
      <c r="E14" s="100"/>
      <c r="F14" s="8"/>
      <c r="G14" s="100"/>
      <c r="H14" s="117"/>
    </row>
    <row r="15" spans="1:8" ht="13.35" customHeight="1" x14ac:dyDescent="0.25">
      <c r="A15" s="92">
        <v>1</v>
      </c>
      <c r="B15" s="8" t="s">
        <v>139</v>
      </c>
      <c r="C15" s="100" t="s">
        <v>140</v>
      </c>
      <c r="D15" s="8"/>
      <c r="E15" s="164">
        <v>9132040</v>
      </c>
      <c r="F15" s="101">
        <v>5797.93</v>
      </c>
      <c r="G15" s="167">
        <v>0.99780000000000002</v>
      </c>
      <c r="H15" s="117"/>
    </row>
    <row r="16" spans="1:8" ht="13.35" customHeight="1" x14ac:dyDescent="0.25">
      <c r="A16" s="92"/>
      <c r="B16" s="142" t="s">
        <v>20</v>
      </c>
      <c r="C16" s="42"/>
      <c r="D16" s="154"/>
      <c r="E16" s="42"/>
      <c r="F16" s="155">
        <v>5797.93</v>
      </c>
      <c r="G16" s="70">
        <v>0.99780000000000002</v>
      </c>
      <c r="H16" s="160"/>
    </row>
    <row r="17" spans="1:9" ht="13.35" customHeight="1" x14ac:dyDescent="0.25">
      <c r="A17" s="92"/>
      <c r="B17" s="142" t="s">
        <v>35</v>
      </c>
      <c r="C17" s="42"/>
      <c r="D17" s="154"/>
      <c r="E17" s="42"/>
      <c r="F17" s="155">
        <v>5797.93</v>
      </c>
      <c r="G17" s="70">
        <v>0.99780000000000002</v>
      </c>
      <c r="H17" s="99"/>
    </row>
    <row r="18" spans="1:9" ht="13.35" customHeight="1" x14ac:dyDescent="0.25">
      <c r="A18" s="85" t="s">
        <v>30</v>
      </c>
      <c r="B18" s="7" t="s">
        <v>13</v>
      </c>
      <c r="C18" s="100"/>
      <c r="D18" s="8"/>
      <c r="E18" s="100"/>
      <c r="F18" s="8"/>
      <c r="G18" s="100"/>
      <c r="H18" s="118"/>
    </row>
    <row r="19" spans="1:9" ht="13.35" customHeight="1" x14ac:dyDescent="0.25">
      <c r="A19" s="116" t="s">
        <v>36</v>
      </c>
      <c r="B19" s="7" t="s">
        <v>145</v>
      </c>
      <c r="C19" s="162"/>
      <c r="D19" s="7"/>
      <c r="E19" s="100"/>
      <c r="F19" s="8"/>
      <c r="G19" s="100"/>
      <c r="H19" s="117"/>
    </row>
    <row r="20" spans="1:9" ht="13.35" customHeight="1" x14ac:dyDescent="0.25">
      <c r="A20" s="92">
        <v>1</v>
      </c>
      <c r="B20" s="8" t="s">
        <v>211</v>
      </c>
      <c r="C20" s="100"/>
      <c r="D20" s="8"/>
      <c r="E20" s="165"/>
      <c r="F20" s="101">
        <v>18</v>
      </c>
      <c r="G20" s="167">
        <v>3.0999999999999999E-3</v>
      </c>
      <c r="H20" s="72">
        <v>5.0592884045217626E-2</v>
      </c>
    </row>
    <row r="21" spans="1:9" ht="13.35" customHeight="1" x14ac:dyDescent="0.25">
      <c r="A21" s="92"/>
      <c r="B21" s="142" t="s">
        <v>20</v>
      </c>
      <c r="C21" s="42"/>
      <c r="D21" s="154"/>
      <c r="E21" s="42"/>
      <c r="F21" s="155">
        <v>18</v>
      </c>
      <c r="G21" s="70">
        <v>3.0999999999999999E-3</v>
      </c>
      <c r="H21" s="161"/>
      <c r="I21" s="62"/>
    </row>
    <row r="22" spans="1:9" ht="13.35" customHeight="1" x14ac:dyDescent="0.25">
      <c r="A22" s="92"/>
      <c r="B22" s="156" t="s">
        <v>35</v>
      </c>
      <c r="C22" s="82"/>
      <c r="D22" s="157"/>
      <c r="E22" s="82"/>
      <c r="F22" s="158">
        <v>5815.93</v>
      </c>
      <c r="G22" s="168">
        <v>1.0008999999999999</v>
      </c>
      <c r="H22" s="159"/>
    </row>
    <row r="23" spans="1:9" ht="13.35" customHeight="1" x14ac:dyDescent="0.25">
      <c r="A23" s="147"/>
      <c r="B23" s="148" t="s">
        <v>37</v>
      </c>
      <c r="C23" s="82"/>
      <c r="D23" s="157"/>
      <c r="E23" s="82"/>
      <c r="F23" s="158">
        <v>-5.2</v>
      </c>
      <c r="G23" s="168">
        <v>-8.9999999999999998E-4</v>
      </c>
      <c r="H23" s="159"/>
    </row>
    <row r="24" spans="1:9" ht="13.35" customHeight="1" thickBot="1" x14ac:dyDescent="0.3">
      <c r="A24" s="97"/>
      <c r="B24" s="119" t="s">
        <v>38</v>
      </c>
      <c r="C24" s="120"/>
      <c r="D24" s="120"/>
      <c r="E24" s="120"/>
      <c r="F24" s="121">
        <v>5810.73</v>
      </c>
      <c r="G24" s="122">
        <v>1</v>
      </c>
      <c r="H24" s="123"/>
    </row>
    <row r="25" spans="1:9" ht="13.35" customHeight="1" x14ac:dyDescent="0.25">
      <c r="A25" s="10"/>
      <c r="B25" s="7"/>
      <c r="C25" s="8"/>
      <c r="D25" s="8"/>
      <c r="E25" s="8"/>
      <c r="F25" s="9"/>
      <c r="G25" s="34"/>
    </row>
    <row r="26" spans="1:9" ht="13.35" customHeight="1" x14ac:dyDescent="0.25">
      <c r="A26" s="10"/>
      <c r="F26" s="9"/>
      <c r="G26" s="32"/>
    </row>
    <row r="27" spans="1:9" ht="13.35" customHeight="1" x14ac:dyDescent="0.25">
      <c r="A27" s="10"/>
      <c r="B27" s="206" t="s">
        <v>39</v>
      </c>
      <c r="C27" s="206"/>
      <c r="D27" s="206"/>
      <c r="E27" s="206"/>
      <c r="F27" s="9"/>
      <c r="G27" s="32"/>
    </row>
    <row r="28" spans="1:9" ht="13.35" customHeight="1" x14ac:dyDescent="0.25">
      <c r="A28" s="10"/>
      <c r="B28" s="206" t="s">
        <v>40</v>
      </c>
      <c r="C28" s="206"/>
      <c r="D28" s="206"/>
      <c r="E28" s="206"/>
      <c r="F28" s="9"/>
      <c r="G28" s="32"/>
    </row>
    <row r="29" spans="1:9" ht="13.35" customHeight="1" x14ac:dyDescent="0.25">
      <c r="A29" s="10"/>
      <c r="B29" s="207" t="s">
        <v>41</v>
      </c>
      <c r="C29" s="207"/>
      <c r="D29" s="207"/>
      <c r="E29" s="207"/>
      <c r="F29" s="9"/>
      <c r="G29" s="32"/>
    </row>
    <row r="30" spans="1:9" ht="13.35" customHeight="1" x14ac:dyDescent="0.25">
      <c r="A30" s="10"/>
      <c r="B30" s="7"/>
      <c r="C30" s="8"/>
      <c r="D30" s="8"/>
      <c r="E30" s="8"/>
      <c r="F30" s="9"/>
      <c r="G30" s="32"/>
    </row>
    <row r="31" spans="1:9" x14ac:dyDescent="0.25">
      <c r="B31" s="11" t="s">
        <v>42</v>
      </c>
    </row>
    <row r="32" spans="1:9" x14ac:dyDescent="0.25">
      <c r="B32" s="35" t="s">
        <v>95</v>
      </c>
      <c r="C32" s="35"/>
      <c r="D32" s="12"/>
      <c r="E32" s="36" t="s">
        <v>44</v>
      </c>
    </row>
    <row r="33" spans="2:5" x14ac:dyDescent="0.25">
      <c r="B33" s="35" t="s">
        <v>96</v>
      </c>
      <c r="C33" s="35"/>
      <c r="D33" s="12"/>
      <c r="E33" s="36" t="s">
        <v>44</v>
      </c>
    </row>
    <row r="34" spans="2:5" x14ac:dyDescent="0.25">
      <c r="B34" s="35" t="s">
        <v>147</v>
      </c>
      <c r="C34" s="35"/>
      <c r="D34" s="12"/>
      <c r="E34" s="37"/>
    </row>
    <row r="35" spans="2:5" x14ac:dyDescent="0.25">
      <c r="B35" s="35" t="s">
        <v>97</v>
      </c>
      <c r="C35" s="35"/>
      <c r="D35" s="12"/>
      <c r="E35" s="18">
        <v>12.9438</v>
      </c>
    </row>
    <row r="36" spans="2:5" x14ac:dyDescent="0.25">
      <c r="B36" s="35" t="s">
        <v>103</v>
      </c>
      <c r="C36" s="35"/>
      <c r="D36" s="12"/>
      <c r="E36" s="18">
        <v>12.8996</v>
      </c>
    </row>
    <row r="37" spans="2:5" x14ac:dyDescent="0.25">
      <c r="B37" s="35" t="s">
        <v>148</v>
      </c>
      <c r="C37" s="35"/>
      <c r="D37" s="12"/>
      <c r="E37" s="37"/>
    </row>
    <row r="38" spans="2:5" x14ac:dyDescent="0.25">
      <c r="B38" s="35" t="s">
        <v>97</v>
      </c>
      <c r="C38" s="35"/>
      <c r="D38" s="12"/>
      <c r="E38" s="18">
        <v>12.928699999999999</v>
      </c>
    </row>
    <row r="39" spans="2:5" x14ac:dyDescent="0.25">
      <c r="B39" s="35" t="s">
        <v>103</v>
      </c>
      <c r="C39" s="35"/>
      <c r="D39" s="12"/>
      <c r="E39" s="18">
        <v>12.8841</v>
      </c>
    </row>
    <row r="40" spans="2:5" s="28" customFormat="1" x14ac:dyDescent="0.25">
      <c r="B40" s="52"/>
      <c r="C40" s="52"/>
      <c r="D40" s="12"/>
      <c r="E40" s="53"/>
    </row>
    <row r="41" spans="2:5" s="28" customFormat="1" x14ac:dyDescent="0.25">
      <c r="B41" s="56" t="s">
        <v>191</v>
      </c>
      <c r="C41" s="56"/>
      <c r="D41" s="57"/>
      <c r="E41" s="57" t="s">
        <v>44</v>
      </c>
    </row>
    <row r="42" spans="2:5" s="28" customFormat="1" x14ac:dyDescent="0.25">
      <c r="B42" s="198" t="s">
        <v>205</v>
      </c>
      <c r="C42" s="199"/>
      <c r="D42" s="57"/>
      <c r="E42" s="57" t="s">
        <v>44</v>
      </c>
    </row>
    <row r="43" spans="2:5" s="28" customFormat="1" x14ac:dyDescent="0.25">
      <c r="B43" s="198" t="s">
        <v>206</v>
      </c>
      <c r="C43" s="199"/>
      <c r="D43" s="57"/>
      <c r="E43" s="57" t="s">
        <v>44</v>
      </c>
    </row>
    <row r="44" spans="2:5" s="28" customFormat="1" x14ac:dyDescent="0.25">
      <c r="B44" s="198" t="s">
        <v>207</v>
      </c>
      <c r="C44" s="199"/>
      <c r="D44" s="57"/>
      <c r="E44" s="57" t="s">
        <v>44</v>
      </c>
    </row>
    <row r="45" spans="2:5" s="28" customFormat="1" x14ac:dyDescent="0.25">
      <c r="B45" s="198" t="s">
        <v>208</v>
      </c>
      <c r="C45" s="199"/>
      <c r="D45" s="57"/>
      <c r="E45" s="57" t="s">
        <v>44</v>
      </c>
    </row>
    <row r="46" spans="2:5" s="28" customFormat="1" x14ac:dyDescent="0.25">
      <c r="B46" s="198" t="s">
        <v>209</v>
      </c>
      <c r="C46" s="199"/>
      <c r="D46" s="57"/>
      <c r="E46" s="57" t="s">
        <v>44</v>
      </c>
    </row>
    <row r="47" spans="2:5" s="28" customFormat="1" x14ac:dyDescent="0.25">
      <c r="B47" s="52"/>
      <c r="C47" s="52"/>
      <c r="D47" s="12"/>
      <c r="E47" s="53"/>
    </row>
    <row r="48" spans="2:5" x14ac:dyDescent="0.25">
      <c r="B48" s="19" t="s">
        <v>57</v>
      </c>
      <c r="C48" s="13"/>
      <c r="D48" s="12"/>
      <c r="E48" s="20" t="s">
        <v>204</v>
      </c>
    </row>
    <row r="49" spans="2:6" x14ac:dyDescent="0.25">
      <c r="B49" s="35" t="s">
        <v>149</v>
      </c>
      <c r="C49" s="35"/>
      <c r="D49" s="12"/>
      <c r="E49" s="36" t="s">
        <v>44</v>
      </c>
    </row>
    <row r="50" spans="2:6" x14ac:dyDescent="0.25">
      <c r="B50" s="19" t="s">
        <v>210</v>
      </c>
      <c r="E50" s="36" t="s">
        <v>44</v>
      </c>
    </row>
    <row r="51" spans="2:6" x14ac:dyDescent="0.25">
      <c r="F51" s="28"/>
    </row>
    <row r="52" spans="2:6" x14ac:dyDescent="0.25">
      <c r="B52" s="28"/>
      <c r="F52" s="28"/>
    </row>
    <row r="53" spans="2:6" x14ac:dyDescent="0.25">
      <c r="F53" s="28" t="s">
        <v>134</v>
      </c>
    </row>
    <row r="54" spans="2:6" x14ac:dyDescent="0.25">
      <c r="B54" s="28" t="s">
        <v>82</v>
      </c>
      <c r="F54" s="28" t="s">
        <v>83</v>
      </c>
    </row>
    <row r="55" spans="2:6" x14ac:dyDescent="0.25">
      <c r="B55" s="28"/>
      <c r="F55" s="28"/>
    </row>
    <row r="69" spans="2:5" ht="15.75" thickBot="1" x14ac:dyDescent="0.3"/>
    <row r="70" spans="2:5" x14ac:dyDescent="0.25">
      <c r="B70" s="182" t="s">
        <v>187</v>
      </c>
      <c r="C70" s="182" t="s">
        <v>180</v>
      </c>
      <c r="D70" s="182" t="s">
        <v>181</v>
      </c>
      <c r="E70" s="182" t="s">
        <v>182</v>
      </c>
    </row>
    <row r="71" spans="2:5" ht="15.75" thickBot="1" x14ac:dyDescent="0.3">
      <c r="B71" s="183"/>
      <c r="C71" s="184"/>
      <c r="D71" s="184"/>
      <c r="E71" s="184"/>
    </row>
    <row r="72" spans="2:5" x14ac:dyDescent="0.25">
      <c r="B72" s="185" t="s">
        <v>183</v>
      </c>
      <c r="C72" s="187"/>
      <c r="D72" s="187"/>
      <c r="E72" s="182"/>
    </row>
    <row r="73" spans="2:5" x14ac:dyDescent="0.25">
      <c r="B73" s="186"/>
      <c r="C73" s="188"/>
      <c r="D73" s="188"/>
      <c r="E73" s="186"/>
    </row>
    <row r="74" spans="2:5" ht="15.75" thickBot="1" x14ac:dyDescent="0.3">
      <c r="B74" s="184"/>
      <c r="C74" s="189"/>
      <c r="D74" s="189"/>
      <c r="E74" s="184"/>
    </row>
    <row r="75" spans="2:5" x14ac:dyDescent="0.25">
      <c r="B75" s="182" t="s">
        <v>185</v>
      </c>
      <c r="C75" s="182"/>
      <c r="D75" s="182"/>
      <c r="E75" s="182"/>
    </row>
    <row r="76" spans="2:5" x14ac:dyDescent="0.25">
      <c r="B76" s="186"/>
      <c r="C76" s="186"/>
      <c r="D76" s="186"/>
      <c r="E76" s="186"/>
    </row>
    <row r="77" spans="2:5" ht="15.75" thickBot="1" x14ac:dyDescent="0.3">
      <c r="B77" s="184"/>
      <c r="C77" s="184"/>
      <c r="D77" s="184"/>
      <c r="E77" s="184"/>
    </row>
    <row r="78" spans="2:5" x14ac:dyDescent="0.25">
      <c r="B78" s="182" t="s">
        <v>186</v>
      </c>
      <c r="C78" s="187" t="s">
        <v>189</v>
      </c>
      <c r="D78" s="182"/>
      <c r="E78" s="182"/>
    </row>
    <row r="79" spans="2:5" x14ac:dyDescent="0.25">
      <c r="B79" s="186"/>
      <c r="C79" s="188"/>
      <c r="D79" s="186"/>
      <c r="E79" s="186"/>
    </row>
    <row r="80" spans="2:5" ht="15.75" thickBot="1" x14ac:dyDescent="0.3">
      <c r="B80" s="184"/>
      <c r="C80" s="189"/>
      <c r="D80" s="184"/>
      <c r="E80" s="184"/>
    </row>
  </sheetData>
  <mergeCells count="31">
    <mergeCell ref="B46:C46"/>
    <mergeCell ref="B42:C42"/>
    <mergeCell ref="B43:C43"/>
    <mergeCell ref="B44:C44"/>
    <mergeCell ref="B45:C45"/>
    <mergeCell ref="B27:E27"/>
    <mergeCell ref="B28:E28"/>
    <mergeCell ref="B29:E29"/>
    <mergeCell ref="A2:H2"/>
    <mergeCell ref="A3:H3"/>
    <mergeCell ref="A4:H4"/>
    <mergeCell ref="A5:H5"/>
    <mergeCell ref="A6:H6"/>
    <mergeCell ref="A7:H7"/>
    <mergeCell ref="A8:H8"/>
    <mergeCell ref="B70:B71"/>
    <mergeCell ref="C70:C71"/>
    <mergeCell ref="D70:D71"/>
    <mergeCell ref="E70:E71"/>
    <mergeCell ref="B72:B74"/>
    <mergeCell ref="C72:C74"/>
    <mergeCell ref="D72:D74"/>
    <mergeCell ref="E72:E74"/>
    <mergeCell ref="B75:B77"/>
    <mergeCell ref="C75:C77"/>
    <mergeCell ref="D75:D77"/>
    <mergeCell ref="E75:E77"/>
    <mergeCell ref="B78:B80"/>
    <mergeCell ref="C78:C80"/>
    <mergeCell ref="D78:D80"/>
    <mergeCell ref="E78:E80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YO06</vt:lpstr>
      <vt:lpstr>YO15</vt:lpstr>
      <vt:lpstr>YO25</vt:lpstr>
      <vt:lpstr>YO28</vt:lpstr>
    </vt:vector>
  </TitlesOfParts>
  <Company>Motilal Oswal Financial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Dhamankar</dc:creator>
  <cp:lastModifiedBy>Vicky Fernandes</cp:lastModifiedBy>
  <dcterms:created xsi:type="dcterms:W3CDTF">2026-04-20T06:51:05Z</dcterms:created>
  <dcterms:modified xsi:type="dcterms:W3CDTF">2026-05-21T09:02:54Z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2026-05-01T12:22:48Z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daf5bbe9-e72c-4952-be5b-aaa7c536bf89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