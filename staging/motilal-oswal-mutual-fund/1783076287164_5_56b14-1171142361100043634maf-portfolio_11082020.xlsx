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bookViews>
    <workbookView xWindow="0" yWindow="0" windowWidth="20490" windowHeight="7155"/>
  </bookViews>
  <sheets>
    <sheet name="MAF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44054.2235185185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1" l="1"/>
  <c r="J48" i="1"/>
</calcChain>
</file>

<file path=xl/sharedStrings.xml><?xml version="1.0" encoding="utf-8"?>
<sst xmlns="http://schemas.openxmlformats.org/spreadsheetml/2006/main" count="122" uniqueCount="92">
  <si>
    <t>Regular Growth Plan</t>
  </si>
  <si>
    <t>Direct Growth Plan</t>
  </si>
  <si>
    <t>NAV</t>
  </si>
  <si>
    <t>Grand Total</t>
  </si>
  <si>
    <t>Total</t>
  </si>
  <si>
    <t>Net Receivable/Payable</t>
  </si>
  <si>
    <t>Cash &amp; Cash Equivalents</t>
  </si>
  <si>
    <t>Deposits</t>
  </si>
  <si>
    <t>CBLO / Reverse Repo Investments</t>
  </si>
  <si>
    <t>Listed</t>
  </si>
  <si>
    <t>Cement</t>
  </si>
  <si>
    <t>INE481G01011</t>
  </si>
  <si>
    <t>Ultratech Cement Ltd</t>
  </si>
  <si>
    <t>Software</t>
  </si>
  <si>
    <t>INE467B01029</t>
  </si>
  <si>
    <t>Tata Consultancy Services Ltd</t>
  </si>
  <si>
    <t>Industrial Capital Goods</t>
  </si>
  <si>
    <t>INE671A01010</t>
  </si>
  <si>
    <t>Honeywell Automation India Ltd</t>
  </si>
  <si>
    <t>INE070A01015</t>
  </si>
  <si>
    <t>Shree Cement Ltd</t>
  </si>
  <si>
    <t>Petroleum Products</t>
  </si>
  <si>
    <t>INE002A01018</t>
  </si>
  <si>
    <t>Reliance Industries Ltd</t>
  </si>
  <si>
    <t>Pesticides</t>
  </si>
  <si>
    <t>INE603J01030</t>
  </si>
  <si>
    <t>PI Industries Ltd</t>
  </si>
  <si>
    <t>Auto</t>
  </si>
  <si>
    <t>INE585B01010</t>
  </si>
  <si>
    <t>Maruti Suzuki India Ltd</t>
  </si>
  <si>
    <t>Banks</t>
  </si>
  <si>
    <t>INE237A01028</t>
  </si>
  <si>
    <t>Kotak Mahindra Bank Ltd</t>
  </si>
  <si>
    <t>INE009A01021</t>
  </si>
  <si>
    <t>Infosys Ltd</t>
  </si>
  <si>
    <t>Finance</t>
  </si>
  <si>
    <t>INE765G01017</t>
  </si>
  <si>
    <t>ICICI Lombard General Insurance Company Ltd</t>
  </si>
  <si>
    <t>INE090A01021</t>
  </si>
  <si>
    <t>ICICI Bank Ltd</t>
  </si>
  <si>
    <t>Consumer Non Durables</t>
  </si>
  <si>
    <t>INE030A01027</t>
  </si>
  <si>
    <t>Hindustan Unilever Ltd</t>
  </si>
  <si>
    <t>INE795G01014</t>
  </si>
  <si>
    <t>HDFC Life Insurance Company Limited</t>
  </si>
  <si>
    <t>INE001A01036</t>
  </si>
  <si>
    <t>Housing Development Finance Corporation Ltd</t>
  </si>
  <si>
    <t>INE040A01034</t>
  </si>
  <si>
    <t>HDFC Bank Ltd</t>
  </si>
  <si>
    <t>Pharmaceuticals</t>
  </si>
  <si>
    <t>INE199A01012</t>
  </si>
  <si>
    <t>Procter &amp; Gamble Health Limited</t>
  </si>
  <si>
    <t>INE066A01013</t>
  </si>
  <si>
    <t>Eicher Motors Ltd</t>
  </si>
  <si>
    <t>INE089A01023</t>
  </si>
  <si>
    <t>Dr Reddys Laboratories Ltd</t>
  </si>
  <si>
    <t>INE007A01025</t>
  </si>
  <si>
    <t>Crisil Ltd</t>
  </si>
  <si>
    <t>Telecom - Services</t>
  </si>
  <si>
    <t>Transportation</t>
  </si>
  <si>
    <t>INE111A01025</t>
  </si>
  <si>
    <t>Container Corporation of India Ltd</t>
  </si>
  <si>
    <t>INE397D01024</t>
  </si>
  <si>
    <t>Bharti Airtel Ltd</t>
  </si>
  <si>
    <t>INE358A01014</t>
  </si>
  <si>
    <t>Abbott India Ltd</t>
  </si>
  <si>
    <t>Retailing</t>
  </si>
  <si>
    <t>INE192R01011</t>
  </si>
  <si>
    <t>Avenue Supermarts Limited</t>
  </si>
  <si>
    <t>INE021A01026</t>
  </si>
  <si>
    <t>Asian Paints Ltd</t>
  </si>
  <si>
    <t xml:space="preserve"> Listed / awaiting listing on the stock exchanges</t>
  </si>
  <si>
    <t>EQUITY &amp; EQUITY RELATED</t>
  </si>
  <si>
    <t>Percent</t>
  </si>
  <si>
    <t>Sector / Rating</t>
  </si>
  <si>
    <t>% to Net Assets</t>
  </si>
  <si>
    <t>Market value (Rs. In lakhs)</t>
  </si>
  <si>
    <t xml:space="preserve"> Quantity</t>
  </si>
  <si>
    <t xml:space="preserve"> Rating / Industry </t>
  </si>
  <si>
    <t>ISIN</t>
  </si>
  <si>
    <t xml:space="preserve"> Name of Instrument</t>
  </si>
  <si>
    <t>Sr. No.</t>
  </si>
  <si>
    <t>Motilal Oswal Multi Asset Fund</t>
  </si>
  <si>
    <t>Mutual Fund</t>
  </si>
  <si>
    <t>ICICI Prudential Gold ETF</t>
  </si>
  <si>
    <t>INF109KC1NT3</t>
  </si>
  <si>
    <t>ETF</t>
  </si>
  <si>
    <t>INF247L01AG2</t>
  </si>
  <si>
    <t>Motilal Oswal S&amp;P 500 Index Fund Direct Plan Growth</t>
  </si>
  <si>
    <t>Portfolio as on August 11, 2020</t>
  </si>
  <si>
    <t>Latest AUM (11 August 2020 ) in Crores</t>
  </si>
  <si>
    <t>Cash &amp; Cash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</si>
</sst>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0;\(#,##0.00\)"/>
    <numFmt numFmtId="165" formatCode="#,###.00########;\(#,###.00####\)"/>
    <numFmt numFmtId="166" formatCode="#,##0.00%"/>
    <numFmt numFmtId="167" formatCode="0.0%"/>
    <numFmt numFmtId="168" formatCode="0.0000000000000"/>
    <numFmt numFmtId="169" formatCode="#,##0;\(#,##0\)"/>
    <numFmt numFmtId="170" formatCode="0.0000"/>
  </numFmts>
  <fonts count="1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6"/>
      <color indexed="8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9"/>
      <color indexed="9"/>
      <name val="Arial"/>
      <family val="2"/>
    </font>
    <font>
      <b/>
      <sz val="9"/>
      <color indexed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sz val="9"/>
      <color indexed="72"/>
      <name val="Arial"/>
    </font>
    <font>
      <b/>
      <sz val="12"/>
      <color indexed="9"/>
      <name val="Arial"/>
      <family val="2"/>
    </font>
    <font>
      <sz val="9"/>
      <color indexed="7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22"/>
        <bgColor indexed="9"/>
      </patternFill>
    </fill>
  </fills>
  <borders count="8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/>
      <diagonal/>
    </border>
    <border>
      <left/>
      <right/>
      <top style="thin">
        <color indexed="31"/>
      </top>
      <bottom/>
      <diagonal/>
    </border>
    <border>
      <left style="thin">
        <color indexed="31"/>
      </left>
      <right/>
      <top style="thin">
        <color indexed="3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12" fillId="0" borderId="0" applyFont="0" applyFill="0" applyBorder="0" applyAlignment="0" applyProtection="0"/>
  </cellStyleXfs>
  <cellXfs count="87">
    <xf numFmtId="0" fontId="0" fillId="0" borderId="0" xfId="0"/>
    <xf numFmtId="0" fontId="3" fillId="2" borderId="0" xfId="0" applyFont="1" applyFill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165" fontId="4" fillId="0" borderId="1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4" fontId="9" fillId="2" borderId="0" xfId="0" applyNumberFormat="1" applyFont="1" applyFill="1" applyAlignment="1">
      <alignment horizontal="lef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left"/>
    </xf>
    <xf numFmtId="164" fontId="8" fillId="2" borderId="1" xfId="0" applyNumberFormat="1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39" fontId="0" fillId="0" borderId="0" xfId="0" applyNumberFormat="1"/>
    <xf numFmtId="0" fontId="4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/>
    </xf>
    <xf numFmtId="167" fontId="8" fillId="5" borderId="1" xfId="1" applyNumberFormat="1" applyFont="1" applyFill="1" applyBorder="1" applyAlignment="1">
      <alignment horizontal="right" vertical="center"/>
    </xf>
    <xf numFmtId="4" fontId="8" fillId="5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/>
    </xf>
    <xf numFmtId="10" fontId="8" fillId="2" borderId="1" xfId="1" applyNumberFormat="1" applyFont="1" applyFill="1" applyBorder="1" applyAlignment="1">
      <alignment horizontal="right"/>
    </xf>
    <xf numFmtId="0" fontId="13" fillId="0" borderId="0" xfId="0" applyNumberFormat="1" applyFont="1" applyFill="1" applyBorder="1" applyAlignment="1" applyProtection="1">
      <alignment horizontal="left" vertical="top"/>
    </xf>
    <xf numFmtId="168" fontId="3" fillId="2" borderId="0" xfId="0" applyNumberFormat="1" applyFont="1" applyFill="1" applyAlignment="1">
      <alignment horizontal="left"/>
    </xf>
    <xf numFmtId="49" fontId="10" fillId="2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49" fontId="9" fillId="2" borderId="0" xfId="0" applyNumberFormat="1" applyFont="1" applyFill="1" applyAlignment="1">
      <alignment horizontal="left"/>
    </xf>
    <xf numFmtId="0" fontId="15" fillId="0" borderId="0" xfId="0" applyNumberFormat="1" applyFont="1" applyFill="1" applyBorder="1" applyAlignment="1" applyProtection="1">
      <alignment horizontal="left" vertical="top"/>
    </xf>
    <xf numFmtId="164" fontId="15" fillId="0" borderId="0" xfId="0" applyNumberFormat="1" applyFont="1" applyFill="1" applyBorder="1" applyAlignment="1" applyProtection="1">
      <alignment horizontal="right" vertical="top"/>
    </xf>
    <xf numFmtId="169" fontId="15" fillId="0" borderId="0" xfId="0" applyNumberFormat="1" applyFont="1" applyFill="1" applyBorder="1" applyAlignment="1" applyProtection="1">
      <alignment horizontal="right" vertical="top"/>
    </xf>
    <xf numFmtId="166" fontId="15" fillId="0" borderId="0" xfId="0" applyNumberFormat="1" applyFont="1" applyFill="1" applyBorder="1" applyAlignment="1" applyProtection="1">
      <alignment horizontal="right" vertical="top"/>
    </xf>
    <xf numFmtId="10" fontId="8" fillId="5" borderId="1" xfId="1" applyNumberFormat="1" applyFont="1" applyFill="1" applyBorder="1" applyAlignment="1">
      <alignment horizontal="right" vertical="center"/>
    </xf>
    <xf numFmtId="9" fontId="6" fillId="4" borderId="1" xfId="1" applyFont="1" applyFill="1" applyBorder="1" applyAlignment="1">
      <alignment horizontal="right" vertical="center"/>
    </xf>
    <xf numFmtId="170" fontId="4" fillId="0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/>
    </xf>
    <xf numFmtId="49" fontId="11" fillId="2" borderId="1" xfId="0" applyNumberFormat="1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49" fontId="10" fillId="5" borderId="1" xfId="0" applyNumberFormat="1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9" fontId="10" fillId="2" borderId="3" xfId="0" applyNumberFormat="1" applyFont="1" applyFill="1" applyBorder="1" applyAlignment="1">
      <alignment horizontal="left"/>
    </xf>
    <xf numFmtId="49" fontId="10" fillId="2" borderId="4" xfId="0" applyNumberFormat="1" applyFont="1" applyFill="1" applyBorder="1" applyAlignment="1">
      <alignment horizontal="left"/>
    </xf>
    <xf numFmtId="49" fontId="10" fillId="2" borderId="2" xfId="0" applyNumberFormat="1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49" fontId="10" fillId="5" borderId="3" xfId="0" applyNumberFormat="1" applyFont="1" applyFill="1" applyBorder="1" applyAlignment="1">
      <alignment horizontal="left" vertical="center"/>
    </xf>
    <xf numFmtId="49" fontId="10" fillId="5" borderId="4" xfId="0" applyNumberFormat="1" applyFont="1" applyFill="1" applyBorder="1" applyAlignment="1">
      <alignment horizontal="left" vertical="center"/>
    </xf>
    <xf numFmtId="49" fontId="10" fillId="5" borderId="2" xfId="0" applyNumberFormat="1" applyFont="1" applyFill="1" applyBorder="1" applyAlignment="1">
      <alignment horizontal="left" vertical="center"/>
    </xf>
    <xf numFmtId="49" fontId="14" fillId="4" borderId="0" xfId="0" applyNumberFormat="1" applyFont="1" applyFill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49" fontId="8" fillId="2" borderId="4" xfId="0" applyNumberFormat="1" applyFont="1" applyFill="1" applyBorder="1" applyAlignment="1">
      <alignment horizontal="left"/>
    </xf>
    <xf numFmtId="0" fontId="15" fillId="0" borderId="3" xfId="0" applyNumberFormat="1" applyFont="1" applyFill="1" applyBorder="1" applyAlignment="1" applyProtection="1">
      <alignment horizontal="left" vertical="top"/>
    </xf>
    <xf numFmtId="0" fontId="15" fillId="0" borderId="4" xfId="0" applyNumberFormat="1" applyFont="1" applyFill="1" applyBorder="1" applyAlignment="1" applyProtection="1">
      <alignment horizontal="left" vertical="top"/>
    </xf>
    <xf numFmtId="0" fontId="15" fillId="0" borderId="2" xfId="0" applyNumberFormat="1" applyFont="1" applyFill="1" applyBorder="1" applyAlignment="1" applyProtection="1">
      <alignment horizontal="left" vertical="top"/>
    </xf>
  </cellXfs>
  <cellStyles count="4">
    <cellStyle name="Normal" xfId="0" builtinId="0"/>
    <cellStyle name="Normal 2" xfId="2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55</xdr:row>
          <xdr:rowOff>133350</xdr:rowOff>
        </xdr:from>
        <xdr:to>
          <xdr:col>5</xdr:col>
          <xdr:colOff>428625</xdr:colOff>
          <xdr:row>68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3"/>
  <sheetViews>
    <sheetView tabSelected="1" topLeftCell="A44" zoomScale="80" workbookViewId="0">
      <selection activeCell="B56" sqref="B56"/>
    </sheetView>
  </sheetViews>
  <sheetFormatPr defaultRowHeight="12.75" x14ac:dyDescent="0.2"/>
  <cols>
    <col min="1" max="1" width="8.28515625" customWidth="1"/>
    <col min="2" max="2" width="33.85546875" bestFit="1" customWidth="1"/>
    <col min="3" max="3" width="13.85546875" customWidth="1"/>
    <col min="4" max="4" width="16.5703125" customWidth="1"/>
    <col min="5" max="5" width="19" bestFit="1" customWidth="1"/>
    <col min="6" max="6" width="14.7109375" customWidth="1"/>
    <col min="7" max="7" width="6.7109375" customWidth="1"/>
    <col min="8" max="8" width="16" customWidth="1"/>
    <col min="9" max="9" width="25.5703125" customWidth="1"/>
    <col min="10" max="10" width="15.5703125" customWidth="1"/>
    <col min="11" max="12" width="14.7109375" customWidth="1"/>
    <col min="13" max="13" width="20.7109375" customWidth="1"/>
    <col min="14" max="14" width="14.7109375" customWidth="1"/>
    <col min="15" max="15" width="10.85546875" bestFit="1" customWidth="1"/>
  </cols>
  <sheetData>
    <row r="1" spans="1:15" s="1" customFormat="1" ht="21.75" customHeight="1" x14ac:dyDescent="0.25">
      <c r="A1" s="42"/>
      <c r="B1" s="78" t="s">
        <v>82</v>
      </c>
      <c r="C1" s="78"/>
      <c r="D1" s="78"/>
      <c r="E1" s="78"/>
      <c r="F1" s="78"/>
      <c r="G1" s="78"/>
      <c r="H1" s="78"/>
      <c r="I1" s="78"/>
      <c r="J1" s="78"/>
      <c r="K1" s="41"/>
      <c r="L1" s="41"/>
    </row>
    <row r="2" spans="1:15" s="1" customFormat="1" ht="18" customHeight="1" x14ac:dyDescent="0.2">
      <c r="A2" s="40"/>
      <c r="B2" s="79" t="s">
        <v>89</v>
      </c>
      <c r="C2" s="79"/>
      <c r="D2" s="79"/>
      <c r="E2" s="40"/>
      <c r="F2" s="80"/>
      <c r="G2" s="80"/>
      <c r="H2" s="40"/>
      <c r="I2" s="40"/>
      <c r="J2" s="40"/>
      <c r="K2" s="39"/>
      <c r="L2" s="39"/>
    </row>
    <row r="3" spans="1:15" s="1" customFormat="1" ht="18" customHeight="1" x14ac:dyDescent="0.2">
      <c r="A3" s="40"/>
      <c r="B3" s="80"/>
      <c r="C3" s="80"/>
      <c r="D3" s="80"/>
      <c r="E3" s="40"/>
      <c r="F3" s="80"/>
      <c r="G3" s="80"/>
      <c r="H3" s="40"/>
      <c r="I3" s="40"/>
      <c r="J3" s="40"/>
      <c r="K3" s="39"/>
      <c r="L3" s="39"/>
    </row>
    <row r="4" spans="1:15" s="1" customFormat="1" ht="20.25" customHeight="1" x14ac:dyDescent="0.2">
      <c r="A4" s="38" t="s">
        <v>81</v>
      </c>
      <c r="B4" s="81" t="s">
        <v>80</v>
      </c>
      <c r="C4" s="81"/>
      <c r="D4" s="81"/>
      <c r="E4" s="38" t="s">
        <v>79</v>
      </c>
      <c r="F4" s="81" t="s">
        <v>78</v>
      </c>
      <c r="G4" s="81"/>
      <c r="H4" s="38" t="s">
        <v>77</v>
      </c>
      <c r="I4" s="38" t="s">
        <v>76</v>
      </c>
      <c r="J4" s="38" t="s">
        <v>75</v>
      </c>
      <c r="K4" s="20"/>
      <c r="M4" s="37" t="s">
        <v>74</v>
      </c>
      <c r="N4" s="37" t="s">
        <v>73</v>
      </c>
    </row>
    <row r="5" spans="1:15" s="1" customFormat="1" ht="18" customHeight="1" x14ac:dyDescent="0.2">
      <c r="A5" s="15"/>
      <c r="B5" s="82"/>
      <c r="C5" s="82"/>
      <c r="D5" s="82"/>
      <c r="E5" s="15"/>
      <c r="F5" s="57"/>
      <c r="G5" s="57"/>
      <c r="H5" s="15"/>
      <c r="I5" s="15"/>
      <c r="J5" s="15"/>
      <c r="K5" s="20"/>
      <c r="M5" s="18" t="s">
        <v>30</v>
      </c>
      <c r="N5" s="34">
        <v>3.56E-2</v>
      </c>
    </row>
    <row r="6" spans="1:15" s="1" customFormat="1" ht="18" customHeight="1" x14ac:dyDescent="0.2">
      <c r="A6" s="15"/>
      <c r="B6" s="56" t="s">
        <v>72</v>
      </c>
      <c r="C6" s="56"/>
      <c r="D6" s="56"/>
      <c r="E6" s="15"/>
      <c r="F6" s="57"/>
      <c r="G6" s="57"/>
      <c r="H6" s="15"/>
      <c r="I6" s="15"/>
      <c r="J6" s="15"/>
      <c r="K6" s="20"/>
      <c r="M6" s="18" t="s">
        <v>35</v>
      </c>
      <c r="N6" s="34">
        <v>2.8900000000000002E-2</v>
      </c>
    </row>
    <row r="7" spans="1:15" s="1" customFormat="1" ht="18" customHeight="1" x14ac:dyDescent="0.2">
      <c r="A7" s="15"/>
      <c r="B7" s="56" t="s">
        <v>71</v>
      </c>
      <c r="C7" s="56"/>
      <c r="D7" s="56"/>
      <c r="E7" s="15"/>
      <c r="F7" s="57"/>
      <c r="G7" s="57"/>
      <c r="H7" s="15"/>
      <c r="I7" s="15"/>
      <c r="J7" s="15"/>
      <c r="K7" s="20"/>
      <c r="M7" s="18" t="s">
        <v>13</v>
      </c>
      <c r="N7" s="34">
        <v>2.3E-2</v>
      </c>
      <c r="O7" s="36"/>
    </row>
    <row r="8" spans="1:15" s="1" customFormat="1" ht="18" customHeight="1" x14ac:dyDescent="0.2">
      <c r="A8" s="23">
        <v>1</v>
      </c>
      <c r="B8" s="61" t="s">
        <v>70</v>
      </c>
      <c r="C8" s="62"/>
      <c r="D8" s="63"/>
      <c r="E8" s="35" t="s">
        <v>69</v>
      </c>
      <c r="F8" s="62" t="s">
        <v>40</v>
      </c>
      <c r="G8" s="63"/>
      <c r="H8" s="22">
        <v>3091</v>
      </c>
      <c r="I8" s="21">
        <v>55.3149905</v>
      </c>
      <c r="J8" s="34">
        <v>3.7000000000000002E-3</v>
      </c>
      <c r="K8" s="43"/>
      <c r="M8" s="18" t="s">
        <v>49</v>
      </c>
      <c r="N8" s="34">
        <v>1.6799999999999999E-2</v>
      </c>
    </row>
    <row r="9" spans="1:15" s="1" customFormat="1" ht="18" customHeight="1" x14ac:dyDescent="0.2">
      <c r="A9" s="23">
        <v>2</v>
      </c>
      <c r="B9" s="61" t="s">
        <v>68</v>
      </c>
      <c r="C9" s="62"/>
      <c r="D9" s="63"/>
      <c r="E9" s="35" t="s">
        <v>67</v>
      </c>
      <c r="F9" s="62" t="s">
        <v>66</v>
      </c>
      <c r="G9" s="63"/>
      <c r="H9" s="22">
        <v>3746</v>
      </c>
      <c r="I9" s="21">
        <v>79.862847000000002</v>
      </c>
      <c r="J9" s="34">
        <v>5.3E-3</v>
      </c>
      <c r="K9" s="33"/>
      <c r="M9" s="18" t="s">
        <v>21</v>
      </c>
      <c r="N9" s="34">
        <v>1.61E-2</v>
      </c>
    </row>
    <row r="10" spans="1:15" s="1" customFormat="1" ht="18" customHeight="1" x14ac:dyDescent="0.2">
      <c r="A10" s="23">
        <v>3</v>
      </c>
      <c r="B10" s="61" t="s">
        <v>65</v>
      </c>
      <c r="C10" s="62"/>
      <c r="D10" s="63"/>
      <c r="E10" s="35" t="s">
        <v>64</v>
      </c>
      <c r="F10" s="62" t="s">
        <v>49</v>
      </c>
      <c r="G10" s="63"/>
      <c r="H10" s="22">
        <v>523</v>
      </c>
      <c r="I10" s="21">
        <v>86.915539499999994</v>
      </c>
      <c r="J10" s="34">
        <v>5.7999999999999996E-3</v>
      </c>
      <c r="K10" s="33"/>
      <c r="M10" s="18" t="s">
        <v>27</v>
      </c>
      <c r="N10" s="34">
        <v>9.5000000000000015E-3</v>
      </c>
    </row>
    <row r="11" spans="1:15" s="1" customFormat="1" ht="18" customHeight="1" x14ac:dyDescent="0.2">
      <c r="A11" s="23">
        <v>4</v>
      </c>
      <c r="B11" s="61" t="s">
        <v>63</v>
      </c>
      <c r="C11" s="62"/>
      <c r="D11" s="63"/>
      <c r="E11" s="35" t="s">
        <v>62</v>
      </c>
      <c r="F11" s="62" t="s">
        <v>58</v>
      </c>
      <c r="G11" s="63"/>
      <c r="H11" s="22">
        <v>1465</v>
      </c>
      <c r="I11" s="21">
        <v>8.0736150000000002</v>
      </c>
      <c r="J11" s="34">
        <v>5.0000000000000001E-4</v>
      </c>
      <c r="K11" s="33"/>
      <c r="M11" s="18" t="s">
        <v>40</v>
      </c>
      <c r="N11" s="34">
        <v>9.1000000000000004E-3</v>
      </c>
    </row>
    <row r="12" spans="1:15" s="1" customFormat="1" ht="18" customHeight="1" x14ac:dyDescent="0.2">
      <c r="A12" s="23">
        <v>5</v>
      </c>
      <c r="B12" s="61" t="s">
        <v>61</v>
      </c>
      <c r="C12" s="62"/>
      <c r="D12" s="63"/>
      <c r="E12" s="35" t="s">
        <v>60</v>
      </c>
      <c r="F12" s="62" t="s">
        <v>59</v>
      </c>
      <c r="G12" s="63"/>
      <c r="H12" s="22">
        <v>12869</v>
      </c>
      <c r="I12" s="21">
        <v>48.554737000000003</v>
      </c>
      <c r="J12" s="34">
        <v>3.2000000000000002E-3</v>
      </c>
      <c r="K12" s="33"/>
      <c r="M12" s="18" t="s">
        <v>24</v>
      </c>
      <c r="N12" s="34">
        <v>6.4999999999999997E-3</v>
      </c>
    </row>
    <row r="13" spans="1:15" s="1" customFormat="1" ht="18" customHeight="1" x14ac:dyDescent="0.2">
      <c r="A13" s="23">
        <v>6</v>
      </c>
      <c r="B13" s="61" t="s">
        <v>57</v>
      </c>
      <c r="C13" s="62"/>
      <c r="D13" s="63"/>
      <c r="E13" s="35" t="s">
        <v>56</v>
      </c>
      <c r="F13" s="62" t="s">
        <v>35</v>
      </c>
      <c r="G13" s="63"/>
      <c r="H13" s="22">
        <v>3865</v>
      </c>
      <c r="I13" s="21">
        <v>66.990112499999995</v>
      </c>
      <c r="J13" s="34">
        <v>4.4000000000000003E-3</v>
      </c>
      <c r="K13" s="33"/>
      <c r="M13" s="18" t="s">
        <v>10</v>
      </c>
      <c r="N13" s="34">
        <v>5.3E-3</v>
      </c>
    </row>
    <row r="14" spans="1:15" s="1" customFormat="1" ht="18" customHeight="1" x14ac:dyDescent="0.2">
      <c r="A14" s="23">
        <v>7</v>
      </c>
      <c r="B14" s="61" t="s">
        <v>55</v>
      </c>
      <c r="C14" s="62"/>
      <c r="D14" s="63"/>
      <c r="E14" s="35" t="s">
        <v>54</v>
      </c>
      <c r="F14" s="62" t="s">
        <v>49</v>
      </c>
      <c r="G14" s="63"/>
      <c r="H14" s="22">
        <v>1492</v>
      </c>
      <c r="I14" s="21">
        <v>68.570827999999992</v>
      </c>
      <c r="J14" s="34">
        <v>4.4999999999999997E-3</v>
      </c>
      <c r="K14" s="33"/>
      <c r="M14" s="18" t="s">
        <v>66</v>
      </c>
      <c r="N14" s="34">
        <v>5.3E-3</v>
      </c>
    </row>
    <row r="15" spans="1:15" s="1" customFormat="1" ht="18" customHeight="1" x14ac:dyDescent="0.2">
      <c r="A15" s="23">
        <v>8</v>
      </c>
      <c r="B15" s="61" t="s">
        <v>53</v>
      </c>
      <c r="C15" s="62"/>
      <c r="D15" s="63"/>
      <c r="E15" s="35" t="s">
        <v>52</v>
      </c>
      <c r="F15" s="62" t="s">
        <v>27</v>
      </c>
      <c r="G15" s="63"/>
      <c r="H15" s="22">
        <v>312</v>
      </c>
      <c r="I15" s="21">
        <v>66.901067999999995</v>
      </c>
      <c r="J15" s="34">
        <v>4.4000000000000003E-3</v>
      </c>
      <c r="K15" s="33"/>
      <c r="M15" s="18" t="s">
        <v>16</v>
      </c>
      <c r="N15" s="34">
        <v>4.1999999999999997E-3</v>
      </c>
    </row>
    <row r="16" spans="1:15" s="1" customFormat="1" ht="18" customHeight="1" x14ac:dyDescent="0.2">
      <c r="A16" s="23">
        <v>9</v>
      </c>
      <c r="B16" s="61" t="s">
        <v>51</v>
      </c>
      <c r="C16" s="62"/>
      <c r="D16" s="63"/>
      <c r="E16" s="35" t="s">
        <v>50</v>
      </c>
      <c r="F16" s="62" t="s">
        <v>49</v>
      </c>
      <c r="G16" s="63"/>
      <c r="H16" s="22">
        <v>2190</v>
      </c>
      <c r="I16" s="21">
        <v>98.592704999999995</v>
      </c>
      <c r="J16" s="34">
        <v>6.4999999999999997E-3</v>
      </c>
      <c r="K16" s="33"/>
      <c r="M16" s="18" t="s">
        <v>59</v>
      </c>
      <c r="N16" s="34">
        <v>3.2000000000000002E-3</v>
      </c>
    </row>
    <row r="17" spans="1:14" s="1" customFormat="1" ht="18" customHeight="1" x14ac:dyDescent="0.2">
      <c r="A17" s="23">
        <v>10</v>
      </c>
      <c r="B17" s="61" t="s">
        <v>48</v>
      </c>
      <c r="C17" s="62"/>
      <c r="D17" s="63"/>
      <c r="E17" s="35" t="s">
        <v>47</v>
      </c>
      <c r="F17" s="62" t="s">
        <v>30</v>
      </c>
      <c r="G17" s="63"/>
      <c r="H17" s="22">
        <v>20515</v>
      </c>
      <c r="I17" s="21">
        <v>218.82324750000001</v>
      </c>
      <c r="J17" s="34">
        <v>1.4500000000000001E-2</v>
      </c>
      <c r="K17" s="33"/>
      <c r="M17" s="18" t="s">
        <v>58</v>
      </c>
      <c r="N17" s="34">
        <v>5.0000000000000001E-4</v>
      </c>
    </row>
    <row r="18" spans="1:14" s="1" customFormat="1" ht="18" customHeight="1" x14ac:dyDescent="0.2">
      <c r="A18" s="23">
        <v>11</v>
      </c>
      <c r="B18" s="61" t="s">
        <v>46</v>
      </c>
      <c r="C18" s="62"/>
      <c r="D18" s="63"/>
      <c r="E18" s="35" t="s">
        <v>45</v>
      </c>
      <c r="F18" s="62" t="s">
        <v>35</v>
      </c>
      <c r="G18" s="63"/>
      <c r="H18" s="22">
        <v>10333</v>
      </c>
      <c r="I18" s="21">
        <v>188.75807750000001</v>
      </c>
      <c r="J18" s="34">
        <v>1.2500000000000001E-2</v>
      </c>
      <c r="K18" s="33"/>
      <c r="M18" s="18" t="s">
        <v>86</v>
      </c>
      <c r="N18" s="34">
        <v>0.1086</v>
      </c>
    </row>
    <row r="19" spans="1:14" s="1" customFormat="1" ht="18" customHeight="1" x14ac:dyDescent="0.2">
      <c r="A19" s="23">
        <v>12</v>
      </c>
      <c r="B19" s="61" t="s">
        <v>44</v>
      </c>
      <c r="C19" s="62"/>
      <c r="D19" s="63"/>
      <c r="E19" s="35" t="s">
        <v>43</v>
      </c>
      <c r="F19" s="62" t="s">
        <v>35</v>
      </c>
      <c r="G19" s="63"/>
      <c r="H19" s="22">
        <v>20569</v>
      </c>
      <c r="I19" s="21">
        <v>125.2137875</v>
      </c>
      <c r="J19" s="34">
        <v>8.3000000000000001E-3</v>
      </c>
      <c r="K19" s="33"/>
      <c r="M19" s="18" t="s">
        <v>83</v>
      </c>
      <c r="N19" s="34">
        <v>0.1106</v>
      </c>
    </row>
    <row r="20" spans="1:14" s="1" customFormat="1" ht="18" customHeight="1" x14ac:dyDescent="0.2">
      <c r="A20" s="23">
        <v>13</v>
      </c>
      <c r="B20" s="61" t="s">
        <v>42</v>
      </c>
      <c r="C20" s="62"/>
      <c r="D20" s="63"/>
      <c r="E20" s="35" t="s">
        <v>41</v>
      </c>
      <c r="F20" s="62" t="s">
        <v>40</v>
      </c>
      <c r="G20" s="63"/>
      <c r="H20" s="22">
        <v>3713</v>
      </c>
      <c r="I20" s="21">
        <v>82.0814345</v>
      </c>
      <c r="J20" s="34">
        <v>5.4000000000000003E-3</v>
      </c>
      <c r="K20" s="33"/>
      <c r="M20" s="18" t="s">
        <v>91</v>
      </c>
      <c r="N20" s="34">
        <v>0.61680000000000001</v>
      </c>
    </row>
    <row r="21" spans="1:14" s="1" customFormat="1" ht="18" customHeight="1" x14ac:dyDescent="0.2">
      <c r="A21" s="23">
        <v>14</v>
      </c>
      <c r="B21" s="61" t="s">
        <v>39</v>
      </c>
      <c r="C21" s="62"/>
      <c r="D21" s="63"/>
      <c r="E21" s="35" t="s">
        <v>38</v>
      </c>
      <c r="F21" s="62" t="s">
        <v>30</v>
      </c>
      <c r="G21" s="63"/>
      <c r="H21" s="22">
        <v>35090</v>
      </c>
      <c r="I21" s="21">
        <v>128.90311500000001</v>
      </c>
      <c r="J21" s="34">
        <v>8.5000000000000006E-3</v>
      </c>
      <c r="K21" s="33"/>
    </row>
    <row r="22" spans="1:14" s="1" customFormat="1" ht="18" customHeight="1" x14ac:dyDescent="0.2">
      <c r="A22" s="23">
        <v>15</v>
      </c>
      <c r="B22" s="61" t="s">
        <v>37</v>
      </c>
      <c r="C22" s="62"/>
      <c r="D22" s="63"/>
      <c r="E22" s="35" t="s">
        <v>36</v>
      </c>
      <c r="F22" s="62" t="s">
        <v>35</v>
      </c>
      <c r="G22" s="63"/>
      <c r="H22" s="22">
        <v>4107</v>
      </c>
      <c r="I22" s="21">
        <v>55.399322999999995</v>
      </c>
      <c r="J22" s="34">
        <v>3.7000000000000002E-3</v>
      </c>
      <c r="K22" s="33"/>
    </row>
    <row r="23" spans="1:14" s="1" customFormat="1" ht="18" customHeight="1" x14ac:dyDescent="0.2">
      <c r="A23" s="23">
        <v>16</v>
      </c>
      <c r="B23" s="61" t="s">
        <v>34</v>
      </c>
      <c r="C23" s="62"/>
      <c r="D23" s="63"/>
      <c r="E23" s="35" t="s">
        <v>33</v>
      </c>
      <c r="F23" s="62" t="s">
        <v>13</v>
      </c>
      <c r="G23" s="63"/>
      <c r="H23" s="22">
        <v>18982</v>
      </c>
      <c r="I23" s="21">
        <v>180.03477899999999</v>
      </c>
      <c r="J23" s="34">
        <v>1.1900000000000001E-2</v>
      </c>
      <c r="K23" s="33"/>
    </row>
    <row r="24" spans="1:14" s="1" customFormat="1" ht="18" customHeight="1" x14ac:dyDescent="0.2">
      <c r="A24" s="23">
        <v>17</v>
      </c>
      <c r="B24" s="61" t="s">
        <v>32</v>
      </c>
      <c r="C24" s="62"/>
      <c r="D24" s="63"/>
      <c r="E24" s="35" t="s">
        <v>31</v>
      </c>
      <c r="F24" s="62" t="s">
        <v>30</v>
      </c>
      <c r="G24" s="63"/>
      <c r="H24" s="22">
        <v>13924</v>
      </c>
      <c r="I24" s="21">
        <v>190.00690399999999</v>
      </c>
      <c r="J24" s="34">
        <v>1.26E-2</v>
      </c>
      <c r="K24" s="33"/>
    </row>
    <row r="25" spans="1:14" s="1" customFormat="1" ht="18" customHeight="1" x14ac:dyDescent="0.2">
      <c r="A25" s="23">
        <v>18</v>
      </c>
      <c r="B25" s="61" t="s">
        <v>29</v>
      </c>
      <c r="C25" s="62"/>
      <c r="D25" s="63"/>
      <c r="E25" s="35" t="s">
        <v>28</v>
      </c>
      <c r="F25" s="62" t="s">
        <v>27</v>
      </c>
      <c r="G25" s="63"/>
      <c r="H25" s="22">
        <v>1163</v>
      </c>
      <c r="I25" s="21">
        <v>77.330196000000001</v>
      </c>
      <c r="J25" s="34">
        <v>5.1000000000000004E-3</v>
      </c>
      <c r="K25" s="33"/>
    </row>
    <row r="26" spans="1:14" s="1" customFormat="1" ht="18" customHeight="1" x14ac:dyDescent="0.2">
      <c r="A26" s="23">
        <v>19</v>
      </c>
      <c r="B26" s="61" t="s">
        <v>26</v>
      </c>
      <c r="C26" s="62"/>
      <c r="D26" s="63"/>
      <c r="E26" s="35" t="s">
        <v>25</v>
      </c>
      <c r="F26" s="62" t="s">
        <v>24</v>
      </c>
      <c r="G26" s="63"/>
      <c r="H26" s="22">
        <v>5160</v>
      </c>
      <c r="I26" s="21">
        <v>98.274780000000007</v>
      </c>
      <c r="J26" s="34">
        <v>6.4999999999999997E-3</v>
      </c>
      <c r="K26" s="33"/>
    </row>
    <row r="27" spans="1:14" s="1" customFormat="1" ht="18" customHeight="1" x14ac:dyDescent="0.2">
      <c r="A27" s="23">
        <v>20</v>
      </c>
      <c r="B27" s="61" t="s">
        <v>23</v>
      </c>
      <c r="C27" s="62"/>
      <c r="D27" s="63"/>
      <c r="E27" s="35" t="s">
        <v>22</v>
      </c>
      <c r="F27" s="62" t="s">
        <v>21</v>
      </c>
      <c r="G27" s="63"/>
      <c r="H27" s="22">
        <v>11432</v>
      </c>
      <c r="I27" s="21">
        <v>243.93601600000002</v>
      </c>
      <c r="J27" s="34">
        <v>1.61E-2</v>
      </c>
      <c r="K27" s="33"/>
    </row>
    <row r="28" spans="1:14" s="1" customFormat="1" ht="18" customHeight="1" x14ac:dyDescent="0.2">
      <c r="A28" s="23">
        <v>21</v>
      </c>
      <c r="B28" s="61" t="s">
        <v>20</v>
      </c>
      <c r="C28" s="62"/>
      <c r="D28" s="63"/>
      <c r="E28" s="35" t="s">
        <v>19</v>
      </c>
      <c r="F28" s="62" t="s">
        <v>10</v>
      </c>
      <c r="G28" s="63"/>
      <c r="H28" s="22">
        <v>252</v>
      </c>
      <c r="I28" s="21">
        <v>54.310032</v>
      </c>
      <c r="J28" s="34">
        <v>3.5999999999999999E-3</v>
      </c>
      <c r="K28" s="33"/>
    </row>
    <row r="29" spans="1:14" s="1" customFormat="1" ht="18" customHeight="1" x14ac:dyDescent="0.2">
      <c r="A29" s="23">
        <v>22</v>
      </c>
      <c r="B29" s="61" t="s">
        <v>18</v>
      </c>
      <c r="C29" s="62"/>
      <c r="D29" s="63"/>
      <c r="E29" s="35" t="s">
        <v>17</v>
      </c>
      <c r="F29" s="62" t="s">
        <v>16</v>
      </c>
      <c r="G29" s="63"/>
      <c r="H29" s="22">
        <v>195</v>
      </c>
      <c r="I29" s="21">
        <v>62.871997499999999</v>
      </c>
      <c r="J29" s="34">
        <v>4.1999999999999997E-3</v>
      </c>
      <c r="K29" s="33"/>
    </row>
    <row r="30" spans="1:14" s="1" customFormat="1" ht="18" customHeight="1" x14ac:dyDescent="0.2">
      <c r="A30" s="23">
        <v>23</v>
      </c>
      <c r="B30" s="61" t="s">
        <v>15</v>
      </c>
      <c r="C30" s="62"/>
      <c r="D30" s="63"/>
      <c r="E30" s="35" t="s">
        <v>14</v>
      </c>
      <c r="F30" s="62" t="s">
        <v>13</v>
      </c>
      <c r="G30" s="63"/>
      <c r="H30" s="22">
        <v>7349</v>
      </c>
      <c r="I30" s="21">
        <v>167.54985099999999</v>
      </c>
      <c r="J30" s="34">
        <v>1.11E-2</v>
      </c>
      <c r="K30" s="33"/>
    </row>
    <row r="31" spans="1:14" s="1" customFormat="1" ht="18" customHeight="1" x14ac:dyDescent="0.2">
      <c r="A31" s="23">
        <v>24</v>
      </c>
      <c r="B31" s="61" t="s">
        <v>12</v>
      </c>
      <c r="C31" s="62"/>
      <c r="D31" s="63"/>
      <c r="E31" s="35" t="s">
        <v>11</v>
      </c>
      <c r="F31" s="62" t="s">
        <v>10</v>
      </c>
      <c r="G31" s="63"/>
      <c r="H31" s="22">
        <v>648</v>
      </c>
      <c r="I31" s="21">
        <v>25.717500000000001</v>
      </c>
      <c r="J31" s="34">
        <v>1.6999999999999999E-3</v>
      </c>
      <c r="K31" s="33"/>
    </row>
    <row r="32" spans="1:14" s="1" customFormat="1" ht="18" customHeight="1" x14ac:dyDescent="0.15">
      <c r="A32" s="8"/>
      <c r="B32" s="75" t="s">
        <v>4</v>
      </c>
      <c r="C32" s="76"/>
      <c r="D32" s="77"/>
      <c r="E32" s="12"/>
      <c r="F32" s="60"/>
      <c r="G32" s="60"/>
      <c r="H32" s="11"/>
      <c r="I32" s="32">
        <v>2478.9874830000003</v>
      </c>
      <c r="J32" s="31">
        <v>0.16400000000000001</v>
      </c>
      <c r="K32" s="14" t="s">
        <v>9</v>
      </c>
      <c r="L32" s="4"/>
    </row>
    <row r="33" spans="1:12" s="1" customFormat="1" ht="18" customHeight="1" x14ac:dyDescent="0.2">
      <c r="A33" s="15"/>
      <c r="B33" s="72"/>
      <c r="C33" s="73"/>
      <c r="D33" s="74"/>
      <c r="E33" s="15"/>
      <c r="F33" s="57"/>
      <c r="G33" s="57"/>
      <c r="H33" s="15"/>
      <c r="I33" s="15"/>
      <c r="J33" s="15"/>
      <c r="K33" s="20"/>
      <c r="L33" s="20"/>
    </row>
    <row r="34" spans="1:12" s="1" customFormat="1" ht="18" customHeight="1" x14ac:dyDescent="0.2">
      <c r="A34" s="15"/>
      <c r="B34" s="28" t="s">
        <v>86</v>
      </c>
      <c r="C34" s="27"/>
      <c r="D34" s="26"/>
      <c r="E34" s="15"/>
      <c r="F34" s="25"/>
      <c r="G34" s="24"/>
      <c r="H34" s="15"/>
      <c r="I34" s="15"/>
      <c r="J34" s="15"/>
      <c r="K34" s="20"/>
      <c r="L34" s="20"/>
    </row>
    <row r="35" spans="1:12" s="1" customFormat="1" ht="18" customHeight="1" x14ac:dyDescent="0.2">
      <c r="A35" s="23">
        <v>1</v>
      </c>
      <c r="B35" s="67" t="s">
        <v>84</v>
      </c>
      <c r="C35" s="83"/>
      <c r="D35" s="68"/>
      <c r="E35" s="44" t="s">
        <v>85</v>
      </c>
      <c r="F35" s="30"/>
      <c r="G35" s="29"/>
      <c r="H35" s="46">
        <v>3404746</v>
      </c>
      <c r="I35" s="45">
        <v>1640.7470974</v>
      </c>
      <c r="J35" s="47">
        <v>0.1086</v>
      </c>
      <c r="K35" s="20"/>
      <c r="L35" s="20"/>
    </row>
    <row r="36" spans="1:12" s="1" customFormat="1" ht="18" customHeight="1" x14ac:dyDescent="0.2">
      <c r="A36" s="8"/>
      <c r="B36" s="64" t="s">
        <v>4</v>
      </c>
      <c r="C36" s="64"/>
      <c r="D36" s="64"/>
      <c r="E36" s="12"/>
      <c r="F36" s="60"/>
      <c r="G36" s="60"/>
      <c r="H36" s="11"/>
      <c r="I36" s="10">
        <v>1640.7470974</v>
      </c>
      <c r="J36" s="48">
        <v>0.1086</v>
      </c>
      <c r="K36" s="20"/>
      <c r="L36" s="20"/>
    </row>
    <row r="37" spans="1:12" s="1" customFormat="1" ht="18" customHeight="1" x14ac:dyDescent="0.2">
      <c r="A37" s="15"/>
      <c r="B37" s="28"/>
      <c r="C37" s="27"/>
      <c r="D37" s="26"/>
      <c r="E37" s="15"/>
      <c r="F37" s="25"/>
      <c r="G37" s="24"/>
      <c r="H37" s="15"/>
      <c r="I37" s="15"/>
      <c r="J37" s="15"/>
      <c r="K37" s="20"/>
      <c r="L37" s="20"/>
    </row>
    <row r="38" spans="1:12" s="1" customFormat="1" ht="18" customHeight="1" x14ac:dyDescent="0.2">
      <c r="A38" s="15"/>
      <c r="B38" s="28" t="s">
        <v>83</v>
      </c>
      <c r="C38" s="27"/>
      <c r="D38" s="26"/>
      <c r="E38" s="15"/>
      <c r="F38" s="25"/>
      <c r="G38" s="24"/>
      <c r="H38" s="15"/>
      <c r="I38" s="15"/>
      <c r="J38" s="15"/>
      <c r="K38" s="20"/>
      <c r="L38" s="20"/>
    </row>
    <row r="39" spans="1:12" s="1" customFormat="1" ht="18" customHeight="1" x14ac:dyDescent="0.2">
      <c r="A39" s="23">
        <v>1</v>
      </c>
      <c r="B39" s="84" t="s">
        <v>88</v>
      </c>
      <c r="C39" s="85"/>
      <c r="D39" s="86"/>
      <c r="E39" s="44" t="s">
        <v>87</v>
      </c>
      <c r="F39" s="67"/>
      <c r="G39" s="68"/>
      <c r="H39" s="45">
        <v>14693174.57</v>
      </c>
      <c r="I39" s="45">
        <v>1671.7747093999999</v>
      </c>
      <c r="J39" s="47">
        <v>0.1106</v>
      </c>
      <c r="K39" s="20"/>
      <c r="L39" s="20"/>
    </row>
    <row r="40" spans="1:12" s="1" customFormat="1" ht="18" customHeight="1" x14ac:dyDescent="0.2">
      <c r="A40" s="8"/>
      <c r="B40" s="64" t="s">
        <v>4</v>
      </c>
      <c r="C40" s="64"/>
      <c r="D40" s="64"/>
      <c r="E40" s="12"/>
      <c r="F40" s="60"/>
      <c r="G40" s="60"/>
      <c r="H40" s="11"/>
      <c r="I40" s="10">
        <v>1671.7747093999999</v>
      </c>
      <c r="J40" s="48">
        <v>0.1106</v>
      </c>
      <c r="K40" s="20"/>
      <c r="L40" s="20"/>
    </row>
    <row r="41" spans="1:12" s="1" customFormat="1" ht="18" customHeight="1" x14ac:dyDescent="0.2">
      <c r="A41" s="15"/>
      <c r="B41" s="56"/>
      <c r="C41" s="56"/>
      <c r="D41" s="56"/>
      <c r="E41" s="15"/>
      <c r="F41" s="57"/>
      <c r="G41" s="57"/>
      <c r="H41" s="15"/>
      <c r="I41" s="15"/>
      <c r="J41" s="15"/>
      <c r="K41" s="20"/>
      <c r="L41" s="20"/>
    </row>
    <row r="42" spans="1:12" s="1" customFormat="1" ht="18" customHeight="1" x14ac:dyDescent="0.2">
      <c r="A42" s="19">
        <v>51</v>
      </c>
      <c r="B42" s="69" t="s">
        <v>8</v>
      </c>
      <c r="C42" s="70"/>
      <c r="D42" s="71"/>
      <c r="E42" s="18"/>
      <c r="F42" s="67"/>
      <c r="G42" s="68"/>
      <c r="H42" s="45">
        <v>9384000</v>
      </c>
      <c r="I42" s="45">
        <v>9384</v>
      </c>
      <c r="J42" s="47">
        <v>0.62090000000000001</v>
      </c>
      <c r="K42" s="16"/>
      <c r="L42" s="16" t="s">
        <v>7</v>
      </c>
    </row>
    <row r="43" spans="1:12" s="1" customFormat="1" ht="18" customHeight="1" x14ac:dyDescent="0.15">
      <c r="A43" s="8"/>
      <c r="B43" s="64" t="s">
        <v>4</v>
      </c>
      <c r="C43" s="64"/>
      <c r="D43" s="64"/>
      <c r="E43" s="12"/>
      <c r="F43" s="60"/>
      <c r="G43" s="60"/>
      <c r="H43" s="11"/>
      <c r="I43" s="10">
        <v>9384</v>
      </c>
      <c r="J43" s="48">
        <v>0.62090000000000001</v>
      </c>
      <c r="K43" s="14"/>
      <c r="L43" s="4"/>
    </row>
    <row r="44" spans="1:12" s="1" customFormat="1" ht="18" customHeight="1" x14ac:dyDescent="0.2">
      <c r="A44" s="8"/>
      <c r="B44" s="56"/>
      <c r="C44" s="56"/>
      <c r="D44" s="56"/>
      <c r="E44" s="15"/>
      <c r="F44" s="57"/>
      <c r="G44" s="57"/>
      <c r="H44" s="15"/>
      <c r="I44" s="15"/>
      <c r="J44" s="15"/>
      <c r="K44" s="14"/>
      <c r="L44" s="4"/>
    </row>
    <row r="45" spans="1:12" s="1" customFormat="1" ht="18" customHeight="1" x14ac:dyDescent="0.15">
      <c r="A45" s="8"/>
      <c r="B45" s="58" t="s">
        <v>6</v>
      </c>
      <c r="C45" s="58"/>
      <c r="D45" s="58"/>
      <c r="E45" s="8"/>
      <c r="F45" s="59"/>
      <c r="G45" s="59"/>
      <c r="H45" s="13"/>
      <c r="I45" s="8"/>
      <c r="J45" s="8"/>
      <c r="K45" s="4"/>
      <c r="L45" s="4"/>
    </row>
    <row r="46" spans="1:12" s="1" customFormat="1" ht="17.25" customHeight="1" x14ac:dyDescent="0.2">
      <c r="A46" s="8"/>
      <c r="B46" s="58" t="s">
        <v>5</v>
      </c>
      <c r="C46" s="58"/>
      <c r="D46" s="58"/>
      <c r="E46" s="8"/>
      <c r="F46" s="59"/>
      <c r="G46" s="59"/>
      <c r="H46" s="13"/>
      <c r="I46" s="17">
        <v>-61.636545099999999</v>
      </c>
      <c r="J46" s="34">
        <v>-4.1000000000000003E-3</v>
      </c>
      <c r="K46" s="4"/>
      <c r="L46" s="4"/>
    </row>
    <row r="47" spans="1:12" s="1" customFormat="1" ht="18" customHeight="1" x14ac:dyDescent="0.15">
      <c r="A47" s="8"/>
      <c r="B47" s="64" t="s">
        <v>4</v>
      </c>
      <c r="C47" s="64"/>
      <c r="D47" s="64"/>
      <c r="E47" s="12"/>
      <c r="F47" s="60"/>
      <c r="G47" s="60"/>
      <c r="H47" s="11"/>
      <c r="I47" s="10">
        <v>-61.636545099999999</v>
      </c>
      <c r="J47" s="48">
        <v>-4.1000000000000003E-3</v>
      </c>
      <c r="K47" s="9"/>
      <c r="L47" s="4"/>
    </row>
    <row r="48" spans="1:12" s="1" customFormat="1" ht="18" customHeight="1" x14ac:dyDescent="0.15">
      <c r="A48" s="8"/>
      <c r="B48" s="65" t="s">
        <v>3</v>
      </c>
      <c r="C48" s="65"/>
      <c r="D48" s="65"/>
      <c r="E48" s="7"/>
      <c r="F48" s="66"/>
      <c r="G48" s="66"/>
      <c r="H48" s="6"/>
      <c r="I48" s="5">
        <f>SUM(I47+I43+I40+I36+I32)</f>
        <v>15113.872744700002</v>
      </c>
      <c r="J48" s="49">
        <f>SUM(J32+J36+J40+J43+J47)</f>
        <v>1</v>
      </c>
      <c r="K48" s="4"/>
      <c r="L48" s="4"/>
    </row>
    <row r="49" spans="2:6" s="1" customFormat="1" ht="37.5" customHeight="1" x14ac:dyDescent="0.15"/>
    <row r="50" spans="2:6" s="1" customFormat="1" ht="18" customHeight="1" x14ac:dyDescent="0.2">
      <c r="B50" s="54" t="s">
        <v>2</v>
      </c>
      <c r="C50" s="54"/>
      <c r="D50" s="55" t="s">
        <v>1</v>
      </c>
      <c r="E50" s="55"/>
      <c r="F50" s="3">
        <v>10.0524</v>
      </c>
    </row>
    <row r="51" spans="2:6" s="1" customFormat="1" ht="18" customHeight="1" x14ac:dyDescent="0.2">
      <c r="B51" s="54"/>
      <c r="C51" s="54"/>
      <c r="D51" s="55" t="s">
        <v>0</v>
      </c>
      <c r="E51" s="55"/>
      <c r="F51" s="3">
        <v>10.0488</v>
      </c>
    </row>
    <row r="52" spans="2:6" s="1" customFormat="1" ht="18" customHeight="1" x14ac:dyDescent="0.2">
      <c r="B52" s="51"/>
      <c r="C52" s="51"/>
      <c r="D52" s="52"/>
      <c r="E52" s="52"/>
      <c r="F52" s="2"/>
    </row>
    <row r="53" spans="2:6" s="1" customFormat="1" ht="18" customHeight="1" x14ac:dyDescent="0.2">
      <c r="B53" s="53" t="s">
        <v>90</v>
      </c>
      <c r="C53" s="53"/>
      <c r="D53" s="52"/>
      <c r="E53" s="52"/>
      <c r="F53" s="50">
        <v>151.1387</v>
      </c>
    </row>
  </sheetData>
  <mergeCells count="95">
    <mergeCell ref="B20:D20"/>
    <mergeCell ref="B21:D21"/>
    <mergeCell ref="B22:D22"/>
    <mergeCell ref="B23:D23"/>
    <mergeCell ref="B24:D24"/>
    <mergeCell ref="B35:D35"/>
    <mergeCell ref="B39:D39"/>
    <mergeCell ref="B26:D26"/>
    <mergeCell ref="B27:D27"/>
    <mergeCell ref="B28:D28"/>
    <mergeCell ref="B29:D29"/>
    <mergeCell ref="B30:D30"/>
    <mergeCell ref="B31:D31"/>
    <mergeCell ref="B36:D36"/>
    <mergeCell ref="B18:D18"/>
    <mergeCell ref="B19:D19"/>
    <mergeCell ref="B8:D8"/>
    <mergeCell ref="B9:D9"/>
    <mergeCell ref="B10:D10"/>
    <mergeCell ref="B11:D11"/>
    <mergeCell ref="B12:D12"/>
    <mergeCell ref="B13:D13"/>
    <mergeCell ref="B4:D4"/>
    <mergeCell ref="F4:G4"/>
    <mergeCell ref="B5:D5"/>
    <mergeCell ref="F5:G5"/>
    <mergeCell ref="B14:D14"/>
    <mergeCell ref="F13:G13"/>
    <mergeCell ref="F14:G14"/>
    <mergeCell ref="B1:J1"/>
    <mergeCell ref="B2:D2"/>
    <mergeCell ref="F2:G2"/>
    <mergeCell ref="B3:D3"/>
    <mergeCell ref="F3:G3"/>
    <mergeCell ref="F18:G18"/>
    <mergeCell ref="F19:G19"/>
    <mergeCell ref="F20:G20"/>
    <mergeCell ref="F21:G21"/>
    <mergeCell ref="B6:D6"/>
    <mergeCell ref="F6:G6"/>
    <mergeCell ref="B7:D7"/>
    <mergeCell ref="F7:G7"/>
    <mergeCell ref="F8:G8"/>
    <mergeCell ref="F9:G9"/>
    <mergeCell ref="F10:G10"/>
    <mergeCell ref="F11:G11"/>
    <mergeCell ref="F12:G12"/>
    <mergeCell ref="B15:D15"/>
    <mergeCell ref="B16:D16"/>
    <mergeCell ref="B17:D17"/>
    <mergeCell ref="F15:G15"/>
    <mergeCell ref="F16:G16"/>
    <mergeCell ref="F17:G17"/>
    <mergeCell ref="B33:D33"/>
    <mergeCell ref="F33:G33"/>
    <mergeCell ref="F26:G26"/>
    <mergeCell ref="F27:G27"/>
    <mergeCell ref="F28:G28"/>
    <mergeCell ref="F29:G29"/>
    <mergeCell ref="F30:G30"/>
    <mergeCell ref="F31:G31"/>
    <mergeCell ref="F22:G22"/>
    <mergeCell ref="F23:G23"/>
    <mergeCell ref="F24:G24"/>
    <mergeCell ref="F25:G25"/>
    <mergeCell ref="B32:D32"/>
    <mergeCell ref="F32:G32"/>
    <mergeCell ref="B25:D25"/>
    <mergeCell ref="B47:D47"/>
    <mergeCell ref="F47:G47"/>
    <mergeCell ref="B48:D48"/>
    <mergeCell ref="F48:G48"/>
    <mergeCell ref="F36:G36"/>
    <mergeCell ref="F39:G39"/>
    <mergeCell ref="B40:D40"/>
    <mergeCell ref="F40:G40"/>
    <mergeCell ref="B41:D41"/>
    <mergeCell ref="F41:G41"/>
    <mergeCell ref="B42:D42"/>
    <mergeCell ref="F42:G42"/>
    <mergeCell ref="B43:D43"/>
    <mergeCell ref="F43:G43"/>
    <mergeCell ref="B44:D44"/>
    <mergeCell ref="F44:G44"/>
    <mergeCell ref="B45:D45"/>
    <mergeCell ref="F45:G45"/>
    <mergeCell ref="B46:D46"/>
    <mergeCell ref="F46:G46"/>
    <mergeCell ref="B52:C52"/>
    <mergeCell ref="D52:E52"/>
    <mergeCell ref="B53:C53"/>
    <mergeCell ref="D53:E53"/>
    <mergeCell ref="B50:C51"/>
    <mergeCell ref="D50:E50"/>
    <mergeCell ref="D51:E51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1</xdr:col>
                <xdr:colOff>228600</xdr:colOff>
                <xdr:row>55</xdr:row>
                <xdr:rowOff>133350</xdr:rowOff>
              </from>
              <to>
                <xdr:col>5</xdr:col>
                <xdr:colOff>428625</xdr:colOff>
                <xdr:row>68</xdr:row>
                <xdr:rowOff>9525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Kakrania</dc:creator>
  <cp:lastModifiedBy>Subham Kakrania</cp:lastModifiedBy>
  <dcterms:created xsi:type="dcterms:W3CDTF">2020-08-13T15:37:55Z</dcterms:created>
  <dcterms:modified xsi:type="dcterms:W3CDTF">2020-10-12T07:10:17Z</dcterms:modified>
</cp:coreProperties>
</file>